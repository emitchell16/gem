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estaton_emory_edu/Documents/1_Research proj/GEM Model_shared/01_Data/for_costing/"/>
    </mc:Choice>
  </mc:AlternateContent>
  <xr:revisionPtr revIDLastSave="90" documentId="8_{3D8A9705-1116-4EC4-8AC4-B2B94DC93984}" xr6:coauthVersionLast="47" xr6:coauthVersionMax="47" xr10:uidLastSave="{693F5413-EBCC-4633-9316-3546250FE49F}"/>
  <bookViews>
    <workbookView xWindow="5412" yWindow="2952" windowWidth="17280" windowHeight="10200" xr2:uid="{9158718A-E394-4236-BDBA-AB6828019CE8}"/>
  </bookViews>
  <sheets>
    <sheet name="LCUperUSD" sheetId="3" r:id="rId1"/>
    <sheet name="Raw_from_worldbank_PA.NUS.FCRF" sheetId="1" r:id="rId2"/>
    <sheet name="source link" sheetId="4" r:id="rId3"/>
  </sheets>
  <definedNames>
    <definedName name="_xlnm._FilterDatabase" localSheetId="0" hidden="1">LCUperUSD!$A$1:$D$216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6" i="3" l="1" a="1"/>
  <c r="D216" i="3" s="1"/>
  <c r="D215" i="3" a="1"/>
  <c r="D215" i="3" s="1"/>
  <c r="D214" i="3" a="1"/>
  <c r="D214" i="3" s="1"/>
  <c r="D213" i="3" a="1"/>
  <c r="D213" i="3" s="1"/>
  <c r="D212" i="3" a="1"/>
  <c r="D212" i="3" s="1"/>
  <c r="D211" i="3" a="1"/>
  <c r="D211" i="3" s="1"/>
  <c r="D210" i="3" a="1"/>
  <c r="D210" i="3" s="1"/>
  <c r="D209" i="3" a="1"/>
  <c r="D209" i="3" s="1"/>
  <c r="D208" i="3" a="1"/>
  <c r="D208" i="3" s="1"/>
  <c r="D207" i="3" a="1"/>
  <c r="D207" i="3" s="1"/>
  <c r="D206" i="3" a="1"/>
  <c r="D206" i="3" s="1"/>
  <c r="D205" i="3" a="1"/>
  <c r="D205" i="3" s="1"/>
  <c r="D204" i="3" a="1"/>
  <c r="D204" i="3" s="1"/>
  <c r="D203" i="3" a="1"/>
  <c r="D203" i="3" s="1"/>
  <c r="D202" i="3" a="1"/>
  <c r="D202" i="3" s="1"/>
  <c r="D201" i="3" a="1"/>
  <c r="D201" i="3" s="1"/>
  <c r="D200" i="3" a="1"/>
  <c r="D200" i="3" s="1"/>
  <c r="D199" i="3" a="1"/>
  <c r="D199" i="3" s="1"/>
  <c r="D198" i="3" a="1"/>
  <c r="D198" i="3" s="1"/>
  <c r="D197" i="3" a="1"/>
  <c r="D197" i="3" s="1"/>
  <c r="D196" i="3" a="1"/>
  <c r="D196" i="3" s="1"/>
  <c r="D195" i="3" a="1"/>
  <c r="D195" i="3" s="1"/>
  <c r="D194" i="3" a="1"/>
  <c r="D194" i="3" s="1"/>
  <c r="D193" i="3" a="1"/>
  <c r="D193" i="3" s="1"/>
  <c r="D192" i="3" a="1"/>
  <c r="D192" i="3" s="1"/>
  <c r="D191" i="3" a="1"/>
  <c r="D191" i="3" s="1"/>
  <c r="D190" i="3" a="1"/>
  <c r="D190" i="3" s="1"/>
  <c r="D189" i="3" a="1"/>
  <c r="D189" i="3" s="1"/>
  <c r="D188" i="3" a="1"/>
  <c r="D188" i="3" s="1"/>
  <c r="D187" i="3" a="1"/>
  <c r="D187" i="3" s="1"/>
  <c r="D186" i="3" a="1"/>
  <c r="D186" i="3" s="1"/>
  <c r="D185" i="3" a="1"/>
  <c r="D185" i="3" s="1"/>
  <c r="D184" i="3" a="1"/>
  <c r="D184" i="3" s="1"/>
  <c r="D183" i="3" a="1"/>
  <c r="D183" i="3" s="1"/>
  <c r="D182" i="3" a="1"/>
  <c r="D182" i="3" s="1"/>
  <c r="D181" i="3" a="1"/>
  <c r="D181" i="3" s="1"/>
  <c r="D180" i="3" a="1"/>
  <c r="D180" i="3" s="1"/>
  <c r="D179" i="3" a="1"/>
  <c r="D179" i="3" s="1"/>
  <c r="D178" i="3" a="1"/>
  <c r="D178" i="3" s="1"/>
  <c r="D177" i="3" a="1"/>
  <c r="D177" i="3" s="1"/>
  <c r="D176" i="3" a="1"/>
  <c r="D176" i="3" s="1"/>
  <c r="D175" i="3" a="1"/>
  <c r="D175" i="3" s="1"/>
  <c r="D174" i="3" a="1"/>
  <c r="D174" i="3" s="1"/>
  <c r="D173" i="3" a="1"/>
  <c r="D173" i="3" s="1"/>
  <c r="D172" i="3" a="1"/>
  <c r="D172" i="3" s="1"/>
  <c r="D171" i="3" a="1"/>
  <c r="D171" i="3" s="1"/>
  <c r="D170" i="3" a="1"/>
  <c r="D170" i="3" s="1"/>
  <c r="D169" i="3" a="1"/>
  <c r="D169" i="3" s="1"/>
  <c r="D168" i="3" a="1"/>
  <c r="D168" i="3" s="1"/>
  <c r="D167" i="3" a="1"/>
  <c r="D167" i="3" s="1"/>
  <c r="D166" i="3" a="1"/>
  <c r="D166" i="3" s="1"/>
  <c r="D165" i="3" a="1"/>
  <c r="D165" i="3" s="1"/>
  <c r="D164" i="3" a="1"/>
  <c r="D164" i="3" s="1"/>
  <c r="D163" i="3" a="1"/>
  <c r="D163" i="3" s="1"/>
  <c r="D162" i="3" a="1"/>
  <c r="D162" i="3" s="1"/>
  <c r="D161" i="3" a="1"/>
  <c r="D161" i="3" s="1"/>
  <c r="D160" i="3" a="1"/>
  <c r="D160" i="3" s="1"/>
  <c r="D159" i="3" a="1"/>
  <c r="D159" i="3" s="1"/>
  <c r="D158" i="3" a="1"/>
  <c r="D158" i="3" s="1"/>
  <c r="D157" i="3" a="1"/>
  <c r="D157" i="3" s="1"/>
  <c r="D156" i="3" a="1"/>
  <c r="D156" i="3" s="1"/>
  <c r="D155" i="3" a="1"/>
  <c r="D155" i="3" s="1"/>
  <c r="D154" i="3" a="1"/>
  <c r="D154" i="3" s="1"/>
  <c r="D153" i="3" a="1"/>
  <c r="D153" i="3" s="1"/>
  <c r="D152" i="3" a="1"/>
  <c r="D152" i="3" s="1"/>
  <c r="D151" i="3" a="1"/>
  <c r="D151" i="3" s="1"/>
  <c r="D150" i="3" a="1"/>
  <c r="D150" i="3" s="1"/>
  <c r="D149" i="3" a="1"/>
  <c r="D149" i="3" s="1"/>
  <c r="D148" i="3" a="1"/>
  <c r="D148" i="3" s="1"/>
  <c r="D147" i="3" a="1"/>
  <c r="D147" i="3" s="1"/>
  <c r="D146" i="3" a="1"/>
  <c r="D146" i="3" s="1"/>
  <c r="D145" i="3" a="1"/>
  <c r="D145" i="3" s="1"/>
  <c r="D144" i="3" a="1"/>
  <c r="D144" i="3" s="1"/>
  <c r="D143" i="3" a="1"/>
  <c r="D143" i="3" s="1"/>
  <c r="D142" i="3" a="1"/>
  <c r="D142" i="3" s="1"/>
  <c r="D141" i="3" a="1"/>
  <c r="D141" i="3" s="1"/>
  <c r="D140" i="3" a="1"/>
  <c r="D140" i="3" s="1"/>
  <c r="D139" i="3" a="1"/>
  <c r="D139" i="3" s="1"/>
  <c r="D138" i="3" a="1"/>
  <c r="D138" i="3" s="1"/>
  <c r="D137" i="3" a="1"/>
  <c r="D137" i="3" s="1"/>
  <c r="D136" i="3" a="1"/>
  <c r="D136" i="3" s="1"/>
  <c r="D135" i="3" a="1"/>
  <c r="D135" i="3" s="1"/>
  <c r="D134" i="3" a="1"/>
  <c r="D134" i="3" s="1"/>
  <c r="D133" i="3" a="1"/>
  <c r="D133" i="3" s="1"/>
  <c r="D132" i="3" a="1"/>
  <c r="D132" i="3" s="1"/>
  <c r="D131" i="3" a="1"/>
  <c r="D131" i="3" s="1"/>
  <c r="D130" i="3" a="1"/>
  <c r="D130" i="3" s="1"/>
  <c r="D129" i="3" a="1"/>
  <c r="D129" i="3" s="1"/>
  <c r="D128" i="3" a="1"/>
  <c r="D128" i="3" s="1"/>
  <c r="D127" i="3" a="1"/>
  <c r="D127" i="3" s="1"/>
  <c r="D126" i="3" a="1"/>
  <c r="D126" i="3" s="1"/>
  <c r="D125" i="3" a="1"/>
  <c r="D125" i="3" s="1"/>
  <c r="D124" i="3" a="1"/>
  <c r="D124" i="3" s="1"/>
  <c r="D123" i="3" a="1"/>
  <c r="D123" i="3" s="1"/>
  <c r="D122" i="3" a="1"/>
  <c r="D122" i="3" s="1"/>
  <c r="D121" i="3" a="1"/>
  <c r="D121" i="3" s="1"/>
  <c r="D120" i="3" a="1"/>
  <c r="D120" i="3" s="1"/>
  <c r="D119" i="3" a="1"/>
  <c r="D119" i="3" s="1"/>
  <c r="D118" i="3" a="1"/>
  <c r="D118" i="3" s="1"/>
  <c r="D117" i="3" a="1"/>
  <c r="D117" i="3" s="1"/>
  <c r="D116" i="3" a="1"/>
  <c r="D116" i="3" s="1"/>
  <c r="D115" i="3" a="1"/>
  <c r="D115" i="3" s="1"/>
  <c r="D114" i="3" a="1"/>
  <c r="D114" i="3" s="1"/>
  <c r="D113" i="3" a="1"/>
  <c r="D113" i="3" s="1"/>
  <c r="D112" i="3" a="1"/>
  <c r="D112" i="3" s="1"/>
  <c r="D111" i="3" a="1"/>
  <c r="D111" i="3" s="1"/>
  <c r="D110" i="3" a="1"/>
  <c r="D110" i="3" s="1"/>
  <c r="D109" i="3" a="1"/>
  <c r="D109" i="3" s="1"/>
  <c r="D108" i="3" a="1"/>
  <c r="D108" i="3" s="1"/>
  <c r="D107" i="3" a="1"/>
  <c r="D107" i="3" s="1"/>
  <c r="D106" i="3" a="1"/>
  <c r="D106" i="3" s="1"/>
  <c r="D105" i="3" a="1"/>
  <c r="D105" i="3" s="1"/>
  <c r="D104" i="3" a="1"/>
  <c r="D104" i="3" s="1"/>
  <c r="D103" i="3" a="1"/>
  <c r="D103" i="3" s="1"/>
  <c r="D102" i="3" a="1"/>
  <c r="D102" i="3" s="1"/>
  <c r="D101" i="3" a="1"/>
  <c r="D101" i="3" s="1"/>
  <c r="D100" i="3" a="1"/>
  <c r="D100" i="3" s="1"/>
  <c r="D99" i="3" a="1"/>
  <c r="D99" i="3" s="1"/>
  <c r="D98" i="3" a="1"/>
  <c r="D98" i="3" s="1"/>
  <c r="D97" i="3" a="1"/>
  <c r="D97" i="3" s="1"/>
  <c r="D96" i="3" a="1"/>
  <c r="D96" i="3" s="1"/>
  <c r="D95" i="3" a="1"/>
  <c r="D95" i="3" s="1"/>
  <c r="D94" i="3" a="1"/>
  <c r="D94" i="3" s="1"/>
  <c r="D93" i="3" a="1"/>
  <c r="D93" i="3" s="1"/>
  <c r="D92" i="3" a="1"/>
  <c r="D92" i="3" s="1"/>
  <c r="D91" i="3" a="1"/>
  <c r="D91" i="3" s="1"/>
  <c r="D90" i="3" a="1"/>
  <c r="D90" i="3" s="1"/>
  <c r="D89" i="3" a="1"/>
  <c r="D89" i="3" s="1"/>
  <c r="D88" i="3" a="1"/>
  <c r="D88" i="3" s="1"/>
  <c r="D87" i="3" a="1"/>
  <c r="D87" i="3" s="1"/>
  <c r="D86" i="3" a="1"/>
  <c r="D86" i="3" s="1"/>
  <c r="D85" i="3" a="1"/>
  <c r="D85" i="3" s="1"/>
  <c r="D84" i="3" a="1"/>
  <c r="D84" i="3" s="1"/>
  <c r="D83" i="3" a="1"/>
  <c r="D83" i="3" s="1"/>
  <c r="D82" i="3" a="1"/>
  <c r="D82" i="3" s="1"/>
  <c r="D81" i="3" a="1"/>
  <c r="D81" i="3" s="1"/>
  <c r="D80" i="3" a="1"/>
  <c r="D80" i="3" s="1"/>
  <c r="D79" i="3" a="1"/>
  <c r="D79" i="3" s="1"/>
  <c r="D78" i="3" a="1"/>
  <c r="D78" i="3" s="1"/>
  <c r="D77" i="3" a="1"/>
  <c r="D77" i="3" s="1"/>
  <c r="D76" i="3" a="1"/>
  <c r="D76" i="3" s="1"/>
  <c r="D75" i="3" a="1"/>
  <c r="D75" i="3" s="1"/>
  <c r="D74" i="3" a="1"/>
  <c r="D74" i="3" s="1"/>
  <c r="D73" i="3" a="1"/>
  <c r="D73" i="3" s="1"/>
  <c r="D72" i="3" a="1"/>
  <c r="D72" i="3" s="1"/>
  <c r="D71" i="3" a="1"/>
  <c r="D71" i="3" s="1"/>
  <c r="D70" i="3" a="1"/>
  <c r="D70" i="3" s="1"/>
  <c r="D69" i="3" a="1"/>
  <c r="D69" i="3" s="1"/>
  <c r="D68" i="3" a="1"/>
  <c r="D68" i="3" s="1"/>
  <c r="D67" i="3" a="1"/>
  <c r="D67" i="3" s="1"/>
  <c r="D66" i="3" a="1"/>
  <c r="D66" i="3" s="1"/>
  <c r="D65" i="3" a="1"/>
  <c r="D65" i="3" s="1"/>
  <c r="D64" i="3" a="1"/>
  <c r="D64" i="3" s="1"/>
  <c r="D63" i="3" a="1"/>
  <c r="D63" i="3" s="1"/>
  <c r="D62" i="3" a="1"/>
  <c r="D62" i="3" s="1"/>
  <c r="D61" i="3" a="1"/>
  <c r="D61" i="3" s="1"/>
  <c r="D60" i="3" a="1"/>
  <c r="D60" i="3" s="1"/>
  <c r="D59" i="3" a="1"/>
  <c r="D59" i="3" s="1"/>
  <c r="D58" i="3" a="1"/>
  <c r="D58" i="3" s="1"/>
  <c r="D57" i="3" a="1"/>
  <c r="D57" i="3" s="1"/>
  <c r="D56" i="3" a="1"/>
  <c r="D56" i="3" s="1"/>
  <c r="D55" i="3" a="1"/>
  <c r="D55" i="3" s="1"/>
  <c r="D54" i="3" a="1"/>
  <c r="D54" i="3" s="1"/>
  <c r="D53" i="3" a="1"/>
  <c r="D53" i="3" s="1"/>
  <c r="D52" i="3" a="1"/>
  <c r="D52" i="3" s="1"/>
  <c r="D51" i="3" a="1"/>
  <c r="D51" i="3" s="1"/>
  <c r="D50" i="3" a="1"/>
  <c r="D50" i="3" s="1"/>
  <c r="D49" i="3" a="1"/>
  <c r="D49" i="3" s="1"/>
  <c r="D48" i="3" a="1"/>
  <c r="D48" i="3" s="1"/>
  <c r="D47" i="3" a="1"/>
  <c r="D47" i="3" s="1"/>
  <c r="D46" i="3" a="1"/>
  <c r="D46" i="3" s="1"/>
  <c r="D45" i="3" a="1"/>
  <c r="D45" i="3" s="1"/>
  <c r="D44" i="3" a="1"/>
  <c r="D44" i="3" s="1"/>
  <c r="D43" i="3" a="1"/>
  <c r="D43" i="3" s="1"/>
  <c r="D42" i="3" a="1"/>
  <c r="D42" i="3" s="1"/>
  <c r="D41" i="3" a="1"/>
  <c r="D41" i="3" s="1"/>
  <c r="D40" i="3" a="1"/>
  <c r="D40" i="3" s="1"/>
  <c r="D39" i="3" a="1"/>
  <c r="D39" i="3" s="1"/>
  <c r="D38" i="3" a="1"/>
  <c r="D38" i="3" s="1"/>
  <c r="D37" i="3" a="1"/>
  <c r="D37" i="3" s="1"/>
  <c r="D36" i="3" a="1"/>
  <c r="D36" i="3" s="1"/>
  <c r="D35" i="3" a="1"/>
  <c r="D35" i="3" s="1"/>
  <c r="D34" i="3" a="1"/>
  <c r="D34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  <c r="C2" i="3" a="1"/>
  <c r="C2" i="3" s="1"/>
  <c r="C216" i="3" a="1"/>
  <c r="C216" i="3" s="1"/>
  <c r="C215" i="3" a="1"/>
  <c r="C215" i="3" s="1"/>
  <c r="C214" i="3" a="1"/>
  <c r="C214" i="3" s="1"/>
  <c r="C213" i="3" a="1"/>
  <c r="C213" i="3" s="1"/>
  <c r="C212" i="3" a="1"/>
  <c r="C212" i="3" s="1"/>
  <c r="C211" i="3" a="1"/>
  <c r="C211" i="3" s="1"/>
  <c r="C210" i="3" a="1"/>
  <c r="C210" i="3" s="1"/>
  <c r="C209" i="3" a="1"/>
  <c r="C209" i="3" s="1"/>
  <c r="C208" i="3" a="1"/>
  <c r="C208" i="3" s="1"/>
  <c r="C207" i="3" a="1"/>
  <c r="C207" i="3" s="1"/>
  <c r="C206" i="3" a="1"/>
  <c r="C206" i="3" s="1"/>
  <c r="C205" i="3" a="1"/>
  <c r="C205" i="3" s="1"/>
  <c r="C204" i="3" a="1"/>
  <c r="C204" i="3" s="1"/>
  <c r="C203" i="3" a="1"/>
  <c r="C203" i="3" s="1"/>
  <c r="C202" i="3" a="1"/>
  <c r="C202" i="3" s="1"/>
  <c r="C201" i="3" a="1"/>
  <c r="C201" i="3" s="1"/>
  <c r="C200" i="3" a="1"/>
  <c r="C200" i="3" s="1"/>
  <c r="C199" i="3" a="1"/>
  <c r="C199" i="3" s="1"/>
  <c r="C198" i="3" a="1"/>
  <c r="C198" i="3" s="1"/>
  <c r="C197" i="3" a="1"/>
  <c r="C197" i="3" s="1"/>
  <c r="C196" i="3" a="1"/>
  <c r="C196" i="3" s="1"/>
  <c r="C195" i="3" a="1"/>
  <c r="C195" i="3" s="1"/>
  <c r="C194" i="3" a="1"/>
  <c r="C194" i="3" s="1"/>
  <c r="C193" i="3" a="1"/>
  <c r="C193" i="3" s="1"/>
  <c r="C192" i="3" a="1"/>
  <c r="C192" i="3" s="1"/>
  <c r="C191" i="3" a="1"/>
  <c r="C191" i="3" s="1"/>
  <c r="C190" i="3" a="1"/>
  <c r="C190" i="3" s="1"/>
  <c r="C189" i="3" a="1"/>
  <c r="C189" i="3" s="1"/>
  <c r="C188" i="3" a="1"/>
  <c r="C188" i="3" s="1"/>
  <c r="C187" i="3" a="1"/>
  <c r="C187" i="3" s="1"/>
  <c r="C186" i="3" a="1"/>
  <c r="C186" i="3" s="1"/>
  <c r="C185" i="3" a="1"/>
  <c r="C185" i="3" s="1"/>
  <c r="C184" i="3" a="1"/>
  <c r="C184" i="3" s="1"/>
  <c r="C183" i="3" a="1"/>
  <c r="C183" i="3" s="1"/>
  <c r="C182" i="3" a="1"/>
  <c r="C182" i="3" s="1"/>
  <c r="C181" i="3" a="1"/>
  <c r="C181" i="3" s="1"/>
  <c r="C180" i="3" a="1"/>
  <c r="C180" i="3" s="1"/>
  <c r="C179" i="3" a="1"/>
  <c r="C179" i="3" s="1"/>
  <c r="C178" i="3" a="1"/>
  <c r="C178" i="3" s="1"/>
  <c r="C177" i="3" a="1"/>
  <c r="C177" i="3" s="1"/>
  <c r="C176" i="3" a="1"/>
  <c r="C176" i="3" s="1"/>
  <c r="C175" i="3" a="1"/>
  <c r="C175" i="3" s="1"/>
  <c r="C174" i="3" a="1"/>
  <c r="C174" i="3" s="1"/>
  <c r="C173" i="3" a="1"/>
  <c r="C173" i="3" s="1"/>
  <c r="C172" i="3" a="1"/>
  <c r="C172" i="3" s="1"/>
  <c r="C171" i="3" a="1"/>
  <c r="C171" i="3" s="1"/>
  <c r="C170" i="3" a="1"/>
  <c r="C170" i="3" s="1"/>
  <c r="C169" i="3" a="1"/>
  <c r="C169" i="3" s="1"/>
  <c r="C168" i="3" a="1"/>
  <c r="C168" i="3" s="1"/>
  <c r="C167" i="3" a="1"/>
  <c r="C167" i="3" s="1"/>
  <c r="C166" i="3" a="1"/>
  <c r="C166" i="3" s="1"/>
  <c r="C165" i="3" a="1"/>
  <c r="C165" i="3" s="1"/>
  <c r="C164" i="3" a="1"/>
  <c r="C164" i="3" s="1"/>
  <c r="C163" i="3" a="1"/>
  <c r="C163" i="3" s="1"/>
  <c r="C162" i="3" a="1"/>
  <c r="C162" i="3" s="1"/>
  <c r="C161" i="3" a="1"/>
  <c r="C161" i="3" s="1"/>
  <c r="C160" i="3" a="1"/>
  <c r="C160" i="3" s="1"/>
  <c r="C159" i="3" a="1"/>
  <c r="C159" i="3" s="1"/>
  <c r="C158" i="3" a="1"/>
  <c r="C158" i="3" s="1"/>
  <c r="C157" i="3" a="1"/>
  <c r="C157" i="3" s="1"/>
  <c r="C156" i="3" a="1"/>
  <c r="C156" i="3" s="1"/>
  <c r="C155" i="3" a="1"/>
  <c r="C155" i="3" s="1"/>
  <c r="C154" i="3" a="1"/>
  <c r="C154" i="3" s="1"/>
  <c r="C153" i="3" a="1"/>
  <c r="C153" i="3" s="1"/>
  <c r="C152" i="3" a="1"/>
  <c r="C152" i="3" s="1"/>
  <c r="C151" i="3" a="1"/>
  <c r="C151" i="3" s="1"/>
  <c r="C150" i="3" a="1"/>
  <c r="C150" i="3" s="1"/>
  <c r="C149" i="3" a="1"/>
  <c r="C149" i="3" s="1"/>
  <c r="C148" i="3" a="1"/>
  <c r="C148" i="3" s="1"/>
  <c r="C147" i="3" a="1"/>
  <c r="C147" i="3" s="1"/>
  <c r="C146" i="3" a="1"/>
  <c r="C146" i="3" s="1"/>
  <c r="C145" i="3" a="1"/>
  <c r="C145" i="3" s="1"/>
  <c r="C144" i="3" a="1"/>
  <c r="C144" i="3" s="1"/>
  <c r="C143" i="3" a="1"/>
  <c r="C143" i="3" s="1"/>
  <c r="C142" i="3" a="1"/>
  <c r="C142" i="3" s="1"/>
  <c r="C141" i="3" a="1"/>
  <c r="C141" i="3" s="1"/>
  <c r="C140" i="3" a="1"/>
  <c r="C140" i="3" s="1"/>
  <c r="C139" i="3" a="1"/>
  <c r="C139" i="3" s="1"/>
  <c r="C138" i="3" a="1"/>
  <c r="C138" i="3" s="1"/>
  <c r="C137" i="3" a="1"/>
  <c r="C137" i="3" s="1"/>
  <c r="C136" i="3" a="1"/>
  <c r="C136" i="3" s="1"/>
  <c r="C135" i="3" a="1"/>
  <c r="C135" i="3" s="1"/>
  <c r="C134" i="3" a="1"/>
  <c r="C134" i="3" s="1"/>
  <c r="C133" i="3" a="1"/>
  <c r="C133" i="3" s="1"/>
  <c r="C132" i="3" a="1"/>
  <c r="C132" i="3" s="1"/>
  <c r="C131" i="3" a="1"/>
  <c r="C131" i="3" s="1"/>
  <c r="C130" i="3" a="1"/>
  <c r="C130" i="3" s="1"/>
  <c r="C129" i="3" a="1"/>
  <c r="C129" i="3" s="1"/>
  <c r="C128" i="3" a="1"/>
  <c r="C128" i="3" s="1"/>
  <c r="C127" i="3" a="1"/>
  <c r="C127" i="3" s="1"/>
  <c r="C126" i="3" a="1"/>
  <c r="C126" i="3" s="1"/>
  <c r="C125" i="3" a="1"/>
  <c r="C125" i="3" s="1"/>
  <c r="C124" i="3" a="1"/>
  <c r="C124" i="3" s="1"/>
  <c r="C123" i="3" a="1"/>
  <c r="C123" i="3" s="1"/>
  <c r="C122" i="3" a="1"/>
  <c r="C122" i="3" s="1"/>
  <c r="C121" i="3" a="1"/>
  <c r="C121" i="3" s="1"/>
  <c r="C120" i="3" a="1"/>
  <c r="C120" i="3" s="1"/>
  <c r="C119" i="3" a="1"/>
  <c r="C119" i="3" s="1"/>
  <c r="C118" i="3" a="1"/>
  <c r="C118" i="3" s="1"/>
  <c r="C117" i="3" a="1"/>
  <c r="C117" i="3" s="1"/>
  <c r="C116" i="3" a="1"/>
  <c r="C116" i="3" s="1"/>
  <c r="C115" i="3" a="1"/>
  <c r="C115" i="3" s="1"/>
  <c r="C114" i="3" a="1"/>
  <c r="C114" i="3" s="1"/>
  <c r="C113" i="3" a="1"/>
  <c r="C113" i="3" s="1"/>
  <c r="C112" i="3" a="1"/>
  <c r="C112" i="3" s="1"/>
  <c r="C111" i="3" a="1"/>
  <c r="C111" i="3" s="1"/>
  <c r="C110" i="3" a="1"/>
  <c r="C110" i="3" s="1"/>
  <c r="C109" i="3" a="1"/>
  <c r="C109" i="3" s="1"/>
  <c r="C108" i="3" a="1"/>
  <c r="C108" i="3" s="1"/>
  <c r="C107" i="3" a="1"/>
  <c r="C107" i="3" s="1"/>
  <c r="C106" i="3" a="1"/>
  <c r="C106" i="3" s="1"/>
  <c r="C105" i="3" a="1"/>
  <c r="C105" i="3" s="1"/>
  <c r="C104" i="3" a="1"/>
  <c r="C104" i="3" s="1"/>
  <c r="C103" i="3" a="1"/>
  <c r="C103" i="3" s="1"/>
  <c r="C102" i="3" a="1"/>
  <c r="C102" i="3" s="1"/>
  <c r="C101" i="3" a="1"/>
  <c r="C101" i="3" s="1"/>
  <c r="C100" i="3" a="1"/>
  <c r="C100" i="3" s="1"/>
  <c r="C99" i="3" a="1"/>
  <c r="C99" i="3" s="1"/>
  <c r="C98" i="3" a="1"/>
  <c r="C98" i="3" s="1"/>
  <c r="C97" i="3" a="1"/>
  <c r="C97" i="3" s="1"/>
  <c r="C96" i="3" a="1"/>
  <c r="C96" i="3" s="1"/>
  <c r="C95" i="3" a="1"/>
  <c r="C95" i="3" s="1"/>
  <c r="C94" i="3" a="1"/>
  <c r="C94" i="3" s="1"/>
  <c r="C93" i="3" a="1"/>
  <c r="C93" i="3" s="1"/>
  <c r="C92" i="3" a="1"/>
  <c r="C92" i="3" s="1"/>
  <c r="C91" i="3" a="1"/>
  <c r="C91" i="3" s="1"/>
  <c r="C90" i="3" a="1"/>
  <c r="C90" i="3" s="1"/>
  <c r="C89" i="3" a="1"/>
  <c r="C89" i="3" s="1"/>
  <c r="C88" i="3" a="1"/>
  <c r="C88" i="3" s="1"/>
  <c r="C87" i="3" a="1"/>
  <c r="C87" i="3" s="1"/>
  <c r="C86" i="3" a="1"/>
  <c r="C86" i="3" s="1"/>
  <c r="C85" i="3" a="1"/>
  <c r="C85" i="3" s="1"/>
  <c r="C84" i="3" a="1"/>
  <c r="C84" i="3" s="1"/>
  <c r="C83" i="3" a="1"/>
  <c r="C83" i="3" s="1"/>
  <c r="C82" i="3" a="1"/>
  <c r="C82" i="3" s="1"/>
  <c r="C81" i="3" a="1"/>
  <c r="C81" i="3" s="1"/>
  <c r="C80" i="3" a="1"/>
  <c r="C80" i="3" s="1"/>
  <c r="C79" i="3" a="1"/>
  <c r="C79" i="3" s="1"/>
  <c r="C78" i="3" a="1"/>
  <c r="C78" i="3" s="1"/>
  <c r="C77" i="3" a="1"/>
  <c r="C77" i="3" s="1"/>
  <c r="C76" i="3" a="1"/>
  <c r="C76" i="3" s="1"/>
  <c r="C75" i="3" a="1"/>
  <c r="C75" i="3" s="1"/>
  <c r="C74" i="3" a="1"/>
  <c r="C74" i="3" s="1"/>
  <c r="C73" i="3" a="1"/>
  <c r="C73" i="3" s="1"/>
  <c r="C72" i="3" a="1"/>
  <c r="C72" i="3" s="1"/>
  <c r="C71" i="3" a="1"/>
  <c r="C71" i="3" s="1"/>
  <c r="C70" i="3" a="1"/>
  <c r="C70" i="3" s="1"/>
  <c r="C69" i="3" a="1"/>
  <c r="C69" i="3" s="1"/>
  <c r="C68" i="3" a="1"/>
  <c r="C68" i="3" s="1"/>
  <c r="C67" i="3" a="1"/>
  <c r="C67" i="3" s="1"/>
  <c r="C66" i="3" a="1"/>
  <c r="C66" i="3" s="1"/>
  <c r="C65" i="3" a="1"/>
  <c r="C65" i="3" s="1"/>
  <c r="C64" i="3" a="1"/>
  <c r="C64" i="3" s="1"/>
  <c r="C63" i="3" a="1"/>
  <c r="C63" i="3" s="1"/>
  <c r="C62" i="3" a="1"/>
  <c r="C62" i="3" s="1"/>
  <c r="C61" i="3" a="1"/>
  <c r="C61" i="3" s="1"/>
  <c r="C60" i="3" a="1"/>
  <c r="C60" i="3" s="1"/>
  <c r="C59" i="3" a="1"/>
  <c r="C59" i="3" s="1"/>
  <c r="C58" i="3" a="1"/>
  <c r="C58" i="3" s="1"/>
  <c r="C57" i="3" a="1"/>
  <c r="C57" i="3" s="1"/>
  <c r="C56" i="3" a="1"/>
  <c r="C56" i="3" s="1"/>
  <c r="C55" i="3" a="1"/>
  <c r="C55" i="3" s="1"/>
  <c r="C54" i="3" a="1"/>
  <c r="C54" i="3" s="1"/>
  <c r="C53" i="3" a="1"/>
  <c r="C53" i="3" s="1"/>
  <c r="C52" i="3" a="1"/>
  <c r="C52" i="3" s="1"/>
  <c r="C51" i="3" a="1"/>
  <c r="C51" i="3" s="1"/>
  <c r="C50" i="3" a="1"/>
  <c r="C50" i="3" s="1"/>
  <c r="C49" i="3" a="1"/>
  <c r="C49" i="3" s="1"/>
  <c r="C48" i="3" a="1"/>
  <c r="C48" i="3" s="1"/>
  <c r="C47" i="3" a="1"/>
  <c r="C47" i="3" s="1"/>
  <c r="C46" i="3" a="1"/>
  <c r="C46" i="3" s="1"/>
  <c r="C45" i="3" a="1"/>
  <c r="C45" i="3" s="1"/>
  <c r="C44" i="3" a="1"/>
  <c r="C44" i="3" s="1"/>
  <c r="C43" i="3" a="1"/>
  <c r="C43" i="3" s="1"/>
  <c r="C42" i="3" a="1"/>
  <c r="C42" i="3" s="1"/>
  <c r="C41" i="3" a="1"/>
  <c r="C41" i="3" s="1"/>
  <c r="C40" i="3" a="1"/>
  <c r="C40" i="3" s="1"/>
  <c r="C39" i="3" a="1"/>
  <c r="C39" i="3" s="1"/>
  <c r="C38" i="3" a="1"/>
  <c r="C38" i="3" s="1"/>
  <c r="C37" i="3" a="1"/>
  <c r="C37" i="3" s="1"/>
  <c r="C36" i="3" a="1"/>
  <c r="C36" i="3" s="1"/>
  <c r="C35" i="3" a="1"/>
  <c r="C35" i="3" s="1"/>
  <c r="C34" i="3" a="1"/>
  <c r="C34" i="3" s="1"/>
  <c r="C33" i="3" a="1"/>
  <c r="C33" i="3" s="1"/>
  <c r="C32" i="3" a="1"/>
  <c r="C32" i="3" s="1"/>
  <c r="C31" i="3" a="1"/>
  <c r="C31" i="3" s="1"/>
  <c r="C30" i="3" a="1"/>
  <c r="C30" i="3" s="1"/>
  <c r="C29" i="3" a="1"/>
  <c r="C29" i="3" s="1"/>
  <c r="C28" i="3" a="1"/>
  <c r="C28" i="3" s="1"/>
  <c r="C27" i="3" a="1"/>
  <c r="C27" i="3" s="1"/>
  <c r="C26" i="3" a="1"/>
  <c r="C26" i="3" s="1"/>
  <c r="C25" i="3" a="1"/>
  <c r="C25" i="3" s="1"/>
  <c r="C24" i="3" a="1"/>
  <c r="C24" i="3" s="1"/>
  <c r="C23" i="3" a="1"/>
  <c r="C23" i="3" s="1"/>
  <c r="C22" i="3" a="1"/>
  <c r="C22" i="3" s="1"/>
  <c r="C21" i="3" a="1"/>
  <c r="C21" i="3" s="1"/>
  <c r="C20" i="3" a="1"/>
  <c r="C20" i="3" s="1"/>
  <c r="C19" i="3" a="1"/>
  <c r="C19" i="3" s="1"/>
  <c r="C18" i="3" a="1"/>
  <c r="C18" i="3" s="1"/>
  <c r="C17" i="3" a="1"/>
  <c r="C17" i="3" s="1"/>
  <c r="C16" i="3" a="1"/>
  <c r="C16" i="3" s="1"/>
  <c r="C15" i="3" a="1"/>
  <c r="C15" i="3" s="1"/>
  <c r="C14" i="3" a="1"/>
  <c r="C14" i="3" s="1"/>
  <c r="C13" i="3" a="1"/>
  <c r="C13" i="3" s="1"/>
  <c r="C12" i="3" a="1"/>
  <c r="C12" i="3" s="1"/>
  <c r="C11" i="3" a="1"/>
  <c r="C11" i="3" s="1"/>
  <c r="C10" i="3" a="1"/>
  <c r="C10" i="3" s="1"/>
  <c r="C9" i="3" a="1"/>
  <c r="C9" i="3" s="1"/>
  <c r="C8" i="3" a="1"/>
  <c r="C8" i="3" s="1"/>
  <c r="C7" i="3" a="1"/>
  <c r="C7" i="3" s="1"/>
  <c r="C6" i="3" a="1"/>
  <c r="C6" i="3" s="1"/>
  <c r="C5" i="3" a="1"/>
  <c r="C5" i="3" s="1"/>
  <c r="C4" i="3" a="1"/>
  <c r="C4" i="3" s="1"/>
  <c r="C3" i="3" a="1"/>
  <c r="C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<sst xmlns="http://schemas.openxmlformats.org/spreadsheetml/2006/main" count="1503" uniqueCount="541">
  <si>
    <t>Country Name</t>
  </si>
  <si>
    <t>Country Code</t>
  </si>
  <si>
    <t>Indicator Name</t>
  </si>
  <si>
    <t>Indicator Code</t>
  </si>
  <si>
    <t>Aruba</t>
  </si>
  <si>
    <t>ABW</t>
  </si>
  <si>
    <t>Official exchange rate (LCU per US$, period average)</t>
  </si>
  <si>
    <t>PA.NUS.FCRF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</si>
  <si>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</si>
  <si>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</si>
  <si>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</si>
  <si>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</si>
  <si>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</si>
  <si>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</si>
  <si>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</si>
  <si>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</si>
  <si>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</si>
  <si>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</si>
  <si>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</si>
  <si>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</si>
  <si>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</si>
  <si>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</si>
  <si>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</si>
  <si>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</si>
  <si>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</si>
  <si>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</si>
  <si>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</si>
  <si>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</si>
  <si>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</si>
  <si>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</si>
  <si>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</si>
  <si>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</si>
  <si>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</si>
  <si>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</si>
  <si>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</si>
  <si>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</si>
  <si>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</si>
  <si>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</si>
  <si>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</si>
  <si>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</si>
  <si>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</si>
  <si>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</si>
  <si>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</si>
  <si>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</si>
  <si>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</si>
  <si>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</si>
  <si>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</si>
  <si>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</si>
  <si>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</si>
  <si>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</si>
  <si>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</si>
  <si>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</si>
  <si>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</si>
  <si>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</si>
  <si>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</si>
  <si>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</si>
  <si>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</si>
  <si>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</si>
  <si>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</si>
  <si>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</si>
  <si>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</si>
  <si>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</si>
  <si>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</si>
  <si>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</si>
  <si>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</si>
  <si>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</si>
  <si>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</si>
  <si>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</si>
  <si>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</si>
  <si>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</si>
  <si>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</si>
  <si>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</si>
  <si>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</si>
  <si>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</si>
  <si>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</si>
  <si>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</si>
  <si>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</si>
  <si>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</si>
  <si>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</si>
  <si>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</si>
  <si>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</si>
  <si>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</si>
  <si>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</si>
  <si>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</si>
  <si>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</si>
  <si>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</si>
  <si>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</si>
  <si>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</si>
  <si>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</si>
  <si>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</si>
  <si>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</si>
  <si>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</si>
  <si>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</si>
  <si>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</si>
  <si>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</si>
  <si>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</si>
  <si>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</si>
  <si>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</si>
  <si>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</si>
  <si>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</si>
  <si>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</si>
  <si>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</si>
  <si>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</si>
  <si>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</si>
  <si>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</si>
  <si>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</si>
  <si>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</si>
  <si>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</si>
  <si>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</si>
  <si>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</si>
  <si>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</si>
  <si>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</si>
  <si>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</si>
  <si>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</si>
  <si>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</si>
  <si>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</si>
  <si>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</si>
  <si>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</si>
  <si>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</si>
  <si>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</si>
  <si>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</si>
  <si>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</si>
  <si>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</si>
  <si>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</si>
  <si>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</si>
  <si>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</si>
  <si>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</si>
  <si>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</si>
  <si>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</si>
  <si>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</si>
  <si>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</si>
  <si>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</si>
  <si>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</si>
  <si>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</si>
  <si>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</si>
  <si>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</si>
  <si>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</si>
  <si>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</si>
  <si>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</si>
  <si>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</si>
  <si>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</si>
  <si>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</si>
  <si>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</si>
  <si>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</si>
  <si>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</si>
  <si>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</si>
  <si>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</si>
  <si>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</si>
  <si>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</si>
  <si>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</si>
  <si>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</si>
  <si>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</si>
  <si>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</si>
  <si>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</si>
  <si>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</si>
  <si>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</si>
  <si>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</si>
  <si>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</si>
  <si>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</si>
  <si>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</si>
  <si>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</si>
  <si>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</si>
  <si>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</si>
  <si>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</si>
  <si>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</si>
  <si>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</si>
  <si>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</si>
  <si>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</si>
  <si>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</si>
  <si>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</si>
  <si>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</si>
  <si>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</si>
  <si>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</si>
  <si>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</si>
  <si>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</si>
  <si>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</si>
  <si>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</si>
  <si>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</si>
  <si>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</si>
  <si>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</si>
  <si>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</si>
  <si>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</si>
  <si>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</si>
  <si>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</si>
  <si>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</si>
  <si>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</si>
  <si>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</si>
  <si>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</si>
  <si>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</si>
  <si>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</si>
  <si>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</si>
  <si>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</si>
  <si>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</si>
  <si>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</si>
  <si>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</si>
  <si>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</si>
  <si>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</si>
  <si>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</si>
  <si>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</si>
  <si>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</si>
  <si>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</si>
  <si>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</si>
  <si>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</si>
  <si>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</si>
  <si>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</si>
  <si>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</si>
  <si>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</si>
  <si>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</si>
  <si>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</si>
  <si>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</si>
  <si>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</si>
  <si>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</si>
  <si>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</si>
  <si>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</si>
  <si>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</si>
  <si>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</si>
  <si>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</si>
  <si>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</si>
  <si>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</si>
  <si>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</si>
  <si>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</si>
  <si>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</si>
  <si>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</si>
  <si>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</si>
  <si>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</si>
  <si>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</si>
  <si>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</si>
  <si>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</si>
  <si>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</si>
  <si>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</si>
  <si>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</si>
  <si>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</si>
  <si>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</si>
  <si>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</si>
  <si>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</si>
  <si>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</si>
  <si>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</si>
  <si>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</si>
  <si>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</si>
  <si>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</si>
  <si>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</si>
  <si>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</si>
  <si>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</si>
  <si>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</si>
  <si>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</si>
  <si>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</si>
  <si>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</si>
  <si>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</si>
  <si>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</si>
  <si>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</si>
  <si>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</si>
  <si>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</si>
  <si>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</si>
  <si>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</si>
  <si>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</si>
  <si>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</si>
  <si>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</si>
  <si>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</si>
  <si>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</si>
  <si>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</si>
  <si>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</si>
  <si>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</si>
  <si>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</si>
  <si>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</si>
  <si>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</si>
  <si>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</si>
  <si>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</si>
  <si>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</si>
  <si>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</si>
  <si>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</si>
  <si>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</si>
  <si>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</si>
  <si>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</si>
  <si>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</si>
  <si>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</si>
  <si>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</si>
  <si>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</si>
  <si>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</si>
  <si>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</si>
  <si>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</si>
  <si>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</si>
  <si>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</si>
  <si>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</si>
  <si>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</si>
  <si>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</si>
  <si>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</si>
  <si>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</si>
  <si>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</si>
  <si>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</si>
  <si>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</si>
  <si>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</si>
  <si>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</si>
  <si>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</si>
  <si>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</si>
  <si>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</si>
  <si>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</si>
  <si>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</si>
  <si>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</si>
  <si>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</si>
  <si>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</si>
  <si>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</si>
  <si>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</si>
  <si>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</si>
  <si>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</si>
  <si>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</si>
  <si>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</si>
  <si>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</si>
  <si>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</si>
  <si>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</si>
  <si>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</si>
  <si>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</si>
  <si>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</si>
  <si>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</si>
  <si>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</si>
  <si>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</si>
  <si>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</si>
  <si>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</si>
  <si>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</si>
  <si>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</si>
  <si>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</si>
  <si>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</si>
  <si>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</si>
  <si>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</si>
  <si>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</si>
  <si>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</si>
  <si>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</si>
  <si>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</si>
  <si>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</si>
  <si>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</si>
  <si>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</si>
  <si>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</si>
  <si>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</si>
  <si>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</si>
  <si>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</si>
  <si>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</si>
  <si>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</si>
  <si>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</si>
  <si>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</si>
  <si>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</si>
  <si>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</si>
  <si>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</si>
  <si>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</si>
  <si>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</si>
  <si>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</si>
  <si>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</si>
  <si>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</si>
  <si>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</si>
  <si>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</si>
  <si>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</si>
  <si>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</si>
  <si>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</si>
  <si>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</si>
  <si>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</si>
  <si>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</si>
  <si>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</si>
  <si>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</si>
  <si>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</si>
  <si>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</si>
  <si>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</si>
  <si>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</si>
  <si>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</si>
  <si>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</si>
  <si>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</si>
  <si>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</si>
  <si>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</si>
  <si>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</si>
  <si>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</si>
  <si>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</si>
  <si>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</si>
  <si>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</si>
  <si>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</si>
  <si>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</si>
  <si>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</si>
  <si>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</si>
  <si>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</si>
  <si>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</si>
  <si>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</si>
  <si>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</si>
  <si>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</si>
  <si>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</si>
  <si>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</si>
  <si>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</si>
  <si>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</si>
  <si>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</si>
  <si>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</si>
  <si>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</si>
  <si>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</si>
  <si>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</si>
  <si>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</si>
  <si>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</si>
  <si>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</si>
  <si>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</si>
  <si>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</si>
  <si>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</si>
  <si>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</si>
  <si>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</si>
  <si>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</si>
  <si>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</si>
  <si>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</si>
  <si>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</si>
  <si>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</si>
  <si>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</si>
  <si>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</si>
  <si>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</si>
  <si>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</si>
  <si>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</si>
  <si>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</si>
  <si>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</si>
  <si>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</si>
  <si>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</si>
  <si>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</si>
  <si>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</si>
  <si>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</si>
  <si>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</si>
  <si>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</si>
  <si>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</si>
  <si>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</si>
  <si>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</si>
  <si>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</si>
  <si>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</si>
  <si>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</si>
  <si>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</si>
  <si>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</si>
  <si>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</si>
  <si>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</si>
  <si>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</si>
  <si>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</si>
  <si>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</si>
  <si>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</si>
  <si>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</si>
  <si>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</si>
  <si>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</si>
  <si>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</si>
  <si>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</si>
  <si>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</si>
  <si>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</si>
  <si>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</si>
  <si>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</si>
  <si>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</si>
  <si>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</si>
  <si>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</si>
  <si>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</si>
  <si>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</si>
  <si>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</si>
  <si>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</si>
  <si>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</si>
  <si>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</si>
  <si>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</si>
  <si>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</si>
  <si>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</si>
  <si>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</si>
  <si>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</si>
  <si>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</si>
  <si>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</si>
  <si>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</si>
  <si>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</si>
  <si>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</si>
  <si>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</si>
  <si>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</si>
  <si>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</si>
  <si>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</si>
  <si>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</si>
  <si>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</si>
  <si>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</si>
  <si>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</si>
  <si>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</si>
  <si>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</si>
  <si>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</si>
  <si>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</si>
  <si>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</si>
  <si>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</si>
  <si>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</si>
  <si>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</si>
  <si>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</si>
  <si>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</si>
  <si>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</si>
  <si>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</si>
  <si>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</si>
  <si>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</si>
  <si>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</si>
  <si>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</si>
  <si>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</si>
  <si>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</si>
  <si>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</si>
  <si>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</si>
  <si>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</si>
  <si>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</si>
  <si>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</si>
  <si>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</si>
  <si>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</si>
  <si>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</si>
  <si>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</si>
  <si>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</si>
  <si>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</si>
  <si>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</si>
  <si>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</si>
  <si>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</si>
  <si>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</si>
  <si>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</si>
  <si>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</si>
  <si>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</si>
  <si>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</si>
  <si>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</si>
  <si>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</si>
  <si>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</si>
  <si>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</si>
  <si>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</si>
  <si>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</si>
  <si>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</si>
  <si>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</si>
  <si>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</si>
  <si>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</si>
  <si>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</si>
  <si>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</si>
  <si>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</si>
  <si>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</si>
  <si>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</si>
  <si>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</si>
  <si>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</si>
  <si>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</si>
  <si>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</si>
  <si>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</si>
  <si>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</si>
  <si>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</si>
  <si>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</si>
  <si>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</si>
  <si>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</si>
  <si>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</si>
  <si>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</si>
  <si>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</si>
  <si>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</si>
  <si>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</si>
  <si>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</si>
  <si>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</si>
  <si>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</si>
  <si>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</si>
  <si>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</si>
  <si>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</si>
  <si>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lcu_per_usd_clean</t>
  </si>
  <si>
    <t>data year</t>
  </si>
  <si>
    <t>Official exchange rate (LCU per US$, period average) |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</si>
</sst>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worldbank.org/indicator/PA.NUS.FC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85E3-D6C9-493B-9692-512108BF7F13}">
  <dimension ref="A1:D216"/>
  <sheetViews>
    <sheetView tabSelected="1" workbookViewId="0"/>
  </sheetViews>
  <sheetFormatPr defaultRowHeight="14.4" x14ac:dyDescent="0.3"/>
  <cols>
    <col min="1" max="1" width="23.44140625" customWidth="1"/>
    <col min="2" max="2" width="14.109375" customWidth="1"/>
    <col min="3" max="3" width="24.6640625" customWidth="1"/>
    <col min="4" max="4" width="13.21875" customWidth="1"/>
  </cols>
  <sheetData>
    <row r="1" spans="1:4" x14ac:dyDescent="0.3">
      <c r="A1" s="3" t="s">
        <v>0</v>
      </c>
      <c r="B1" s="3" t="s">
        <v>1</v>
      </c>
      <c r="C1" s="3" t="s">
        <v>538</v>
      </c>
      <c r="D1" s="3" t="s">
        <v>539</v>
      </c>
    </row>
    <row r="2" spans="1:4" x14ac:dyDescent="0.3">
      <c r="A2" t="s">
        <v>4</v>
      </c>
      <c r="B2" t="s">
        <v>5</v>
      </c>
      <c r="C2" s="2" cm="1">
        <f t="array" ref="C2">ROUND(_xlfn.LET(
  _xlpm.r, INDEX('Raw_from_worldbank_PA.NUS.FCRF'!$C$2:$BR$272,
           MATCH(B2,'Raw_from_worldbank_PA.NUS.FCRF'!$B$2:$B$272,0),0),
  LOOKUP(2,1/(_xlpm.r&lt;&gt;""),_xlpm.r)
),2)</f>
        <v>1.79</v>
      </c>
      <c r="D2" cm="1">
        <f t="array" ref="D2">_xlfn.LET(
  _xlpm.r, INDEX('Raw_from_worldbank_PA.NUS.FCRF'!$C$2:$BR$272,
           MATCH(B2,'Raw_from_worldbank_PA.NUS.FCRF'!$B$2:$B$272,0),0),
  _xlpm.yrs, 'Raw_from_worldbank_PA.NUS.FCRF'!$C$1:$BR$1,
  LOOKUP(2,1/(_xlpm.r&lt;&gt;""),_xlpm.yrs)
)</f>
        <v>2024</v>
      </c>
    </row>
    <row r="3" spans="1:4" x14ac:dyDescent="0.3">
      <c r="A3" t="s">
        <v>10</v>
      </c>
      <c r="B3" t="s">
        <v>11</v>
      </c>
      <c r="C3" s="2" cm="1">
        <f t="array" ref="C3">ROUND(_xlfn.LET(
  _xlpm.r, INDEX('Raw_from_worldbank_PA.NUS.FCRF'!$C$2:$BR$272,
           MATCH(B3,'Raw_from_worldbank_PA.NUS.FCRF'!$B$2:$B$272,0),0),
  LOOKUP(2,1/(_xlpm.r&lt;&gt;""),_xlpm.r)
),2)</f>
        <v>76.81</v>
      </c>
      <c r="D3" cm="1">
        <f t="array" ref="D3">_xlfn.LET(
  _xlpm.r, INDEX('Raw_from_worldbank_PA.NUS.FCRF'!$C$2:$BR$272,
           MATCH(B3,'Raw_from_worldbank_PA.NUS.FCRF'!$B$2:$B$272,0),0),
  _xlpm.yrs, 'Raw_from_worldbank_PA.NUS.FCRF'!$C$1:$BR$1,
  LOOKUP(2,1/(_xlpm.r&lt;&gt;""),_xlpm.yrs)
)</f>
        <v>2020</v>
      </c>
    </row>
    <row r="4" spans="1:4" x14ac:dyDescent="0.3">
      <c r="A4" t="s">
        <v>14</v>
      </c>
      <c r="B4" t="s">
        <v>15</v>
      </c>
      <c r="C4" s="2" cm="1">
        <f t="array" ref="C4">ROUND(_xlfn.LET(
  _xlpm.r, INDEX('Raw_from_worldbank_PA.NUS.FCRF'!$C$2:$BR$272,
           MATCH(B4,'Raw_from_worldbank_PA.NUS.FCRF'!$B$2:$B$272,0),0),
  LOOKUP(2,1/(_xlpm.r&lt;&gt;""),_xlpm.r)
),2)</f>
        <v>869.85</v>
      </c>
      <c r="D4" cm="1">
        <f t="array" ref="D4">_xlfn.LET(
  _xlpm.r, INDEX('Raw_from_worldbank_PA.NUS.FCRF'!$C$2:$BR$272,
           MATCH(B4,'Raw_from_worldbank_PA.NUS.FCRF'!$B$2:$B$272,0),0),
  _xlpm.yrs, 'Raw_from_worldbank_PA.NUS.FCRF'!$C$1:$BR$1,
  LOOKUP(2,1/(_xlpm.r&lt;&gt;""),_xlpm.yrs)
)</f>
        <v>2024</v>
      </c>
    </row>
    <row r="5" spans="1:4" x14ac:dyDescent="0.3">
      <c r="A5" t="s">
        <v>16</v>
      </c>
      <c r="B5" t="s">
        <v>17</v>
      </c>
      <c r="C5" s="2" cm="1">
        <f t="array" ref="C5">ROUND(_xlfn.LET(
  _xlpm.r, INDEX('Raw_from_worldbank_PA.NUS.FCRF'!$C$2:$BR$272,
           MATCH(B5,'Raw_from_worldbank_PA.NUS.FCRF'!$B$2:$B$272,0),0),
  LOOKUP(2,1/(_xlpm.r&lt;&gt;""),_xlpm.r)
),2)</f>
        <v>93.12</v>
      </c>
      <c r="D5" cm="1">
        <f t="array" ref="D5">_xlfn.LET(
  _xlpm.r, INDEX('Raw_from_worldbank_PA.NUS.FCRF'!$C$2:$BR$272,
           MATCH(B5,'Raw_from_worldbank_PA.NUS.FCRF'!$B$2:$B$272,0),0),
  _xlpm.yrs, 'Raw_from_worldbank_PA.NUS.FCRF'!$C$1:$BR$1,
  LOOKUP(2,1/(_xlpm.r&lt;&gt;""),_xlpm.yrs)
)</f>
        <v>2024</v>
      </c>
    </row>
    <row r="6" spans="1:4" x14ac:dyDescent="0.3">
      <c r="A6" t="s">
        <v>18</v>
      </c>
      <c r="B6" t="s">
        <v>19</v>
      </c>
      <c r="C6" s="2" cm="1">
        <f t="array" ref="C6">ROUND(_xlfn.LET(
  _xlpm.r, INDEX('Raw_from_worldbank_PA.NUS.FCRF'!$C$2:$BR$272,
           MATCH(B6,'Raw_from_worldbank_PA.NUS.FCRF'!$B$2:$B$272,0),0),
  LOOKUP(2,1/(_xlpm.r&lt;&gt;""),_xlpm.r)
),2)</f>
        <v>0.92</v>
      </c>
      <c r="D6" cm="1">
        <f t="array" ref="D6">_xlfn.LET(
  _xlpm.r, INDEX('Raw_from_worldbank_PA.NUS.FCRF'!$C$2:$BR$272,
           MATCH(B6,'Raw_from_worldbank_PA.NUS.FCRF'!$B$2:$B$272,0),0),
  _xlpm.yrs, 'Raw_from_worldbank_PA.NUS.FCRF'!$C$1:$BR$1,
  LOOKUP(2,1/(_xlpm.r&lt;&gt;""),_xlpm.yrs)
)</f>
        <v>2024</v>
      </c>
    </row>
    <row r="7" spans="1:4" x14ac:dyDescent="0.3">
      <c r="A7" t="s">
        <v>22</v>
      </c>
      <c r="B7" t="s">
        <v>23</v>
      </c>
      <c r="C7" s="2" cm="1">
        <f t="array" ref="C7">ROUND(_xlfn.LET(
  _xlpm.r, INDEX('Raw_from_worldbank_PA.NUS.FCRF'!$C$2:$BR$272,
           MATCH(B7,'Raw_from_worldbank_PA.NUS.FCRF'!$B$2:$B$272,0),0),
  LOOKUP(2,1/(_xlpm.r&lt;&gt;""),_xlpm.r)
),2)</f>
        <v>3.67</v>
      </c>
      <c r="D7" cm="1">
        <f t="array" ref="D7">_xlfn.LET(
  _xlpm.r, INDEX('Raw_from_worldbank_PA.NUS.FCRF'!$C$2:$BR$272,
           MATCH(B7,'Raw_from_worldbank_PA.NUS.FCRF'!$B$2:$B$272,0),0),
  _xlpm.yrs, 'Raw_from_worldbank_PA.NUS.FCRF'!$C$1:$BR$1,
  LOOKUP(2,1/(_xlpm.r&lt;&gt;""),_xlpm.yrs)
)</f>
        <v>2024</v>
      </c>
    </row>
    <row r="8" spans="1:4" x14ac:dyDescent="0.3">
      <c r="A8" t="s">
        <v>24</v>
      </c>
      <c r="B8" t="s">
        <v>25</v>
      </c>
      <c r="C8" s="2" cm="1">
        <f t="array" ref="C8">ROUND(_xlfn.LET(
  _xlpm.r, INDEX('Raw_from_worldbank_PA.NUS.FCRF'!$C$2:$BR$272,
           MATCH(B8,'Raw_from_worldbank_PA.NUS.FCRF'!$B$2:$B$272,0),0),
  LOOKUP(2,1/(_xlpm.r&lt;&gt;""),_xlpm.r)
),2)</f>
        <v>914.69</v>
      </c>
      <c r="D8" cm="1">
        <f t="array" ref="D8">_xlfn.LET(
  _xlpm.r, INDEX('Raw_from_worldbank_PA.NUS.FCRF'!$C$2:$BR$272,
           MATCH(B8,'Raw_from_worldbank_PA.NUS.FCRF'!$B$2:$B$272,0),0),
  _xlpm.yrs, 'Raw_from_worldbank_PA.NUS.FCRF'!$C$1:$BR$1,
  LOOKUP(2,1/(_xlpm.r&lt;&gt;""),_xlpm.yrs)
)</f>
        <v>2024</v>
      </c>
    </row>
    <row r="9" spans="1:4" x14ac:dyDescent="0.3">
      <c r="A9" t="s">
        <v>26</v>
      </c>
      <c r="B9" t="s">
        <v>27</v>
      </c>
      <c r="C9" s="2" cm="1">
        <f t="array" ref="C9">ROUND(_xlfn.LET(
  _xlpm.r, INDEX('Raw_from_worldbank_PA.NUS.FCRF'!$C$2:$BR$272,
           MATCH(B9,'Raw_from_worldbank_PA.NUS.FCRF'!$B$2:$B$272,0),0),
  LOOKUP(2,1/(_xlpm.r&lt;&gt;""),_xlpm.r)
),2)</f>
        <v>392.73</v>
      </c>
      <c r="D9" cm="1">
        <f t="array" ref="D9">_xlfn.LET(
  _xlpm.r, INDEX('Raw_from_worldbank_PA.NUS.FCRF'!$C$2:$BR$272,
           MATCH(B9,'Raw_from_worldbank_PA.NUS.FCRF'!$B$2:$B$272,0),0),
  _xlpm.yrs, 'Raw_from_worldbank_PA.NUS.FCRF'!$C$1:$BR$1,
  LOOKUP(2,1/(_xlpm.r&lt;&gt;""),_xlpm.yrs)
)</f>
        <v>2024</v>
      </c>
    </row>
    <row r="10" spans="1:4" x14ac:dyDescent="0.3">
      <c r="A10" t="s">
        <v>28</v>
      </c>
      <c r="B10" t="s">
        <v>29</v>
      </c>
      <c r="C10" s="2" cm="1">
        <f t="array" ref="C10">ROUND(_xlfn.LET(
  _xlpm.r, INDEX('Raw_from_worldbank_PA.NUS.FCRF'!$C$2:$BR$272,
           MATCH(B10,'Raw_from_worldbank_PA.NUS.FCRF'!$B$2:$B$272,0),0),
  LOOKUP(2,1/(_xlpm.r&lt;&gt;""),_xlpm.r)
),2)</f>
        <v>1</v>
      </c>
      <c r="D10" cm="1">
        <f t="array" ref="D10">_xlfn.LET(
  _xlpm.r, INDEX('Raw_from_worldbank_PA.NUS.FCRF'!$C$2:$BR$272,
           MATCH(B10,'Raw_from_worldbank_PA.NUS.FCRF'!$B$2:$B$272,0),0),
  _xlpm.yrs, 'Raw_from_worldbank_PA.NUS.FCRF'!$C$1:$BR$1,
  LOOKUP(2,1/(_xlpm.r&lt;&gt;""),_xlpm.yrs)
)</f>
        <v>2024</v>
      </c>
    </row>
    <row r="11" spans="1:4" x14ac:dyDescent="0.3">
      <c r="A11" t="s">
        <v>30</v>
      </c>
      <c r="B11" t="s">
        <v>31</v>
      </c>
      <c r="C11" s="2" cm="1">
        <f t="array" ref="C11">ROUND(_xlfn.LET(
  _xlpm.r, INDEX('Raw_from_worldbank_PA.NUS.FCRF'!$C$2:$BR$272,
           MATCH(B11,'Raw_from_worldbank_PA.NUS.FCRF'!$B$2:$B$272,0),0),
  LOOKUP(2,1/(_xlpm.r&lt;&gt;""),_xlpm.r)
),2)</f>
        <v>2.7</v>
      </c>
      <c r="D11" cm="1">
        <f t="array" ref="D11">_xlfn.LET(
  _xlpm.r, INDEX('Raw_from_worldbank_PA.NUS.FCRF'!$C$2:$BR$272,
           MATCH(B11,'Raw_from_worldbank_PA.NUS.FCRF'!$B$2:$B$272,0),0),
  _xlpm.yrs, 'Raw_from_worldbank_PA.NUS.FCRF'!$C$1:$BR$1,
  LOOKUP(2,1/(_xlpm.r&lt;&gt;""),_xlpm.yrs)
)</f>
        <v>2024</v>
      </c>
    </row>
    <row r="12" spans="1:4" x14ac:dyDescent="0.3">
      <c r="A12" t="s">
        <v>32</v>
      </c>
      <c r="B12" t="s">
        <v>33</v>
      </c>
      <c r="C12" s="2" cm="1">
        <f t="array" ref="C12">ROUND(_xlfn.LET(
  _xlpm.r, INDEX('Raw_from_worldbank_PA.NUS.FCRF'!$C$2:$BR$272,
           MATCH(B12,'Raw_from_worldbank_PA.NUS.FCRF'!$B$2:$B$272,0),0),
  LOOKUP(2,1/(_xlpm.r&lt;&gt;""),_xlpm.r)
),2)</f>
        <v>1.52</v>
      </c>
      <c r="D12" cm="1">
        <f t="array" ref="D12">_xlfn.LET(
  _xlpm.r, INDEX('Raw_from_worldbank_PA.NUS.FCRF'!$C$2:$BR$272,
           MATCH(B12,'Raw_from_worldbank_PA.NUS.FCRF'!$B$2:$B$272,0),0),
  _xlpm.yrs, 'Raw_from_worldbank_PA.NUS.FCRF'!$C$1:$BR$1,
  LOOKUP(2,1/(_xlpm.r&lt;&gt;""),_xlpm.yrs)
)</f>
        <v>2024</v>
      </c>
    </row>
    <row r="13" spans="1:4" x14ac:dyDescent="0.3">
      <c r="A13" t="s">
        <v>34</v>
      </c>
      <c r="B13" t="s">
        <v>35</v>
      </c>
      <c r="C13" s="2" cm="1">
        <f t="array" ref="C13">ROUND(_xlfn.LET(
  _xlpm.r, INDEX('Raw_from_worldbank_PA.NUS.FCRF'!$C$2:$BR$272,
           MATCH(B13,'Raw_from_worldbank_PA.NUS.FCRF'!$B$2:$B$272,0),0),
  LOOKUP(2,1/(_xlpm.r&lt;&gt;""),_xlpm.r)
),2)</f>
        <v>0.92</v>
      </c>
      <c r="D13" cm="1">
        <f t="array" ref="D13">_xlfn.LET(
  _xlpm.r, INDEX('Raw_from_worldbank_PA.NUS.FCRF'!$C$2:$BR$272,
           MATCH(B13,'Raw_from_worldbank_PA.NUS.FCRF'!$B$2:$B$272,0),0),
  _xlpm.yrs, 'Raw_from_worldbank_PA.NUS.FCRF'!$C$1:$BR$1,
  LOOKUP(2,1/(_xlpm.r&lt;&gt;""),_xlpm.yrs)
)</f>
        <v>2024</v>
      </c>
    </row>
    <row r="14" spans="1:4" x14ac:dyDescent="0.3">
      <c r="A14" t="s">
        <v>36</v>
      </c>
      <c r="B14" t="s">
        <v>37</v>
      </c>
      <c r="C14" s="2" cm="1">
        <f t="array" ref="C14">ROUND(_xlfn.LET(
  _xlpm.r, INDEX('Raw_from_worldbank_PA.NUS.FCRF'!$C$2:$BR$272,
           MATCH(B14,'Raw_from_worldbank_PA.NUS.FCRF'!$B$2:$B$272,0),0),
  LOOKUP(2,1/(_xlpm.r&lt;&gt;""),_xlpm.r)
),2)</f>
        <v>1.7</v>
      </c>
      <c r="D14" cm="1">
        <f t="array" ref="D14">_xlfn.LET(
  _xlpm.r, INDEX('Raw_from_worldbank_PA.NUS.FCRF'!$C$2:$BR$272,
           MATCH(B14,'Raw_from_worldbank_PA.NUS.FCRF'!$B$2:$B$272,0),0),
  _xlpm.yrs, 'Raw_from_worldbank_PA.NUS.FCRF'!$C$1:$BR$1,
  LOOKUP(2,1/(_xlpm.r&lt;&gt;""),_xlpm.yrs)
)</f>
        <v>2024</v>
      </c>
    </row>
    <row r="15" spans="1:4" x14ac:dyDescent="0.3">
      <c r="A15" t="s">
        <v>38</v>
      </c>
      <c r="B15" t="s">
        <v>39</v>
      </c>
      <c r="C15" s="2" cm="1">
        <f t="array" ref="C15">ROUND(_xlfn.LET(
  _xlpm.r, INDEX('Raw_from_worldbank_PA.NUS.FCRF'!$C$2:$BR$272,
           MATCH(B15,'Raw_from_worldbank_PA.NUS.FCRF'!$B$2:$B$272,0),0),
  LOOKUP(2,1/(_xlpm.r&lt;&gt;""),_xlpm.r)
),2)</f>
        <v>2885.25</v>
      </c>
      <c r="D15" cm="1">
        <f t="array" ref="D15">_xlfn.LET(
  _xlpm.r, INDEX('Raw_from_worldbank_PA.NUS.FCRF'!$C$2:$BR$272,
           MATCH(B15,'Raw_from_worldbank_PA.NUS.FCRF'!$B$2:$B$272,0),0),
  _xlpm.yrs, 'Raw_from_worldbank_PA.NUS.FCRF'!$C$1:$BR$1,
  LOOKUP(2,1/(_xlpm.r&lt;&gt;""),_xlpm.yrs)
)</f>
        <v>2024</v>
      </c>
    </row>
    <row r="16" spans="1:4" x14ac:dyDescent="0.3">
      <c r="A16" t="s">
        <v>40</v>
      </c>
      <c r="B16" t="s">
        <v>41</v>
      </c>
      <c r="C16" s="2" cm="1">
        <f t="array" ref="C16">ROUND(_xlfn.LET(
  _xlpm.r, INDEX('Raw_from_worldbank_PA.NUS.FCRF'!$C$2:$BR$272,
           MATCH(B16,'Raw_from_worldbank_PA.NUS.FCRF'!$B$2:$B$272,0),0),
  LOOKUP(2,1/(_xlpm.r&lt;&gt;""),_xlpm.r)
),2)</f>
        <v>0.92</v>
      </c>
      <c r="D16" cm="1">
        <f t="array" ref="D16">_xlfn.LET(
  _xlpm.r, INDEX('Raw_from_worldbank_PA.NUS.FCRF'!$C$2:$BR$272,
           MATCH(B16,'Raw_from_worldbank_PA.NUS.FCRF'!$B$2:$B$272,0),0),
  _xlpm.yrs, 'Raw_from_worldbank_PA.NUS.FCRF'!$C$1:$BR$1,
  LOOKUP(2,1/(_xlpm.r&lt;&gt;""),_xlpm.yrs)
)</f>
        <v>2024</v>
      </c>
    </row>
    <row r="17" spans="1:4" x14ac:dyDescent="0.3">
      <c r="A17" t="s">
        <v>42</v>
      </c>
      <c r="B17" t="s">
        <v>43</v>
      </c>
      <c r="C17" s="2" cm="1">
        <f t="array" ref="C17">ROUND(_xlfn.LET(
  _xlpm.r, INDEX('Raw_from_worldbank_PA.NUS.FCRF'!$C$2:$BR$272,
           MATCH(B17,'Raw_from_worldbank_PA.NUS.FCRF'!$B$2:$B$272,0),0),
  LOOKUP(2,1/(_xlpm.r&lt;&gt;""),_xlpm.r)
),2)</f>
        <v>606.35</v>
      </c>
      <c r="D17" cm="1">
        <f t="array" ref="D17">_xlfn.LET(
  _xlpm.r, INDEX('Raw_from_worldbank_PA.NUS.FCRF'!$C$2:$BR$272,
           MATCH(B17,'Raw_from_worldbank_PA.NUS.FCRF'!$B$2:$B$272,0),0),
  _xlpm.yrs, 'Raw_from_worldbank_PA.NUS.FCRF'!$C$1:$BR$1,
  LOOKUP(2,1/(_xlpm.r&lt;&gt;""),_xlpm.yrs)
)</f>
        <v>2024</v>
      </c>
    </row>
    <row r="18" spans="1:4" x14ac:dyDescent="0.3">
      <c r="A18" t="s">
        <v>44</v>
      </c>
      <c r="B18" t="s">
        <v>45</v>
      </c>
      <c r="C18" s="2" cm="1">
        <f t="array" ref="C18">ROUND(_xlfn.LET(
  _xlpm.r, INDEX('Raw_from_worldbank_PA.NUS.FCRF'!$C$2:$BR$272,
           MATCH(B18,'Raw_from_worldbank_PA.NUS.FCRF'!$B$2:$B$272,0),0),
  LOOKUP(2,1/(_xlpm.r&lt;&gt;""),_xlpm.r)
),2)</f>
        <v>606.35</v>
      </c>
      <c r="D18" cm="1">
        <f t="array" ref="D18">_xlfn.LET(
  _xlpm.r, INDEX('Raw_from_worldbank_PA.NUS.FCRF'!$C$2:$BR$272,
           MATCH(B18,'Raw_from_worldbank_PA.NUS.FCRF'!$B$2:$B$272,0),0),
  _xlpm.yrs, 'Raw_from_worldbank_PA.NUS.FCRF'!$C$1:$BR$1,
  LOOKUP(2,1/(_xlpm.r&lt;&gt;""),_xlpm.yrs)
)</f>
        <v>2024</v>
      </c>
    </row>
    <row r="19" spans="1:4" x14ac:dyDescent="0.3">
      <c r="A19" t="s">
        <v>46</v>
      </c>
      <c r="B19" t="s">
        <v>47</v>
      </c>
      <c r="C19" s="2" cm="1">
        <f t="array" ref="C19">ROUND(_xlfn.LET(
  _xlpm.r, INDEX('Raw_from_worldbank_PA.NUS.FCRF'!$C$2:$BR$272,
           MATCH(B19,'Raw_from_worldbank_PA.NUS.FCRF'!$B$2:$B$272,0),0),
  LOOKUP(2,1/(_xlpm.r&lt;&gt;""),_xlpm.r)
),2)</f>
        <v>115.6</v>
      </c>
      <c r="D19" cm="1">
        <f t="array" ref="D19">_xlfn.LET(
  _xlpm.r, INDEX('Raw_from_worldbank_PA.NUS.FCRF'!$C$2:$BR$272,
           MATCH(B19,'Raw_from_worldbank_PA.NUS.FCRF'!$B$2:$B$272,0),0),
  _xlpm.yrs, 'Raw_from_worldbank_PA.NUS.FCRF'!$C$1:$BR$1,
  LOOKUP(2,1/(_xlpm.r&lt;&gt;""),_xlpm.yrs)
)</f>
        <v>2024</v>
      </c>
    </row>
    <row r="20" spans="1:4" x14ac:dyDescent="0.3">
      <c r="A20" t="s">
        <v>48</v>
      </c>
      <c r="B20" t="s">
        <v>49</v>
      </c>
      <c r="C20" s="2" cm="1">
        <f t="array" ref="C20">ROUND(_xlfn.LET(
  _xlpm.r, INDEX('Raw_from_worldbank_PA.NUS.FCRF'!$C$2:$BR$272,
           MATCH(B20,'Raw_from_worldbank_PA.NUS.FCRF'!$B$2:$B$272,0),0),
  LOOKUP(2,1/(_xlpm.r&lt;&gt;""),_xlpm.r)
),2)</f>
        <v>1.81</v>
      </c>
      <c r="D20" cm="1">
        <f t="array" ref="D20">_xlfn.LET(
  _xlpm.r, INDEX('Raw_from_worldbank_PA.NUS.FCRF'!$C$2:$BR$272,
           MATCH(B20,'Raw_from_worldbank_PA.NUS.FCRF'!$B$2:$B$272,0),0),
  _xlpm.yrs, 'Raw_from_worldbank_PA.NUS.FCRF'!$C$1:$BR$1,
  LOOKUP(2,1/(_xlpm.r&lt;&gt;""),_xlpm.yrs)
)</f>
        <v>2024</v>
      </c>
    </row>
    <row r="21" spans="1:4" x14ac:dyDescent="0.3">
      <c r="A21" t="s">
        <v>50</v>
      </c>
      <c r="B21" t="s">
        <v>51</v>
      </c>
      <c r="C21" s="2" cm="1">
        <f t="array" ref="C21">ROUND(_xlfn.LET(
  _xlpm.r, INDEX('Raw_from_worldbank_PA.NUS.FCRF'!$C$2:$BR$272,
           MATCH(B21,'Raw_from_worldbank_PA.NUS.FCRF'!$B$2:$B$272,0),0),
  LOOKUP(2,1/(_xlpm.r&lt;&gt;""),_xlpm.r)
),2)</f>
        <v>0.38</v>
      </c>
      <c r="D21" cm="1">
        <f t="array" ref="D21">_xlfn.LET(
  _xlpm.r, INDEX('Raw_from_worldbank_PA.NUS.FCRF'!$C$2:$BR$272,
           MATCH(B21,'Raw_from_worldbank_PA.NUS.FCRF'!$B$2:$B$272,0),0),
  _xlpm.yrs, 'Raw_from_worldbank_PA.NUS.FCRF'!$C$1:$BR$1,
  LOOKUP(2,1/(_xlpm.r&lt;&gt;""),_xlpm.yrs)
)</f>
        <v>2024</v>
      </c>
    </row>
    <row r="22" spans="1:4" x14ac:dyDescent="0.3">
      <c r="A22" t="s">
        <v>52</v>
      </c>
      <c r="B22" t="s">
        <v>53</v>
      </c>
      <c r="C22" s="2" cm="1">
        <f t="array" ref="C22">ROUND(_xlfn.LET(
  _xlpm.r, INDEX('Raw_from_worldbank_PA.NUS.FCRF'!$C$2:$BR$272,
           MATCH(B22,'Raw_from_worldbank_PA.NUS.FCRF'!$B$2:$B$272,0),0),
  LOOKUP(2,1/(_xlpm.r&lt;&gt;""),_xlpm.r)
),2)</f>
        <v>1</v>
      </c>
      <c r="D22" cm="1">
        <f t="array" ref="D22">_xlfn.LET(
  _xlpm.r, INDEX('Raw_from_worldbank_PA.NUS.FCRF'!$C$2:$BR$272,
           MATCH(B22,'Raw_from_worldbank_PA.NUS.FCRF'!$B$2:$B$272,0),0),
  _xlpm.yrs, 'Raw_from_worldbank_PA.NUS.FCRF'!$C$1:$BR$1,
  LOOKUP(2,1/(_xlpm.r&lt;&gt;""),_xlpm.yrs)
)</f>
        <v>2024</v>
      </c>
    </row>
    <row r="23" spans="1:4" x14ac:dyDescent="0.3">
      <c r="A23" t="s">
        <v>54</v>
      </c>
      <c r="B23" t="s">
        <v>55</v>
      </c>
      <c r="C23" s="2" cm="1">
        <f t="array" ref="C23">ROUND(_xlfn.LET(
  _xlpm.r, INDEX('Raw_from_worldbank_PA.NUS.FCRF'!$C$2:$BR$272,
           MATCH(B23,'Raw_from_worldbank_PA.NUS.FCRF'!$B$2:$B$272,0),0),
  LOOKUP(2,1/(_xlpm.r&lt;&gt;""),_xlpm.r)
),2)</f>
        <v>1.81</v>
      </c>
      <c r="D23" cm="1">
        <f t="array" ref="D23">_xlfn.LET(
  _xlpm.r, INDEX('Raw_from_worldbank_PA.NUS.FCRF'!$C$2:$BR$272,
           MATCH(B23,'Raw_from_worldbank_PA.NUS.FCRF'!$B$2:$B$272,0),0),
  _xlpm.yrs, 'Raw_from_worldbank_PA.NUS.FCRF'!$C$1:$BR$1,
  LOOKUP(2,1/(_xlpm.r&lt;&gt;""),_xlpm.yrs)
)</f>
        <v>2024</v>
      </c>
    </row>
    <row r="24" spans="1:4" x14ac:dyDescent="0.3">
      <c r="A24" t="s">
        <v>56</v>
      </c>
      <c r="B24" t="s">
        <v>57</v>
      </c>
      <c r="C24" s="2" cm="1">
        <f t="array" ref="C24">ROUND(_xlfn.LET(
  _xlpm.r, INDEX('Raw_from_worldbank_PA.NUS.FCRF'!$C$2:$BR$272,
           MATCH(B24,'Raw_from_worldbank_PA.NUS.FCRF'!$B$2:$B$272,0),0),
  LOOKUP(2,1/(_xlpm.r&lt;&gt;""),_xlpm.r)
),2)</f>
        <v>3.25</v>
      </c>
      <c r="D24" cm="1">
        <f t="array" ref="D24">_xlfn.LET(
  _xlpm.r, INDEX('Raw_from_worldbank_PA.NUS.FCRF'!$C$2:$BR$272,
           MATCH(B24,'Raw_from_worldbank_PA.NUS.FCRF'!$B$2:$B$272,0),0),
  _xlpm.yrs, 'Raw_from_worldbank_PA.NUS.FCRF'!$C$1:$BR$1,
  LOOKUP(2,1/(_xlpm.r&lt;&gt;""),_xlpm.yrs)
)</f>
        <v>2024</v>
      </c>
    </row>
    <row r="25" spans="1:4" x14ac:dyDescent="0.3">
      <c r="A25" t="s">
        <v>58</v>
      </c>
      <c r="B25" t="s">
        <v>59</v>
      </c>
      <c r="C25" s="2" cm="1">
        <f t="array" ref="C25">ROUND(_xlfn.LET(
  _xlpm.r, INDEX('Raw_from_worldbank_PA.NUS.FCRF'!$C$2:$BR$272,
           MATCH(B25,'Raw_from_worldbank_PA.NUS.FCRF'!$B$2:$B$272,0),0),
  LOOKUP(2,1/(_xlpm.r&lt;&gt;""),_xlpm.r)
),2)</f>
        <v>2</v>
      </c>
      <c r="D25" cm="1">
        <f t="array" ref="D25">_xlfn.LET(
  _xlpm.r, INDEX('Raw_from_worldbank_PA.NUS.FCRF'!$C$2:$BR$272,
           MATCH(B25,'Raw_from_worldbank_PA.NUS.FCRF'!$B$2:$B$272,0),0),
  _xlpm.yrs, 'Raw_from_worldbank_PA.NUS.FCRF'!$C$1:$BR$1,
  LOOKUP(2,1/(_xlpm.r&lt;&gt;""),_xlpm.yrs)
)</f>
        <v>2024</v>
      </c>
    </row>
    <row r="26" spans="1:4" x14ac:dyDescent="0.3">
      <c r="A26" t="s">
        <v>60</v>
      </c>
      <c r="B26" t="s">
        <v>61</v>
      </c>
      <c r="C26" s="2" cm="1">
        <f t="array" ref="C26">ROUND(_xlfn.LET(
  _xlpm.r, INDEX('Raw_from_worldbank_PA.NUS.FCRF'!$C$2:$BR$272,
           MATCH(B26,'Raw_from_worldbank_PA.NUS.FCRF'!$B$2:$B$272,0),0),
  LOOKUP(2,1/(_xlpm.r&lt;&gt;""),_xlpm.r)
),2)</f>
        <v>1</v>
      </c>
      <c r="D26" cm="1">
        <f t="array" ref="D26">_xlfn.LET(
  _xlpm.r, INDEX('Raw_from_worldbank_PA.NUS.FCRF'!$C$2:$BR$272,
           MATCH(B26,'Raw_from_worldbank_PA.NUS.FCRF'!$B$2:$B$272,0),0),
  _xlpm.yrs, 'Raw_from_worldbank_PA.NUS.FCRF'!$C$1:$BR$1,
  LOOKUP(2,1/(_xlpm.r&lt;&gt;""),_xlpm.yrs)
)</f>
        <v>2024</v>
      </c>
    </row>
    <row r="27" spans="1:4" x14ac:dyDescent="0.3">
      <c r="A27" t="s">
        <v>62</v>
      </c>
      <c r="B27" t="s">
        <v>63</v>
      </c>
      <c r="C27" s="2" cm="1">
        <f t="array" ref="C27">ROUND(_xlfn.LET(
  _xlpm.r, INDEX('Raw_from_worldbank_PA.NUS.FCRF'!$C$2:$BR$272,
           MATCH(B27,'Raw_from_worldbank_PA.NUS.FCRF'!$B$2:$B$272,0),0),
  LOOKUP(2,1/(_xlpm.r&lt;&gt;""),_xlpm.r)
),2)</f>
        <v>6.91</v>
      </c>
      <c r="D27" cm="1">
        <f t="array" ref="D27">_xlfn.LET(
  _xlpm.r, INDEX('Raw_from_worldbank_PA.NUS.FCRF'!$C$2:$BR$272,
           MATCH(B27,'Raw_from_worldbank_PA.NUS.FCRF'!$B$2:$B$272,0),0),
  _xlpm.yrs, 'Raw_from_worldbank_PA.NUS.FCRF'!$C$1:$BR$1,
  LOOKUP(2,1/(_xlpm.r&lt;&gt;""),_xlpm.yrs)
)</f>
        <v>2024</v>
      </c>
    </row>
    <row r="28" spans="1:4" x14ac:dyDescent="0.3">
      <c r="A28" t="s">
        <v>64</v>
      </c>
      <c r="B28" t="s">
        <v>65</v>
      </c>
      <c r="C28" s="2" cm="1">
        <f t="array" ref="C28">ROUND(_xlfn.LET(
  _xlpm.r, INDEX('Raw_from_worldbank_PA.NUS.FCRF'!$C$2:$BR$272,
           MATCH(B28,'Raw_from_worldbank_PA.NUS.FCRF'!$B$2:$B$272,0),0),
  LOOKUP(2,1/(_xlpm.r&lt;&gt;""),_xlpm.r)
),2)</f>
        <v>5.39</v>
      </c>
      <c r="D28" cm="1">
        <f t="array" ref="D28">_xlfn.LET(
  _xlpm.r, INDEX('Raw_from_worldbank_PA.NUS.FCRF'!$C$2:$BR$272,
           MATCH(B28,'Raw_from_worldbank_PA.NUS.FCRF'!$B$2:$B$272,0),0),
  _xlpm.yrs, 'Raw_from_worldbank_PA.NUS.FCRF'!$C$1:$BR$1,
  LOOKUP(2,1/(_xlpm.r&lt;&gt;""),_xlpm.yrs)
)</f>
        <v>2024</v>
      </c>
    </row>
    <row r="29" spans="1:4" x14ac:dyDescent="0.3">
      <c r="A29" t="s">
        <v>66</v>
      </c>
      <c r="B29" t="s">
        <v>67</v>
      </c>
      <c r="C29" s="2" cm="1">
        <f t="array" ref="C29">ROUND(_xlfn.LET(
  _xlpm.r, INDEX('Raw_from_worldbank_PA.NUS.FCRF'!$C$2:$BR$272,
           MATCH(B29,'Raw_from_worldbank_PA.NUS.FCRF'!$B$2:$B$272,0),0),
  LOOKUP(2,1/(_xlpm.r&lt;&gt;""),_xlpm.r)
),2)</f>
        <v>2</v>
      </c>
      <c r="D29" cm="1">
        <f t="array" ref="D29">_xlfn.LET(
  _xlpm.r, INDEX('Raw_from_worldbank_PA.NUS.FCRF'!$C$2:$BR$272,
           MATCH(B29,'Raw_from_worldbank_PA.NUS.FCRF'!$B$2:$B$272,0),0),
  _xlpm.yrs, 'Raw_from_worldbank_PA.NUS.FCRF'!$C$1:$BR$1,
  LOOKUP(2,1/(_xlpm.r&lt;&gt;""),_xlpm.yrs)
)</f>
        <v>2024</v>
      </c>
    </row>
    <row r="30" spans="1:4" x14ac:dyDescent="0.3">
      <c r="A30" t="s">
        <v>68</v>
      </c>
      <c r="B30" t="s">
        <v>69</v>
      </c>
      <c r="C30" s="2" cm="1">
        <f t="array" ref="C30">ROUND(_xlfn.LET(
  _xlpm.r, INDEX('Raw_from_worldbank_PA.NUS.FCRF'!$C$2:$BR$272,
           MATCH(B30,'Raw_from_worldbank_PA.NUS.FCRF'!$B$2:$B$272,0),0),
  LOOKUP(2,1/(_xlpm.r&lt;&gt;""),_xlpm.r)
),2)</f>
        <v>1.34</v>
      </c>
      <c r="D30" cm="1">
        <f t="array" ref="D30">_xlfn.LET(
  _xlpm.r, INDEX('Raw_from_worldbank_PA.NUS.FCRF'!$C$2:$BR$272,
           MATCH(B30,'Raw_from_worldbank_PA.NUS.FCRF'!$B$2:$B$272,0),0),
  _xlpm.yrs, 'Raw_from_worldbank_PA.NUS.FCRF'!$C$1:$BR$1,
  LOOKUP(2,1/(_xlpm.r&lt;&gt;""),_xlpm.yrs)
)</f>
        <v>2024</v>
      </c>
    </row>
    <row r="31" spans="1:4" x14ac:dyDescent="0.3">
      <c r="A31" t="s">
        <v>70</v>
      </c>
      <c r="B31" t="s">
        <v>71</v>
      </c>
      <c r="C31" s="2" cm="1">
        <f t="array" ref="C31">ROUND(_xlfn.LET(
  _xlpm.r, INDEX('Raw_from_worldbank_PA.NUS.FCRF'!$C$2:$BR$272,
           MATCH(B31,'Raw_from_worldbank_PA.NUS.FCRF'!$B$2:$B$272,0),0),
  LOOKUP(2,1/(_xlpm.r&lt;&gt;""),_xlpm.r)
),2)</f>
        <v>83.67</v>
      </c>
      <c r="D31" cm="1">
        <f t="array" ref="D31">_xlfn.LET(
  _xlpm.r, INDEX('Raw_from_worldbank_PA.NUS.FCRF'!$C$2:$BR$272,
           MATCH(B31,'Raw_from_worldbank_PA.NUS.FCRF'!$B$2:$B$272,0),0),
  _xlpm.yrs, 'Raw_from_worldbank_PA.NUS.FCRF'!$C$1:$BR$1,
  LOOKUP(2,1/(_xlpm.r&lt;&gt;""),_xlpm.yrs)
)</f>
        <v>2024</v>
      </c>
    </row>
    <row r="32" spans="1:4" x14ac:dyDescent="0.3">
      <c r="A32" t="s">
        <v>72</v>
      </c>
      <c r="B32" t="s">
        <v>73</v>
      </c>
      <c r="C32" s="2" cm="1">
        <f t="array" ref="C32">ROUND(_xlfn.LET(
  _xlpm.r, INDEX('Raw_from_worldbank_PA.NUS.FCRF'!$C$2:$BR$272,
           MATCH(B32,'Raw_from_worldbank_PA.NUS.FCRF'!$B$2:$B$272,0),0),
  LOOKUP(2,1/(_xlpm.r&lt;&gt;""),_xlpm.r)
),2)</f>
        <v>13.56</v>
      </c>
      <c r="D32" cm="1">
        <f t="array" ref="D32">_xlfn.LET(
  _xlpm.r, INDEX('Raw_from_worldbank_PA.NUS.FCRF'!$C$2:$BR$272,
           MATCH(B32,'Raw_from_worldbank_PA.NUS.FCRF'!$B$2:$B$272,0),0),
  _xlpm.yrs, 'Raw_from_worldbank_PA.NUS.FCRF'!$C$1:$BR$1,
  LOOKUP(2,1/(_xlpm.r&lt;&gt;""),_xlpm.yrs)
)</f>
        <v>2024</v>
      </c>
    </row>
    <row r="33" spans="1:4" x14ac:dyDescent="0.3">
      <c r="A33" t="s">
        <v>74</v>
      </c>
      <c r="B33" t="s">
        <v>75</v>
      </c>
      <c r="C33" s="2" cm="1">
        <f t="array" ref="C33">ROUND(_xlfn.LET(
  _xlpm.r, INDEX('Raw_from_worldbank_PA.NUS.FCRF'!$C$2:$BR$272,
           MATCH(B33,'Raw_from_worldbank_PA.NUS.FCRF'!$B$2:$B$272,0),0),
  LOOKUP(2,1/(_xlpm.r&lt;&gt;""),_xlpm.r)
),2)</f>
        <v>606.35</v>
      </c>
      <c r="D33" cm="1">
        <f t="array" ref="D33">_xlfn.LET(
  _xlpm.r, INDEX('Raw_from_worldbank_PA.NUS.FCRF'!$C$2:$BR$272,
           MATCH(B33,'Raw_from_worldbank_PA.NUS.FCRF'!$B$2:$B$272,0),0),
  _xlpm.yrs, 'Raw_from_worldbank_PA.NUS.FCRF'!$C$1:$BR$1,
  LOOKUP(2,1/(_xlpm.r&lt;&gt;""),_xlpm.yrs)
)</f>
        <v>2024</v>
      </c>
    </row>
    <row r="34" spans="1:4" x14ac:dyDescent="0.3">
      <c r="A34" t="s">
        <v>76</v>
      </c>
      <c r="B34" t="s">
        <v>77</v>
      </c>
      <c r="C34" s="2" cm="1">
        <f t="array" ref="C34">ROUND(_xlfn.LET(
  _xlpm.r, INDEX('Raw_from_worldbank_PA.NUS.FCRF'!$C$2:$BR$272,
           MATCH(B34,'Raw_from_worldbank_PA.NUS.FCRF'!$B$2:$B$272,0),0),
  LOOKUP(2,1/(_xlpm.r&lt;&gt;""),_xlpm.r)
),2)</f>
        <v>1.37</v>
      </c>
      <c r="D34" cm="1">
        <f t="array" ref="D34">_xlfn.LET(
  _xlpm.r, INDEX('Raw_from_worldbank_PA.NUS.FCRF'!$C$2:$BR$272,
           MATCH(B34,'Raw_from_worldbank_PA.NUS.FCRF'!$B$2:$B$272,0),0),
  _xlpm.yrs, 'Raw_from_worldbank_PA.NUS.FCRF'!$C$1:$BR$1,
  LOOKUP(2,1/(_xlpm.r&lt;&gt;""),_xlpm.yrs)
)</f>
        <v>2024</v>
      </c>
    </row>
    <row r="35" spans="1:4" x14ac:dyDescent="0.3">
      <c r="A35" t="s">
        <v>80</v>
      </c>
      <c r="B35" t="s">
        <v>81</v>
      </c>
      <c r="C35" s="2" cm="1">
        <f t="array" ref="C35">ROUND(_xlfn.LET(
  _xlpm.r, INDEX('Raw_from_worldbank_PA.NUS.FCRF'!$C$2:$BR$272,
           MATCH(B35,'Raw_from_worldbank_PA.NUS.FCRF'!$B$2:$B$272,0),0),
  LOOKUP(2,1/(_xlpm.r&lt;&gt;""),_xlpm.r)
),2)</f>
        <v>0.88</v>
      </c>
      <c r="D35" cm="1">
        <f t="array" ref="D35">_xlfn.LET(
  _xlpm.r, INDEX('Raw_from_worldbank_PA.NUS.FCRF'!$C$2:$BR$272,
           MATCH(B35,'Raw_from_worldbank_PA.NUS.FCRF'!$B$2:$B$272,0),0),
  _xlpm.yrs, 'Raw_from_worldbank_PA.NUS.FCRF'!$C$1:$BR$1,
  LOOKUP(2,1/(_xlpm.r&lt;&gt;""),_xlpm.yrs)
)</f>
        <v>2024</v>
      </c>
    </row>
    <row r="36" spans="1:4" x14ac:dyDescent="0.3">
      <c r="A36" t="s">
        <v>82</v>
      </c>
      <c r="B36" t="s">
        <v>83</v>
      </c>
      <c r="C36" s="2" cm="1">
        <f t="array" ref="C36">ROUND(_xlfn.LET(
  _xlpm.r, INDEX('Raw_from_worldbank_PA.NUS.FCRF'!$C$2:$BR$272,
           MATCH(B36,'Raw_from_worldbank_PA.NUS.FCRF'!$B$2:$B$272,0),0),
  LOOKUP(2,1/(_xlpm.r&lt;&gt;""),_xlpm.r)
),2)</f>
        <v>0.78</v>
      </c>
      <c r="D36" cm="1">
        <f t="array" ref="D36">_xlfn.LET(
  _xlpm.r, INDEX('Raw_from_worldbank_PA.NUS.FCRF'!$C$2:$BR$272,
           MATCH(B36,'Raw_from_worldbank_PA.NUS.FCRF'!$B$2:$B$272,0),0),
  _xlpm.yrs, 'Raw_from_worldbank_PA.NUS.FCRF'!$C$1:$BR$1,
  LOOKUP(2,1/(_xlpm.r&lt;&gt;""),_xlpm.yrs)
)</f>
        <v>2024</v>
      </c>
    </row>
    <row r="37" spans="1:4" x14ac:dyDescent="0.3">
      <c r="A37" t="s">
        <v>84</v>
      </c>
      <c r="B37" t="s">
        <v>85</v>
      </c>
      <c r="C37" s="2" cm="1">
        <f t="array" ref="C37">ROUND(_xlfn.LET(
  _xlpm.r, INDEX('Raw_from_worldbank_PA.NUS.FCRF'!$C$2:$BR$272,
           MATCH(B37,'Raw_from_worldbank_PA.NUS.FCRF'!$B$2:$B$272,0),0),
  LOOKUP(2,1/(_xlpm.r&lt;&gt;""),_xlpm.r)
),2)</f>
        <v>943.57</v>
      </c>
      <c r="D37" cm="1">
        <f t="array" ref="D37">_xlfn.LET(
  _xlpm.r, INDEX('Raw_from_worldbank_PA.NUS.FCRF'!$C$2:$BR$272,
           MATCH(B37,'Raw_from_worldbank_PA.NUS.FCRF'!$B$2:$B$272,0),0),
  _xlpm.yrs, 'Raw_from_worldbank_PA.NUS.FCRF'!$C$1:$BR$1,
  LOOKUP(2,1/(_xlpm.r&lt;&gt;""),_xlpm.yrs)
)</f>
        <v>2024</v>
      </c>
    </row>
    <row r="38" spans="1:4" x14ac:dyDescent="0.3">
      <c r="A38" t="s">
        <v>86</v>
      </c>
      <c r="B38" t="s">
        <v>87</v>
      </c>
      <c r="C38" s="2" cm="1">
        <f t="array" ref="C38">ROUND(_xlfn.LET(
  _xlpm.r, INDEX('Raw_from_worldbank_PA.NUS.FCRF'!$C$2:$BR$272,
           MATCH(B38,'Raw_from_worldbank_PA.NUS.FCRF'!$B$2:$B$272,0),0),
  LOOKUP(2,1/(_xlpm.r&lt;&gt;""),_xlpm.r)
),2)</f>
        <v>7.2</v>
      </c>
      <c r="D38" cm="1">
        <f t="array" ref="D38">_xlfn.LET(
  _xlpm.r, INDEX('Raw_from_worldbank_PA.NUS.FCRF'!$C$2:$BR$272,
           MATCH(B38,'Raw_from_worldbank_PA.NUS.FCRF'!$B$2:$B$272,0),0),
  _xlpm.yrs, 'Raw_from_worldbank_PA.NUS.FCRF'!$C$1:$BR$1,
  LOOKUP(2,1/(_xlpm.r&lt;&gt;""),_xlpm.yrs)
)</f>
        <v>2024</v>
      </c>
    </row>
    <row r="39" spans="1:4" x14ac:dyDescent="0.3">
      <c r="A39" t="s">
        <v>88</v>
      </c>
      <c r="B39" t="s">
        <v>89</v>
      </c>
      <c r="C39" s="2" cm="1">
        <f t="array" ref="C39">ROUND(_xlfn.LET(
  _xlpm.r, INDEX('Raw_from_worldbank_PA.NUS.FCRF'!$C$2:$BR$272,
           MATCH(B39,'Raw_from_worldbank_PA.NUS.FCRF'!$B$2:$B$272,0),0),
  LOOKUP(2,1/(_xlpm.r&lt;&gt;""),_xlpm.r)
),2)</f>
        <v>606.35</v>
      </c>
      <c r="D39" cm="1">
        <f t="array" ref="D39">_xlfn.LET(
  _xlpm.r, INDEX('Raw_from_worldbank_PA.NUS.FCRF'!$C$2:$BR$272,
           MATCH(B39,'Raw_from_worldbank_PA.NUS.FCRF'!$B$2:$B$272,0),0),
  _xlpm.yrs, 'Raw_from_worldbank_PA.NUS.FCRF'!$C$1:$BR$1,
  LOOKUP(2,1/(_xlpm.r&lt;&gt;""),_xlpm.yrs)
)</f>
        <v>2024</v>
      </c>
    </row>
    <row r="40" spans="1:4" x14ac:dyDescent="0.3">
      <c r="A40" t="s">
        <v>90</v>
      </c>
      <c r="B40" t="s">
        <v>91</v>
      </c>
      <c r="C40" s="2" cm="1">
        <f t="array" ref="C40">ROUND(_xlfn.LET(
  _xlpm.r, INDEX('Raw_from_worldbank_PA.NUS.FCRF'!$C$2:$BR$272,
           MATCH(B40,'Raw_from_worldbank_PA.NUS.FCRF'!$B$2:$B$272,0),0),
  LOOKUP(2,1/(_xlpm.r&lt;&gt;""),_xlpm.r)
),2)</f>
        <v>606.35</v>
      </c>
      <c r="D40" cm="1">
        <f t="array" ref="D40">_xlfn.LET(
  _xlpm.r, INDEX('Raw_from_worldbank_PA.NUS.FCRF'!$C$2:$BR$272,
           MATCH(B40,'Raw_from_worldbank_PA.NUS.FCRF'!$B$2:$B$272,0),0),
  _xlpm.yrs, 'Raw_from_worldbank_PA.NUS.FCRF'!$C$1:$BR$1,
  LOOKUP(2,1/(_xlpm.r&lt;&gt;""),_xlpm.yrs)
)</f>
        <v>2024</v>
      </c>
    </row>
    <row r="41" spans="1:4" x14ac:dyDescent="0.3">
      <c r="A41" t="s">
        <v>92</v>
      </c>
      <c r="B41" t="s">
        <v>93</v>
      </c>
      <c r="C41" s="2" cm="1">
        <f t="array" ref="C41">ROUND(_xlfn.LET(
  _xlpm.r, INDEX('Raw_from_worldbank_PA.NUS.FCRF'!$C$2:$BR$272,
           MATCH(B41,'Raw_from_worldbank_PA.NUS.FCRF'!$B$2:$B$272,0),0),
  LOOKUP(2,1/(_xlpm.r&lt;&gt;""),_xlpm.r)
),2)</f>
        <v>2340.04</v>
      </c>
      <c r="D41" cm="1">
        <f t="array" ref="D41">_xlfn.LET(
  _xlpm.r, INDEX('Raw_from_worldbank_PA.NUS.FCRF'!$C$2:$BR$272,
           MATCH(B41,'Raw_from_worldbank_PA.NUS.FCRF'!$B$2:$B$272,0),0),
  _xlpm.yrs, 'Raw_from_worldbank_PA.NUS.FCRF'!$C$1:$BR$1,
  LOOKUP(2,1/(_xlpm.r&lt;&gt;""),_xlpm.yrs)
)</f>
        <v>2023</v>
      </c>
    </row>
    <row r="42" spans="1:4" x14ac:dyDescent="0.3">
      <c r="A42" t="s">
        <v>94</v>
      </c>
      <c r="B42" t="s">
        <v>95</v>
      </c>
      <c r="C42" s="2" cm="1">
        <f t="array" ref="C42">ROUND(_xlfn.LET(
  _xlpm.r, INDEX('Raw_from_worldbank_PA.NUS.FCRF'!$C$2:$BR$272,
           MATCH(B42,'Raw_from_worldbank_PA.NUS.FCRF'!$B$2:$B$272,0),0),
  LOOKUP(2,1/(_xlpm.r&lt;&gt;""),_xlpm.r)
),2)</f>
        <v>606.35</v>
      </c>
      <c r="D42" cm="1">
        <f t="array" ref="D42">_xlfn.LET(
  _xlpm.r, INDEX('Raw_from_worldbank_PA.NUS.FCRF'!$C$2:$BR$272,
           MATCH(B42,'Raw_from_worldbank_PA.NUS.FCRF'!$B$2:$B$272,0),0),
  _xlpm.yrs, 'Raw_from_worldbank_PA.NUS.FCRF'!$C$1:$BR$1,
  LOOKUP(2,1/(_xlpm.r&lt;&gt;""),_xlpm.yrs)
)</f>
        <v>2024</v>
      </c>
    </row>
    <row r="43" spans="1:4" x14ac:dyDescent="0.3">
      <c r="A43" t="s">
        <v>96</v>
      </c>
      <c r="B43" t="s">
        <v>97</v>
      </c>
      <c r="C43" s="2" cm="1">
        <f t="array" ref="C43">ROUND(_xlfn.LET(
  _xlpm.r, INDEX('Raw_from_worldbank_PA.NUS.FCRF'!$C$2:$BR$272,
           MATCH(B43,'Raw_from_worldbank_PA.NUS.FCRF'!$B$2:$B$272,0),0),
  LOOKUP(2,1/(_xlpm.r&lt;&gt;""),_xlpm.r)
),2)</f>
        <v>4074.43</v>
      </c>
      <c r="D43" cm="1">
        <f t="array" ref="D43">_xlfn.LET(
  _xlpm.r, INDEX('Raw_from_worldbank_PA.NUS.FCRF'!$C$2:$BR$272,
           MATCH(B43,'Raw_from_worldbank_PA.NUS.FCRF'!$B$2:$B$272,0),0),
  _xlpm.yrs, 'Raw_from_worldbank_PA.NUS.FCRF'!$C$1:$BR$1,
  LOOKUP(2,1/(_xlpm.r&lt;&gt;""),_xlpm.yrs)
)</f>
        <v>2024</v>
      </c>
    </row>
    <row r="44" spans="1:4" x14ac:dyDescent="0.3">
      <c r="A44" t="s">
        <v>98</v>
      </c>
      <c r="B44" t="s">
        <v>99</v>
      </c>
      <c r="C44" s="2" cm="1">
        <f t="array" ref="C44">ROUND(_xlfn.LET(
  _xlpm.r, INDEX('Raw_from_worldbank_PA.NUS.FCRF'!$C$2:$BR$272,
           MATCH(B44,'Raw_from_worldbank_PA.NUS.FCRF'!$B$2:$B$272,0),0),
  LOOKUP(2,1/(_xlpm.r&lt;&gt;""),_xlpm.r)
),2)</f>
        <v>454.52</v>
      </c>
      <c r="D44" cm="1">
        <f t="array" ref="D44">_xlfn.LET(
  _xlpm.r, INDEX('Raw_from_worldbank_PA.NUS.FCRF'!$C$2:$BR$272,
           MATCH(B44,'Raw_from_worldbank_PA.NUS.FCRF'!$B$2:$B$272,0),0),
  _xlpm.yrs, 'Raw_from_worldbank_PA.NUS.FCRF'!$C$1:$BR$1,
  LOOKUP(2,1/(_xlpm.r&lt;&gt;""),_xlpm.yrs)
)</f>
        <v>2024</v>
      </c>
    </row>
    <row r="45" spans="1:4" x14ac:dyDescent="0.3">
      <c r="A45" t="s">
        <v>100</v>
      </c>
      <c r="B45" t="s">
        <v>101</v>
      </c>
      <c r="C45" s="2" cm="1">
        <f t="array" ref="C45">ROUND(_xlfn.LET(
  _xlpm.r, INDEX('Raw_from_worldbank_PA.NUS.FCRF'!$C$2:$BR$272,
           MATCH(B45,'Raw_from_worldbank_PA.NUS.FCRF'!$B$2:$B$272,0),0),
  LOOKUP(2,1/(_xlpm.r&lt;&gt;""),_xlpm.r)
),2)</f>
        <v>101.92</v>
      </c>
      <c r="D45" cm="1">
        <f t="array" ref="D45">_xlfn.LET(
  _xlpm.r, INDEX('Raw_from_worldbank_PA.NUS.FCRF'!$C$2:$BR$272,
           MATCH(B45,'Raw_from_worldbank_PA.NUS.FCRF'!$B$2:$B$272,0),0),
  _xlpm.yrs, 'Raw_from_worldbank_PA.NUS.FCRF'!$C$1:$BR$1,
  LOOKUP(2,1/(_xlpm.r&lt;&gt;""),_xlpm.yrs)
)</f>
        <v>2024</v>
      </c>
    </row>
    <row r="46" spans="1:4" x14ac:dyDescent="0.3">
      <c r="A46" t="s">
        <v>102</v>
      </c>
      <c r="B46" t="s">
        <v>103</v>
      </c>
      <c r="C46" s="2" cm="1">
        <f t="array" ref="C46">ROUND(_xlfn.LET(
  _xlpm.r, INDEX('Raw_from_worldbank_PA.NUS.FCRF'!$C$2:$BR$272,
           MATCH(B46,'Raw_from_worldbank_PA.NUS.FCRF'!$B$2:$B$272,0),0),
  LOOKUP(2,1/(_xlpm.r&lt;&gt;""),_xlpm.r)
),2)</f>
        <v>515.11</v>
      </c>
      <c r="D46" cm="1">
        <f t="array" ref="D46">_xlfn.LET(
  _xlpm.r, INDEX('Raw_from_worldbank_PA.NUS.FCRF'!$C$2:$BR$272,
           MATCH(B46,'Raw_from_worldbank_PA.NUS.FCRF'!$B$2:$B$272,0),0),
  _xlpm.yrs, 'Raw_from_worldbank_PA.NUS.FCRF'!$C$1:$BR$1,
  LOOKUP(2,1/(_xlpm.r&lt;&gt;""),_xlpm.yrs)
)</f>
        <v>2024</v>
      </c>
    </row>
    <row r="47" spans="1:4" x14ac:dyDescent="0.3">
      <c r="A47" t="s">
        <v>106</v>
      </c>
      <c r="B47" t="s">
        <v>107</v>
      </c>
      <c r="C47" s="2" cm="1">
        <f t="array" ref="C47">ROUND(_xlfn.LET(
  _xlpm.r, INDEX('Raw_from_worldbank_PA.NUS.FCRF'!$C$2:$BR$272,
           MATCH(B47,'Raw_from_worldbank_PA.NUS.FCRF'!$B$2:$B$272,0),0),
  LOOKUP(2,1/(_xlpm.r&lt;&gt;""),_xlpm.r)
),2)</f>
        <v>0.82</v>
      </c>
      <c r="D47" cm="1">
        <f t="array" ref="D47">_xlfn.LET(
  _xlpm.r, INDEX('Raw_from_worldbank_PA.NUS.FCRF'!$C$2:$BR$272,
           MATCH(B47,'Raw_from_worldbank_PA.NUS.FCRF'!$B$2:$B$272,0),0),
  _xlpm.yrs, 'Raw_from_worldbank_PA.NUS.FCRF'!$C$1:$BR$1,
  LOOKUP(2,1/(_xlpm.r&lt;&gt;""),_xlpm.yrs)
)</f>
        <v>1974</v>
      </c>
    </row>
    <row r="48" spans="1:4" x14ac:dyDescent="0.3">
      <c r="A48" t="s">
        <v>108</v>
      </c>
      <c r="B48" t="s">
        <v>109</v>
      </c>
      <c r="C48" s="2" cm="1">
        <f t="array" ref="C48">ROUND(_xlfn.LET(
  _xlpm.r, INDEX('Raw_from_worldbank_PA.NUS.FCRF'!$C$2:$BR$272,
           MATCH(B48,'Raw_from_worldbank_PA.NUS.FCRF'!$B$2:$B$272,0),0),
  LOOKUP(2,1/(_xlpm.r&lt;&gt;""),_xlpm.r)
),2)</f>
        <v>1.79</v>
      </c>
      <c r="D48" cm="1">
        <f t="array" ref="D48">_xlfn.LET(
  _xlpm.r, INDEX('Raw_from_worldbank_PA.NUS.FCRF'!$C$2:$BR$272,
           MATCH(B48,'Raw_from_worldbank_PA.NUS.FCRF'!$B$2:$B$272,0),0),
  _xlpm.yrs, 'Raw_from_worldbank_PA.NUS.FCRF'!$C$1:$BR$1,
  LOOKUP(2,1/(_xlpm.r&lt;&gt;""),_xlpm.yrs)
)</f>
        <v>2024</v>
      </c>
    </row>
    <row r="49" spans="1:4" x14ac:dyDescent="0.3">
      <c r="A49" t="s">
        <v>110</v>
      </c>
      <c r="B49" t="s">
        <v>111</v>
      </c>
      <c r="C49" s="2" cm="1">
        <f t="array" ref="C49">ROUND(_xlfn.LET(
  _xlpm.r, INDEX('Raw_from_worldbank_PA.NUS.FCRF'!$C$2:$BR$272,
           MATCH(B49,'Raw_from_worldbank_PA.NUS.FCRF'!$B$2:$B$272,0),0),
  LOOKUP(2,1/(_xlpm.r&lt;&gt;""),_xlpm.r)
),2)</f>
        <v>0.83</v>
      </c>
      <c r="D49" cm="1">
        <f t="array" ref="D49">_xlfn.LET(
  _xlpm.r, INDEX('Raw_from_worldbank_PA.NUS.FCRF'!$C$2:$BR$272,
           MATCH(B49,'Raw_from_worldbank_PA.NUS.FCRF'!$B$2:$B$272,0),0),
  _xlpm.yrs, 'Raw_from_worldbank_PA.NUS.FCRF'!$C$1:$BR$1,
  LOOKUP(2,1/(_xlpm.r&lt;&gt;""),_xlpm.yrs)
)</f>
        <v>2024</v>
      </c>
    </row>
    <row r="50" spans="1:4" x14ac:dyDescent="0.3">
      <c r="A50" t="s">
        <v>112</v>
      </c>
      <c r="B50" t="s">
        <v>113</v>
      </c>
      <c r="C50" s="2" cm="1">
        <f t="array" ref="C50">ROUND(_xlfn.LET(
  _xlpm.r, INDEX('Raw_from_worldbank_PA.NUS.FCRF'!$C$2:$BR$272,
           MATCH(B50,'Raw_from_worldbank_PA.NUS.FCRF'!$B$2:$B$272,0),0),
  LOOKUP(2,1/(_xlpm.r&lt;&gt;""),_xlpm.r)
),2)</f>
        <v>0.92</v>
      </c>
      <c r="D50" cm="1">
        <f t="array" ref="D50">_xlfn.LET(
  _xlpm.r, INDEX('Raw_from_worldbank_PA.NUS.FCRF'!$C$2:$BR$272,
           MATCH(B50,'Raw_from_worldbank_PA.NUS.FCRF'!$B$2:$B$272,0),0),
  _xlpm.yrs, 'Raw_from_worldbank_PA.NUS.FCRF'!$C$1:$BR$1,
  LOOKUP(2,1/(_xlpm.r&lt;&gt;""),_xlpm.yrs)
)</f>
        <v>2024</v>
      </c>
    </row>
    <row r="51" spans="1:4" x14ac:dyDescent="0.3">
      <c r="A51" t="s">
        <v>114</v>
      </c>
      <c r="B51" t="s">
        <v>115</v>
      </c>
      <c r="C51" s="2" cm="1">
        <f t="array" ref="C51">ROUND(_xlfn.LET(
  _xlpm.r, INDEX('Raw_from_worldbank_PA.NUS.FCRF'!$C$2:$BR$272,
           MATCH(B51,'Raw_from_worldbank_PA.NUS.FCRF'!$B$2:$B$272,0),0),
  LOOKUP(2,1/(_xlpm.r&lt;&gt;""),_xlpm.r)
),2)</f>
        <v>23.22</v>
      </c>
      <c r="D51" cm="1">
        <f t="array" ref="D51">_xlfn.LET(
  _xlpm.r, INDEX('Raw_from_worldbank_PA.NUS.FCRF'!$C$2:$BR$272,
           MATCH(B51,'Raw_from_worldbank_PA.NUS.FCRF'!$B$2:$B$272,0),0),
  _xlpm.yrs, 'Raw_from_worldbank_PA.NUS.FCRF'!$C$1:$BR$1,
  LOOKUP(2,1/(_xlpm.r&lt;&gt;""),_xlpm.yrs)
)</f>
        <v>2024</v>
      </c>
    </row>
    <row r="52" spans="1:4" x14ac:dyDescent="0.3">
      <c r="A52" t="s">
        <v>116</v>
      </c>
      <c r="B52" t="s">
        <v>117</v>
      </c>
      <c r="C52" s="2" cm="1">
        <f t="array" ref="C52">ROUND(_xlfn.LET(
  _xlpm.r, INDEX('Raw_from_worldbank_PA.NUS.FCRF'!$C$2:$BR$272,
           MATCH(B52,'Raw_from_worldbank_PA.NUS.FCRF'!$B$2:$B$272,0),0),
  LOOKUP(2,1/(_xlpm.r&lt;&gt;""),_xlpm.r)
),2)</f>
        <v>0.92</v>
      </c>
      <c r="D52" cm="1">
        <f t="array" ref="D52">_xlfn.LET(
  _xlpm.r, INDEX('Raw_from_worldbank_PA.NUS.FCRF'!$C$2:$BR$272,
           MATCH(B52,'Raw_from_worldbank_PA.NUS.FCRF'!$B$2:$B$272,0),0),
  _xlpm.yrs, 'Raw_from_worldbank_PA.NUS.FCRF'!$C$1:$BR$1,
  LOOKUP(2,1/(_xlpm.r&lt;&gt;""),_xlpm.yrs)
)</f>
        <v>2024</v>
      </c>
    </row>
    <row r="53" spans="1:4" x14ac:dyDescent="0.3">
      <c r="A53" t="s">
        <v>118</v>
      </c>
      <c r="B53" t="s">
        <v>119</v>
      </c>
      <c r="C53" s="2" cm="1">
        <f t="array" ref="C53">ROUND(_xlfn.LET(
  _xlpm.r, INDEX('Raw_from_worldbank_PA.NUS.FCRF'!$C$2:$BR$272,
           MATCH(B53,'Raw_from_worldbank_PA.NUS.FCRF'!$B$2:$B$272,0),0),
  LOOKUP(2,1/(_xlpm.r&lt;&gt;""),_xlpm.r)
),2)</f>
        <v>177.72</v>
      </c>
      <c r="D53" cm="1">
        <f t="array" ref="D53">_xlfn.LET(
  _xlpm.r, INDEX('Raw_from_worldbank_PA.NUS.FCRF'!$C$2:$BR$272,
           MATCH(B53,'Raw_from_worldbank_PA.NUS.FCRF'!$B$2:$B$272,0),0),
  _xlpm.yrs, 'Raw_from_worldbank_PA.NUS.FCRF'!$C$1:$BR$1,
  LOOKUP(2,1/(_xlpm.r&lt;&gt;""),_xlpm.yrs)
)</f>
        <v>2024</v>
      </c>
    </row>
    <row r="54" spans="1:4" x14ac:dyDescent="0.3">
      <c r="A54" t="s">
        <v>120</v>
      </c>
      <c r="B54" t="s">
        <v>121</v>
      </c>
      <c r="C54" s="2" cm="1">
        <f t="array" ref="C54">ROUND(_xlfn.LET(
  _xlpm.r, INDEX('Raw_from_worldbank_PA.NUS.FCRF'!$C$2:$BR$272,
           MATCH(B54,'Raw_from_worldbank_PA.NUS.FCRF'!$B$2:$B$272,0),0),
  LOOKUP(2,1/(_xlpm.r&lt;&gt;""),_xlpm.r)
),2)</f>
        <v>2.7</v>
      </c>
      <c r="D54" cm="1">
        <f t="array" ref="D54">_xlfn.LET(
  _xlpm.r, INDEX('Raw_from_worldbank_PA.NUS.FCRF'!$C$2:$BR$272,
           MATCH(B54,'Raw_from_worldbank_PA.NUS.FCRF'!$B$2:$B$272,0),0),
  _xlpm.yrs, 'Raw_from_worldbank_PA.NUS.FCRF'!$C$1:$BR$1,
  LOOKUP(2,1/(_xlpm.r&lt;&gt;""),_xlpm.yrs)
)</f>
        <v>2024</v>
      </c>
    </row>
    <row r="55" spans="1:4" x14ac:dyDescent="0.3">
      <c r="A55" t="s">
        <v>122</v>
      </c>
      <c r="B55" t="s">
        <v>123</v>
      </c>
      <c r="C55" s="2" cm="1">
        <f t="array" ref="C55">ROUND(_xlfn.LET(
  _xlpm.r, INDEX('Raw_from_worldbank_PA.NUS.FCRF'!$C$2:$BR$272,
           MATCH(B55,'Raw_from_worldbank_PA.NUS.FCRF'!$B$2:$B$272,0),0),
  LOOKUP(2,1/(_xlpm.r&lt;&gt;""),_xlpm.r)
),2)</f>
        <v>6.89</v>
      </c>
      <c r="D55" cm="1">
        <f t="array" ref="D55">_xlfn.LET(
  _xlpm.r, INDEX('Raw_from_worldbank_PA.NUS.FCRF'!$C$2:$BR$272,
           MATCH(B55,'Raw_from_worldbank_PA.NUS.FCRF'!$B$2:$B$272,0),0),
  _xlpm.yrs, 'Raw_from_worldbank_PA.NUS.FCRF'!$C$1:$BR$1,
  LOOKUP(2,1/(_xlpm.r&lt;&gt;""),_xlpm.yrs)
)</f>
        <v>2024</v>
      </c>
    </row>
    <row r="56" spans="1:4" x14ac:dyDescent="0.3">
      <c r="A56" t="s">
        <v>124</v>
      </c>
      <c r="B56" t="s">
        <v>125</v>
      </c>
      <c r="C56" s="2" cm="1">
        <f t="array" ref="C56">ROUND(_xlfn.LET(
  _xlpm.r, INDEX('Raw_from_worldbank_PA.NUS.FCRF'!$C$2:$BR$272,
           MATCH(B56,'Raw_from_worldbank_PA.NUS.FCRF'!$B$2:$B$272,0),0),
  LOOKUP(2,1/(_xlpm.r&lt;&gt;""),_xlpm.r)
),2)</f>
        <v>59.57</v>
      </c>
      <c r="D56" cm="1">
        <f t="array" ref="D56">_xlfn.LET(
  _xlpm.r, INDEX('Raw_from_worldbank_PA.NUS.FCRF'!$C$2:$BR$272,
           MATCH(B56,'Raw_from_worldbank_PA.NUS.FCRF'!$B$2:$B$272,0),0),
  _xlpm.yrs, 'Raw_from_worldbank_PA.NUS.FCRF'!$C$1:$BR$1,
  LOOKUP(2,1/(_xlpm.r&lt;&gt;""),_xlpm.yrs)
)</f>
        <v>2024</v>
      </c>
    </row>
    <row r="57" spans="1:4" x14ac:dyDescent="0.3">
      <c r="A57" t="s">
        <v>126</v>
      </c>
      <c r="B57" t="s">
        <v>127</v>
      </c>
      <c r="C57" s="2" cm="1">
        <f t="array" ref="C57">ROUND(_xlfn.LET(
  _xlpm.r, INDEX('Raw_from_worldbank_PA.NUS.FCRF'!$C$2:$BR$272,
           MATCH(B57,'Raw_from_worldbank_PA.NUS.FCRF'!$B$2:$B$272,0),0),
  LOOKUP(2,1/(_xlpm.r&lt;&gt;""),_xlpm.r)
),2)</f>
        <v>134.05000000000001</v>
      </c>
      <c r="D57" cm="1">
        <f t="array" ref="D57">_xlfn.LET(
  _xlpm.r, INDEX('Raw_from_worldbank_PA.NUS.FCRF'!$C$2:$BR$272,
           MATCH(B57,'Raw_from_worldbank_PA.NUS.FCRF'!$B$2:$B$272,0),0),
  _xlpm.yrs, 'Raw_from_worldbank_PA.NUS.FCRF'!$C$1:$BR$1,
  LOOKUP(2,1/(_xlpm.r&lt;&gt;""),_xlpm.yrs)
)</f>
        <v>2024</v>
      </c>
    </row>
    <row r="58" spans="1:4" x14ac:dyDescent="0.3">
      <c r="A58" t="s">
        <v>138</v>
      </c>
      <c r="B58" t="s">
        <v>139</v>
      </c>
      <c r="C58" s="2" cm="1">
        <f t="array" ref="C58">ROUND(_xlfn.LET(
  _xlpm.r, INDEX('Raw_from_worldbank_PA.NUS.FCRF'!$C$2:$BR$272,
           MATCH(B58,'Raw_from_worldbank_PA.NUS.FCRF'!$B$2:$B$272,0),0),
  LOOKUP(2,1/(_xlpm.r&lt;&gt;""),_xlpm.r)
),2)</f>
        <v>1</v>
      </c>
      <c r="D58" cm="1">
        <f t="array" ref="D58">_xlfn.LET(
  _xlpm.r, INDEX('Raw_from_worldbank_PA.NUS.FCRF'!$C$2:$BR$272,
           MATCH(B58,'Raw_from_worldbank_PA.NUS.FCRF'!$B$2:$B$272,0),0),
  _xlpm.yrs, 'Raw_from_worldbank_PA.NUS.FCRF'!$C$1:$BR$1,
  LOOKUP(2,1/(_xlpm.r&lt;&gt;""),_xlpm.yrs)
)</f>
        <v>2024</v>
      </c>
    </row>
    <row r="59" spans="1:4" x14ac:dyDescent="0.3">
      <c r="A59" t="s">
        <v>140</v>
      </c>
      <c r="B59" t="s">
        <v>141</v>
      </c>
      <c r="C59" s="2" cm="1">
        <f t="array" ref="C59">ROUND(_xlfn.LET(
  _xlpm.r, INDEX('Raw_from_worldbank_PA.NUS.FCRF'!$C$2:$BR$272,
           MATCH(B59,'Raw_from_worldbank_PA.NUS.FCRF'!$B$2:$B$272,0),0),
  LOOKUP(2,1/(_xlpm.r&lt;&gt;""),_xlpm.r)
),2)</f>
        <v>45.3</v>
      </c>
      <c r="D59" cm="1">
        <f t="array" ref="D59">_xlfn.LET(
  _xlpm.r, INDEX('Raw_from_worldbank_PA.NUS.FCRF'!$C$2:$BR$272,
           MATCH(B59,'Raw_from_worldbank_PA.NUS.FCRF'!$B$2:$B$272,0),0),
  _xlpm.yrs, 'Raw_from_worldbank_PA.NUS.FCRF'!$C$1:$BR$1,
  LOOKUP(2,1/(_xlpm.r&lt;&gt;""),_xlpm.yrs)
)</f>
        <v>2024</v>
      </c>
    </row>
    <row r="60" spans="1:4" x14ac:dyDescent="0.3">
      <c r="A60" t="s">
        <v>142</v>
      </c>
      <c r="B60" t="s">
        <v>143</v>
      </c>
      <c r="C60" s="2" cm="1">
        <f t="array" ref="C60">ROUND(_xlfn.LET(
  _xlpm.r, INDEX('Raw_from_worldbank_PA.NUS.FCRF'!$C$2:$BR$272,
           MATCH(B60,'Raw_from_worldbank_PA.NUS.FCRF'!$B$2:$B$272,0),0),
  LOOKUP(2,1/(_xlpm.r&lt;&gt;""),_xlpm.r)
),2)</f>
        <v>0.92</v>
      </c>
      <c r="D60" cm="1">
        <f t="array" ref="D60">_xlfn.LET(
  _xlpm.r, INDEX('Raw_from_worldbank_PA.NUS.FCRF'!$C$2:$BR$272,
           MATCH(B60,'Raw_from_worldbank_PA.NUS.FCRF'!$B$2:$B$272,0),0),
  _xlpm.yrs, 'Raw_from_worldbank_PA.NUS.FCRF'!$C$1:$BR$1,
  LOOKUP(2,1/(_xlpm.r&lt;&gt;""),_xlpm.yrs)
)</f>
        <v>2024</v>
      </c>
    </row>
    <row r="61" spans="1:4" x14ac:dyDescent="0.3">
      <c r="A61" t="s">
        <v>144</v>
      </c>
      <c r="B61" t="s">
        <v>145</v>
      </c>
      <c r="C61" s="2" cm="1">
        <f t="array" ref="C61">ROUND(_xlfn.LET(
  _xlpm.r, INDEX('Raw_from_worldbank_PA.NUS.FCRF'!$C$2:$BR$272,
           MATCH(B61,'Raw_from_worldbank_PA.NUS.FCRF'!$B$2:$B$272,0),0),
  LOOKUP(2,1/(_xlpm.r&lt;&gt;""),_xlpm.r)
),2)</f>
        <v>15.08</v>
      </c>
      <c r="D61" cm="1">
        <f t="array" ref="D61">_xlfn.LET(
  _xlpm.r, INDEX('Raw_from_worldbank_PA.NUS.FCRF'!$C$2:$BR$272,
           MATCH(B61,'Raw_from_worldbank_PA.NUS.FCRF'!$B$2:$B$272,0),0),
  _xlpm.yrs, 'Raw_from_worldbank_PA.NUS.FCRF'!$C$1:$BR$1,
  LOOKUP(2,1/(_xlpm.r&lt;&gt;""),_xlpm.yrs)
)</f>
        <v>2024</v>
      </c>
    </row>
    <row r="62" spans="1:4" x14ac:dyDescent="0.3">
      <c r="A62" t="s">
        <v>146</v>
      </c>
      <c r="B62" t="s">
        <v>147</v>
      </c>
      <c r="C62" s="2" cm="1">
        <f t="array" ref="C62">ROUND(_xlfn.LET(
  _xlpm.r, INDEX('Raw_from_worldbank_PA.NUS.FCRF'!$C$2:$BR$272,
           MATCH(B62,'Raw_from_worldbank_PA.NUS.FCRF'!$B$2:$B$272,0),0),
  LOOKUP(2,1/(_xlpm.r&lt;&gt;""),_xlpm.r)
),2)</f>
        <v>0.92</v>
      </c>
      <c r="D62" cm="1">
        <f t="array" ref="D62">_xlfn.LET(
  _xlpm.r, INDEX('Raw_from_worldbank_PA.NUS.FCRF'!$C$2:$BR$272,
           MATCH(B62,'Raw_from_worldbank_PA.NUS.FCRF'!$B$2:$B$272,0),0),
  _xlpm.yrs, 'Raw_from_worldbank_PA.NUS.FCRF'!$C$1:$BR$1,
  LOOKUP(2,1/(_xlpm.r&lt;&gt;""),_xlpm.yrs)
)</f>
        <v>2024</v>
      </c>
    </row>
    <row r="63" spans="1:4" x14ac:dyDescent="0.3">
      <c r="A63" t="s">
        <v>148</v>
      </c>
      <c r="B63" t="s">
        <v>149</v>
      </c>
      <c r="C63" s="2" cm="1">
        <f t="array" ref="C63">ROUND(_xlfn.LET(
  _xlpm.r, INDEX('Raw_from_worldbank_PA.NUS.FCRF'!$C$2:$BR$272,
           MATCH(B63,'Raw_from_worldbank_PA.NUS.FCRF'!$B$2:$B$272,0),0),
  LOOKUP(2,1/(_xlpm.r&lt;&gt;""),_xlpm.r)
),2)</f>
        <v>0.92</v>
      </c>
      <c r="D63" cm="1">
        <f t="array" ref="D63">_xlfn.LET(
  _xlpm.r, INDEX('Raw_from_worldbank_PA.NUS.FCRF'!$C$2:$BR$272,
           MATCH(B63,'Raw_from_worldbank_PA.NUS.FCRF'!$B$2:$B$272,0),0),
  _xlpm.yrs, 'Raw_from_worldbank_PA.NUS.FCRF'!$C$1:$BR$1,
  LOOKUP(2,1/(_xlpm.r&lt;&gt;""),_xlpm.yrs)
)</f>
        <v>2024</v>
      </c>
    </row>
    <row r="64" spans="1:4" x14ac:dyDescent="0.3">
      <c r="A64" t="s">
        <v>150</v>
      </c>
      <c r="B64" t="s">
        <v>151</v>
      </c>
      <c r="C64" s="2" cm="1">
        <f t="array" ref="C64">ROUND(_xlfn.LET(
  _xlpm.r, INDEX('Raw_from_worldbank_PA.NUS.FCRF'!$C$2:$BR$272,
           MATCH(B64,'Raw_from_worldbank_PA.NUS.FCRF'!$B$2:$B$272,0),0),
  LOOKUP(2,1/(_xlpm.r&lt;&gt;""),_xlpm.r)
),2)</f>
        <v>82.6</v>
      </c>
      <c r="D64" cm="1">
        <f t="array" ref="D64">_xlfn.LET(
  _xlpm.r, INDEX('Raw_from_worldbank_PA.NUS.FCRF'!$C$2:$BR$272,
           MATCH(B64,'Raw_from_worldbank_PA.NUS.FCRF'!$B$2:$B$272,0),0),
  _xlpm.yrs, 'Raw_from_worldbank_PA.NUS.FCRF'!$C$1:$BR$1,
  LOOKUP(2,1/(_xlpm.r&lt;&gt;""),_xlpm.yrs)
)</f>
        <v>2024</v>
      </c>
    </row>
    <row r="65" spans="1:4" x14ac:dyDescent="0.3">
      <c r="A65" t="s">
        <v>156</v>
      </c>
      <c r="B65" t="s">
        <v>157</v>
      </c>
      <c r="C65" s="2" cm="1">
        <f t="array" ref="C65">ROUND(_xlfn.LET(
  _xlpm.r, INDEX('Raw_from_worldbank_PA.NUS.FCRF'!$C$2:$BR$272,
           MATCH(B65,'Raw_from_worldbank_PA.NUS.FCRF'!$B$2:$B$272,0),0),
  LOOKUP(2,1/(_xlpm.r&lt;&gt;""),_xlpm.r)
),2)</f>
        <v>0.92</v>
      </c>
      <c r="D65" cm="1">
        <f t="array" ref="D65">_xlfn.LET(
  _xlpm.r, INDEX('Raw_from_worldbank_PA.NUS.FCRF'!$C$2:$BR$272,
           MATCH(B65,'Raw_from_worldbank_PA.NUS.FCRF'!$B$2:$B$272,0),0),
  _xlpm.yrs, 'Raw_from_worldbank_PA.NUS.FCRF'!$C$1:$BR$1,
  LOOKUP(2,1/(_xlpm.r&lt;&gt;""),_xlpm.yrs)
)</f>
        <v>2024</v>
      </c>
    </row>
    <row r="66" spans="1:4" x14ac:dyDescent="0.3">
      <c r="A66" t="s">
        <v>158</v>
      </c>
      <c r="B66" t="s">
        <v>159</v>
      </c>
      <c r="C66" s="2" cm="1">
        <f t="array" ref="C66">ROUND(_xlfn.LET(
  _xlpm.r, INDEX('Raw_from_worldbank_PA.NUS.FCRF'!$C$2:$BR$272,
           MATCH(B66,'Raw_from_worldbank_PA.NUS.FCRF'!$B$2:$B$272,0),0),
  LOOKUP(2,1/(_xlpm.r&lt;&gt;""),_xlpm.r)
),2)</f>
        <v>2.27</v>
      </c>
      <c r="D66" cm="1">
        <f t="array" ref="D66">_xlfn.LET(
  _xlpm.r, INDEX('Raw_from_worldbank_PA.NUS.FCRF'!$C$2:$BR$272,
           MATCH(B66,'Raw_from_worldbank_PA.NUS.FCRF'!$B$2:$B$272,0),0),
  _xlpm.yrs, 'Raw_from_worldbank_PA.NUS.FCRF'!$C$1:$BR$1,
  LOOKUP(2,1/(_xlpm.r&lt;&gt;""),_xlpm.yrs)
)</f>
        <v>2024</v>
      </c>
    </row>
    <row r="67" spans="1:4" x14ac:dyDescent="0.3">
      <c r="A67" t="s">
        <v>160</v>
      </c>
      <c r="B67" t="s">
        <v>161</v>
      </c>
      <c r="C67" s="2" cm="1">
        <f t="array" ref="C67">ROUND(_xlfn.LET(
  _xlpm.r, INDEX('Raw_from_worldbank_PA.NUS.FCRF'!$C$2:$BR$272,
           MATCH(B67,'Raw_from_worldbank_PA.NUS.FCRF'!$B$2:$B$272,0),0),
  LOOKUP(2,1/(_xlpm.r&lt;&gt;""),_xlpm.r)
),2)</f>
        <v>0.92</v>
      </c>
      <c r="D67" cm="1">
        <f t="array" ref="D67">_xlfn.LET(
  _xlpm.r, INDEX('Raw_from_worldbank_PA.NUS.FCRF'!$C$2:$BR$272,
           MATCH(B67,'Raw_from_worldbank_PA.NUS.FCRF'!$B$2:$B$272,0),0),
  _xlpm.yrs, 'Raw_from_worldbank_PA.NUS.FCRF'!$C$1:$BR$1,
  LOOKUP(2,1/(_xlpm.r&lt;&gt;""),_xlpm.yrs)
)</f>
        <v>2024</v>
      </c>
    </row>
    <row r="68" spans="1:4" x14ac:dyDescent="0.3">
      <c r="A68" t="s">
        <v>162</v>
      </c>
      <c r="B68" t="s">
        <v>163</v>
      </c>
      <c r="C68" s="2" cm="1">
        <f t="array" ref="C68">ROUND(_xlfn.LET(
  _xlpm.r, INDEX('Raw_from_worldbank_PA.NUS.FCRF'!$C$2:$BR$272,
           MATCH(B68,'Raw_from_worldbank_PA.NUS.FCRF'!$B$2:$B$272,0),0),
  LOOKUP(2,1/(_xlpm.r&lt;&gt;""),_xlpm.r)
),2)</f>
        <v>6.89</v>
      </c>
      <c r="D68" cm="1">
        <f t="array" ref="D68">_xlfn.LET(
  _xlpm.r, INDEX('Raw_from_worldbank_PA.NUS.FCRF'!$C$2:$BR$272,
           MATCH(B68,'Raw_from_worldbank_PA.NUS.FCRF'!$B$2:$B$272,0),0),
  _xlpm.yrs, 'Raw_from_worldbank_PA.NUS.FCRF'!$C$1:$BR$1,
  LOOKUP(2,1/(_xlpm.r&lt;&gt;""),_xlpm.yrs)
)</f>
        <v>2024</v>
      </c>
    </row>
    <row r="69" spans="1:4" x14ac:dyDescent="0.3">
      <c r="A69" t="s">
        <v>164</v>
      </c>
      <c r="B69" t="s">
        <v>165</v>
      </c>
      <c r="C69" s="2" cm="1">
        <f t="array" ref="C69">ROUND(_xlfn.LET(
  _xlpm.r, INDEX('Raw_from_worldbank_PA.NUS.FCRF'!$C$2:$BR$272,
           MATCH(B69,'Raw_from_worldbank_PA.NUS.FCRF'!$B$2:$B$272,0),0),
  LOOKUP(2,1/(_xlpm.r&lt;&gt;""),_xlpm.r)
),2)</f>
        <v>1</v>
      </c>
      <c r="D69" cm="1">
        <f t="array" ref="D69">_xlfn.LET(
  _xlpm.r, INDEX('Raw_from_worldbank_PA.NUS.FCRF'!$C$2:$BR$272,
           MATCH(B69,'Raw_from_worldbank_PA.NUS.FCRF'!$B$2:$B$272,0),0),
  _xlpm.yrs, 'Raw_from_worldbank_PA.NUS.FCRF'!$C$1:$BR$1,
  LOOKUP(2,1/(_xlpm.r&lt;&gt;""),_xlpm.yrs)
)</f>
        <v>2024</v>
      </c>
    </row>
    <row r="70" spans="1:4" x14ac:dyDescent="0.3">
      <c r="A70" t="s">
        <v>166</v>
      </c>
      <c r="B70" t="s">
        <v>167</v>
      </c>
      <c r="C70" s="2" cm="1">
        <f t="array" ref="C70">ROUND(_xlfn.LET(
  _xlpm.r, INDEX('Raw_from_worldbank_PA.NUS.FCRF'!$C$2:$BR$272,
           MATCH(B70,'Raw_from_worldbank_PA.NUS.FCRF'!$B$2:$B$272,0),0),
  LOOKUP(2,1/(_xlpm.r&lt;&gt;""),_xlpm.r)
),2)</f>
        <v>606.35</v>
      </c>
      <c r="D70" cm="1">
        <f t="array" ref="D70">_xlfn.LET(
  _xlpm.r, INDEX('Raw_from_worldbank_PA.NUS.FCRF'!$C$2:$BR$272,
           MATCH(B70,'Raw_from_worldbank_PA.NUS.FCRF'!$B$2:$B$272,0),0),
  _xlpm.yrs, 'Raw_from_worldbank_PA.NUS.FCRF'!$C$1:$BR$1,
  LOOKUP(2,1/(_xlpm.r&lt;&gt;""),_xlpm.yrs)
)</f>
        <v>2024</v>
      </c>
    </row>
    <row r="71" spans="1:4" x14ac:dyDescent="0.3">
      <c r="A71" t="s">
        <v>168</v>
      </c>
      <c r="B71" t="s">
        <v>169</v>
      </c>
      <c r="C71" s="2" cm="1">
        <f t="array" ref="C71">ROUND(_xlfn.LET(
  _xlpm.r, INDEX('Raw_from_worldbank_PA.NUS.FCRF'!$C$2:$BR$272,
           MATCH(B71,'Raw_from_worldbank_PA.NUS.FCRF'!$B$2:$B$272,0),0),
  LOOKUP(2,1/(_xlpm.r&lt;&gt;""),_xlpm.r)
),2)</f>
        <v>0.78</v>
      </c>
      <c r="D71" cm="1">
        <f t="array" ref="D71">_xlfn.LET(
  _xlpm.r, INDEX('Raw_from_worldbank_PA.NUS.FCRF'!$C$2:$BR$272,
           MATCH(B71,'Raw_from_worldbank_PA.NUS.FCRF'!$B$2:$B$272,0),0),
  _xlpm.yrs, 'Raw_from_worldbank_PA.NUS.FCRF'!$C$1:$BR$1,
  LOOKUP(2,1/(_xlpm.r&lt;&gt;""),_xlpm.yrs)
)</f>
        <v>2024</v>
      </c>
    </row>
    <row r="72" spans="1:4" x14ac:dyDescent="0.3">
      <c r="A72" t="s">
        <v>170</v>
      </c>
      <c r="B72" t="s">
        <v>171</v>
      </c>
      <c r="C72" s="2" cm="1">
        <f t="array" ref="C72">ROUND(_xlfn.LET(
  _xlpm.r, INDEX('Raw_from_worldbank_PA.NUS.FCRF'!$C$2:$BR$272,
           MATCH(B72,'Raw_from_worldbank_PA.NUS.FCRF'!$B$2:$B$272,0),0),
  LOOKUP(2,1/(_xlpm.r&lt;&gt;""),_xlpm.r)
),2)</f>
        <v>2.72</v>
      </c>
      <c r="D72" cm="1">
        <f t="array" ref="D72">_xlfn.LET(
  _xlpm.r, INDEX('Raw_from_worldbank_PA.NUS.FCRF'!$C$2:$BR$272,
           MATCH(B72,'Raw_from_worldbank_PA.NUS.FCRF'!$B$2:$B$272,0),0),
  _xlpm.yrs, 'Raw_from_worldbank_PA.NUS.FCRF'!$C$1:$BR$1,
  LOOKUP(2,1/(_xlpm.r&lt;&gt;""),_xlpm.yrs)
)</f>
        <v>2024</v>
      </c>
    </row>
    <row r="73" spans="1:4" x14ac:dyDescent="0.3">
      <c r="A73" t="s">
        <v>172</v>
      </c>
      <c r="B73" t="s">
        <v>173</v>
      </c>
      <c r="C73" s="2" cm="1">
        <f t="array" ref="C73">ROUND(_xlfn.LET(
  _xlpm.r, INDEX('Raw_from_worldbank_PA.NUS.FCRF'!$C$2:$BR$272,
           MATCH(B73,'Raw_from_worldbank_PA.NUS.FCRF'!$B$2:$B$272,0),0),
  LOOKUP(2,1/(_xlpm.r&lt;&gt;""),_xlpm.r)
),2)</f>
        <v>14.18</v>
      </c>
      <c r="D73" cm="1">
        <f t="array" ref="D73">_xlfn.LET(
  _xlpm.r, INDEX('Raw_from_worldbank_PA.NUS.FCRF'!$C$2:$BR$272,
           MATCH(B73,'Raw_from_worldbank_PA.NUS.FCRF'!$B$2:$B$272,0),0),
  _xlpm.yrs, 'Raw_from_worldbank_PA.NUS.FCRF'!$C$1:$BR$1,
  LOOKUP(2,1/(_xlpm.r&lt;&gt;""),_xlpm.yrs)
)</f>
        <v>2024</v>
      </c>
    </row>
    <row r="74" spans="1:4" x14ac:dyDescent="0.3">
      <c r="A74" t="s">
        <v>174</v>
      </c>
      <c r="B74" t="s">
        <v>175</v>
      </c>
      <c r="C74" s="2" cm="1">
        <f t="array" ref="C74">ROUND(_xlfn.LET(
  _xlpm.r, INDEX('Raw_from_worldbank_PA.NUS.FCRF'!$C$2:$BR$272,
           MATCH(B74,'Raw_from_worldbank_PA.NUS.FCRF'!$B$2:$B$272,0),0),
  LOOKUP(2,1/(_xlpm.r&lt;&gt;""),_xlpm.r)
),2)</f>
        <v>0.78</v>
      </c>
      <c r="D74" cm="1">
        <f t="array" ref="D74">_xlfn.LET(
  _xlpm.r, INDEX('Raw_from_worldbank_PA.NUS.FCRF'!$C$2:$BR$272,
           MATCH(B74,'Raw_from_worldbank_PA.NUS.FCRF'!$B$2:$B$272,0),0),
  _xlpm.yrs, 'Raw_from_worldbank_PA.NUS.FCRF'!$C$1:$BR$1,
  LOOKUP(2,1/(_xlpm.r&lt;&gt;""),_xlpm.yrs)
)</f>
        <v>2024</v>
      </c>
    </row>
    <row r="75" spans="1:4" x14ac:dyDescent="0.3">
      <c r="A75" t="s">
        <v>176</v>
      </c>
      <c r="B75" t="s">
        <v>177</v>
      </c>
      <c r="C75" s="2" cm="1">
        <f t="array" ref="C75">ROUND(_xlfn.LET(
  _xlpm.r, INDEX('Raw_from_worldbank_PA.NUS.FCRF'!$C$2:$BR$272,
           MATCH(B75,'Raw_from_worldbank_PA.NUS.FCRF'!$B$2:$B$272,0),0),
  LOOKUP(2,1/(_xlpm.r&lt;&gt;""),_xlpm.r)
),2)</f>
        <v>9565.08</v>
      </c>
      <c r="D75" cm="1">
        <f t="array" ref="D75">_xlfn.LET(
  _xlpm.r, INDEX('Raw_from_worldbank_PA.NUS.FCRF'!$C$2:$BR$272,
           MATCH(B75,'Raw_from_worldbank_PA.NUS.FCRF'!$B$2:$B$272,0),0),
  _xlpm.yrs, 'Raw_from_worldbank_PA.NUS.FCRF'!$C$1:$BR$1,
  LOOKUP(2,1/(_xlpm.r&lt;&gt;""),_xlpm.yrs)
)</f>
        <v>2020</v>
      </c>
    </row>
    <row r="76" spans="1:4" x14ac:dyDescent="0.3">
      <c r="A76" t="s">
        <v>178</v>
      </c>
      <c r="B76" t="s">
        <v>179</v>
      </c>
      <c r="C76" s="2" cm="1">
        <f t="array" ref="C76">ROUND(_xlfn.LET(
  _xlpm.r, INDEX('Raw_from_worldbank_PA.NUS.FCRF'!$C$2:$BR$272,
           MATCH(B76,'Raw_from_worldbank_PA.NUS.FCRF'!$B$2:$B$272,0),0),
  LOOKUP(2,1/(_xlpm.r&lt;&gt;""),_xlpm.r)
),2)</f>
        <v>67.66</v>
      </c>
      <c r="D76" cm="1">
        <f t="array" ref="D76">_xlfn.LET(
  _xlpm.r, INDEX('Raw_from_worldbank_PA.NUS.FCRF'!$C$2:$BR$272,
           MATCH(B76,'Raw_from_worldbank_PA.NUS.FCRF'!$B$2:$B$272,0),0),
  _xlpm.yrs, 'Raw_from_worldbank_PA.NUS.FCRF'!$C$1:$BR$1,
  LOOKUP(2,1/(_xlpm.r&lt;&gt;""),_xlpm.yrs)
)</f>
        <v>2024</v>
      </c>
    </row>
    <row r="77" spans="1:4" x14ac:dyDescent="0.3">
      <c r="A77" t="s">
        <v>180</v>
      </c>
      <c r="B77" t="s">
        <v>181</v>
      </c>
      <c r="C77" s="2" cm="1">
        <f t="array" ref="C77">ROUND(_xlfn.LET(
  _xlpm.r, INDEX('Raw_from_worldbank_PA.NUS.FCRF'!$C$2:$BR$272,
           MATCH(B77,'Raw_from_worldbank_PA.NUS.FCRF'!$B$2:$B$272,0),0),
  LOOKUP(2,1/(_xlpm.r&lt;&gt;""),_xlpm.r)
),2)</f>
        <v>606.35</v>
      </c>
      <c r="D77" cm="1">
        <f t="array" ref="D77">_xlfn.LET(
  _xlpm.r, INDEX('Raw_from_worldbank_PA.NUS.FCRF'!$C$2:$BR$272,
           MATCH(B77,'Raw_from_worldbank_PA.NUS.FCRF'!$B$2:$B$272,0),0),
  _xlpm.yrs, 'Raw_from_worldbank_PA.NUS.FCRF'!$C$1:$BR$1,
  LOOKUP(2,1/(_xlpm.r&lt;&gt;""),_xlpm.yrs)
)</f>
        <v>2024</v>
      </c>
    </row>
    <row r="78" spans="1:4" x14ac:dyDescent="0.3">
      <c r="A78" t="s">
        <v>182</v>
      </c>
      <c r="B78" t="s">
        <v>183</v>
      </c>
      <c r="C78" s="2" cm="1">
        <f t="array" ref="C78">ROUND(_xlfn.LET(
  _xlpm.r, INDEX('Raw_from_worldbank_PA.NUS.FCRF'!$C$2:$BR$272,
           MATCH(B78,'Raw_from_worldbank_PA.NUS.FCRF'!$B$2:$B$272,0),0),
  LOOKUP(2,1/(_xlpm.r&lt;&gt;""),_xlpm.r)
),2)</f>
        <v>606.35</v>
      </c>
      <c r="D78" cm="1">
        <f t="array" ref="D78">_xlfn.LET(
  _xlpm.r, INDEX('Raw_from_worldbank_PA.NUS.FCRF'!$C$2:$BR$272,
           MATCH(B78,'Raw_from_worldbank_PA.NUS.FCRF'!$B$2:$B$272,0),0),
  _xlpm.yrs, 'Raw_from_worldbank_PA.NUS.FCRF'!$C$1:$BR$1,
  LOOKUP(2,1/(_xlpm.r&lt;&gt;""),_xlpm.yrs)
)</f>
        <v>2024</v>
      </c>
    </row>
    <row r="79" spans="1:4" x14ac:dyDescent="0.3">
      <c r="A79" t="s">
        <v>184</v>
      </c>
      <c r="B79" t="s">
        <v>185</v>
      </c>
      <c r="C79" s="2" cm="1">
        <f t="array" ref="C79">ROUND(_xlfn.LET(
  _xlpm.r, INDEX('Raw_from_worldbank_PA.NUS.FCRF'!$C$2:$BR$272,
           MATCH(B79,'Raw_from_worldbank_PA.NUS.FCRF'!$B$2:$B$272,0),0),
  LOOKUP(2,1/(_xlpm.r&lt;&gt;""),_xlpm.r)
),2)</f>
        <v>0.92</v>
      </c>
      <c r="D79" cm="1">
        <f t="array" ref="D79">_xlfn.LET(
  _xlpm.r, INDEX('Raw_from_worldbank_PA.NUS.FCRF'!$C$2:$BR$272,
           MATCH(B79,'Raw_from_worldbank_PA.NUS.FCRF'!$B$2:$B$272,0),0),
  _xlpm.yrs, 'Raw_from_worldbank_PA.NUS.FCRF'!$C$1:$BR$1,
  LOOKUP(2,1/(_xlpm.r&lt;&gt;""),_xlpm.yrs)
)</f>
        <v>2024</v>
      </c>
    </row>
    <row r="80" spans="1:4" x14ac:dyDescent="0.3">
      <c r="A80" t="s">
        <v>186</v>
      </c>
      <c r="B80" t="s">
        <v>187</v>
      </c>
      <c r="C80" s="2" cm="1">
        <f t="array" ref="C80">ROUND(_xlfn.LET(
  _xlpm.r, INDEX('Raw_from_worldbank_PA.NUS.FCRF'!$C$2:$BR$272,
           MATCH(B80,'Raw_from_worldbank_PA.NUS.FCRF'!$B$2:$B$272,0),0),
  LOOKUP(2,1/(_xlpm.r&lt;&gt;""),_xlpm.r)
),2)</f>
        <v>2.7</v>
      </c>
      <c r="D80" cm="1">
        <f t="array" ref="D80">_xlfn.LET(
  _xlpm.r, INDEX('Raw_from_worldbank_PA.NUS.FCRF'!$C$2:$BR$272,
           MATCH(B80,'Raw_from_worldbank_PA.NUS.FCRF'!$B$2:$B$272,0),0),
  _xlpm.yrs, 'Raw_from_worldbank_PA.NUS.FCRF'!$C$1:$BR$1,
  LOOKUP(2,1/(_xlpm.r&lt;&gt;""),_xlpm.yrs)
)</f>
        <v>2024</v>
      </c>
    </row>
    <row r="81" spans="1:4" x14ac:dyDescent="0.3">
      <c r="A81" t="s">
        <v>188</v>
      </c>
      <c r="B81" t="s">
        <v>189</v>
      </c>
      <c r="C81" s="2" cm="1">
        <f t="array" ref="C81">ROUND(_xlfn.LET(
  _xlpm.r, INDEX('Raw_from_worldbank_PA.NUS.FCRF'!$C$2:$BR$272,
           MATCH(B81,'Raw_from_worldbank_PA.NUS.FCRF'!$B$2:$B$272,0),0),
  LOOKUP(2,1/(_xlpm.r&lt;&gt;""),_xlpm.r)
),2)</f>
        <v>6.89</v>
      </c>
      <c r="D81" cm="1">
        <f t="array" ref="D81">_xlfn.LET(
  _xlpm.r, INDEX('Raw_from_worldbank_PA.NUS.FCRF'!$C$2:$BR$272,
           MATCH(B81,'Raw_from_worldbank_PA.NUS.FCRF'!$B$2:$B$272,0),0),
  _xlpm.yrs, 'Raw_from_worldbank_PA.NUS.FCRF'!$C$1:$BR$1,
  LOOKUP(2,1/(_xlpm.r&lt;&gt;""),_xlpm.yrs)
)</f>
        <v>2024</v>
      </c>
    </row>
    <row r="82" spans="1:4" x14ac:dyDescent="0.3">
      <c r="A82" t="s">
        <v>190</v>
      </c>
      <c r="B82" t="s">
        <v>191</v>
      </c>
      <c r="C82" s="2" cm="1">
        <f t="array" ref="C82">ROUND(_xlfn.LET(
  _xlpm.r, INDEX('Raw_from_worldbank_PA.NUS.FCRF'!$C$2:$BR$272,
           MATCH(B82,'Raw_from_worldbank_PA.NUS.FCRF'!$B$2:$B$272,0),0),
  LOOKUP(2,1/(_xlpm.r&lt;&gt;""),_xlpm.r)
),2)</f>
        <v>7.76</v>
      </c>
      <c r="D82" cm="1">
        <f t="array" ref="D82">_xlfn.LET(
  _xlpm.r, INDEX('Raw_from_worldbank_PA.NUS.FCRF'!$C$2:$BR$272,
           MATCH(B82,'Raw_from_worldbank_PA.NUS.FCRF'!$B$2:$B$272,0),0),
  _xlpm.yrs, 'Raw_from_worldbank_PA.NUS.FCRF'!$C$1:$BR$1,
  LOOKUP(2,1/(_xlpm.r&lt;&gt;""),_xlpm.yrs)
)</f>
        <v>2024</v>
      </c>
    </row>
    <row r="83" spans="1:4" x14ac:dyDescent="0.3">
      <c r="A83" t="s">
        <v>192</v>
      </c>
      <c r="B83" t="s">
        <v>193</v>
      </c>
      <c r="C83" s="2" cm="1">
        <f t="array" ref="C83">ROUND(_xlfn.LET(
  _xlpm.r, INDEX('Raw_from_worldbank_PA.NUS.FCRF'!$C$2:$BR$272,
           MATCH(B83,'Raw_from_worldbank_PA.NUS.FCRF'!$B$2:$B$272,0),0),
  LOOKUP(2,1/(_xlpm.r&lt;&gt;""),_xlpm.r)
),2)</f>
        <v>1</v>
      </c>
      <c r="D83" cm="1">
        <f t="array" ref="D83">_xlfn.LET(
  _xlpm.r, INDEX('Raw_from_worldbank_PA.NUS.FCRF'!$C$2:$BR$272,
           MATCH(B83,'Raw_from_worldbank_PA.NUS.FCRF'!$B$2:$B$272,0),0),
  _xlpm.yrs, 'Raw_from_worldbank_PA.NUS.FCRF'!$C$1:$BR$1,
  LOOKUP(2,1/(_xlpm.r&lt;&gt;""),_xlpm.yrs)
)</f>
        <v>2024</v>
      </c>
    </row>
    <row r="84" spans="1:4" x14ac:dyDescent="0.3">
      <c r="A84" t="s">
        <v>194</v>
      </c>
      <c r="B84" t="s">
        <v>195</v>
      </c>
      <c r="C84" s="2" cm="1">
        <f t="array" ref="C84">ROUND(_xlfn.LET(
  _xlpm.r, INDEX('Raw_from_worldbank_PA.NUS.FCRF'!$C$2:$BR$272,
           MATCH(B84,'Raw_from_worldbank_PA.NUS.FCRF'!$B$2:$B$272,0),0),
  LOOKUP(2,1/(_xlpm.r&lt;&gt;""),_xlpm.r)
),2)</f>
        <v>208.5</v>
      </c>
      <c r="D84" cm="1">
        <f t="array" ref="D84">_xlfn.LET(
  _xlpm.r, INDEX('Raw_from_worldbank_PA.NUS.FCRF'!$C$2:$BR$272,
           MATCH(B84,'Raw_from_worldbank_PA.NUS.FCRF'!$B$2:$B$272,0),0),
  _xlpm.yrs, 'Raw_from_worldbank_PA.NUS.FCRF'!$C$1:$BR$1,
  LOOKUP(2,1/(_xlpm.r&lt;&gt;""),_xlpm.yrs)
)</f>
        <v>2024</v>
      </c>
    </row>
    <row r="85" spans="1:4" x14ac:dyDescent="0.3">
      <c r="A85" t="s">
        <v>198</v>
      </c>
      <c r="B85" t="s">
        <v>199</v>
      </c>
      <c r="C85" s="2" cm="1">
        <f t="array" ref="C85">ROUND(_xlfn.LET(
  _xlpm.r, INDEX('Raw_from_worldbank_PA.NUS.FCRF'!$C$2:$BR$272,
           MATCH(B85,'Raw_from_worldbank_PA.NUS.FCRF'!$B$2:$B$272,0),0),
  LOOKUP(2,1/(_xlpm.r&lt;&gt;""),_xlpm.r)
),2)</f>
        <v>7.8</v>
      </c>
      <c r="D85" cm="1">
        <f t="array" ref="D85">_xlfn.LET(
  _xlpm.r, INDEX('Raw_from_worldbank_PA.NUS.FCRF'!$C$2:$BR$272,
           MATCH(B85,'Raw_from_worldbank_PA.NUS.FCRF'!$B$2:$B$272,0),0),
  _xlpm.yrs, 'Raw_from_worldbank_PA.NUS.FCRF'!$C$1:$BR$1,
  LOOKUP(2,1/(_xlpm.r&lt;&gt;""),_xlpm.yrs)
)</f>
        <v>2024</v>
      </c>
    </row>
    <row r="86" spans="1:4" x14ac:dyDescent="0.3">
      <c r="A86" t="s">
        <v>200</v>
      </c>
      <c r="B86" t="s">
        <v>201</v>
      </c>
      <c r="C86" s="2" cm="1">
        <f t="array" ref="C86">ROUND(_xlfn.LET(
  _xlpm.r, INDEX('Raw_from_worldbank_PA.NUS.FCRF'!$C$2:$BR$272,
           MATCH(B86,'Raw_from_worldbank_PA.NUS.FCRF'!$B$2:$B$272,0),0),
  LOOKUP(2,1/(_xlpm.r&lt;&gt;""),_xlpm.r)
),2)</f>
        <v>24.8</v>
      </c>
      <c r="D86" cm="1">
        <f t="array" ref="D86">_xlfn.LET(
  _xlpm.r, INDEX('Raw_from_worldbank_PA.NUS.FCRF'!$C$2:$BR$272,
           MATCH(B86,'Raw_from_worldbank_PA.NUS.FCRF'!$B$2:$B$272,0),0),
  _xlpm.yrs, 'Raw_from_worldbank_PA.NUS.FCRF'!$C$1:$BR$1,
  LOOKUP(2,1/(_xlpm.r&lt;&gt;""),_xlpm.yrs)
)</f>
        <v>2024</v>
      </c>
    </row>
    <row r="87" spans="1:4" x14ac:dyDescent="0.3">
      <c r="A87" t="s">
        <v>204</v>
      </c>
      <c r="B87" t="s">
        <v>205</v>
      </c>
      <c r="C87" s="2" cm="1">
        <f t="array" ref="C87">ROUND(_xlfn.LET(
  _xlpm.r, INDEX('Raw_from_worldbank_PA.NUS.FCRF'!$C$2:$BR$272,
           MATCH(B87,'Raw_from_worldbank_PA.NUS.FCRF'!$B$2:$B$272,0),0),
  LOOKUP(2,1/(_xlpm.r&lt;&gt;""),_xlpm.r)
),2)</f>
        <v>0.92</v>
      </c>
      <c r="D87" cm="1">
        <f t="array" ref="D87">_xlfn.LET(
  _xlpm.r, INDEX('Raw_from_worldbank_PA.NUS.FCRF'!$C$2:$BR$272,
           MATCH(B87,'Raw_from_worldbank_PA.NUS.FCRF'!$B$2:$B$272,0),0),
  _xlpm.yrs, 'Raw_from_worldbank_PA.NUS.FCRF'!$C$1:$BR$1,
  LOOKUP(2,1/(_xlpm.r&lt;&gt;""),_xlpm.yrs)
)</f>
        <v>2024</v>
      </c>
    </row>
    <row r="88" spans="1:4" x14ac:dyDescent="0.3">
      <c r="A88" t="s">
        <v>206</v>
      </c>
      <c r="B88" t="s">
        <v>207</v>
      </c>
      <c r="C88" s="2" cm="1">
        <f t="array" ref="C88">ROUND(_xlfn.LET(
  _xlpm.r, INDEX('Raw_from_worldbank_PA.NUS.FCRF'!$C$2:$BR$272,
           MATCH(B88,'Raw_from_worldbank_PA.NUS.FCRF'!$B$2:$B$272,0),0),
  LOOKUP(2,1/(_xlpm.r&lt;&gt;""),_xlpm.r)
),2)</f>
        <v>131.81</v>
      </c>
      <c r="D88" cm="1">
        <f t="array" ref="D88">_xlfn.LET(
  _xlpm.r, INDEX('Raw_from_worldbank_PA.NUS.FCRF'!$C$2:$BR$272,
           MATCH(B88,'Raw_from_worldbank_PA.NUS.FCRF'!$B$2:$B$272,0),0),
  _xlpm.yrs, 'Raw_from_worldbank_PA.NUS.FCRF'!$C$1:$BR$1,
  LOOKUP(2,1/(_xlpm.r&lt;&gt;""),_xlpm.yrs)
)</f>
        <v>2024</v>
      </c>
    </row>
    <row r="89" spans="1:4" x14ac:dyDescent="0.3">
      <c r="A89" t="s">
        <v>208</v>
      </c>
      <c r="B89" t="s">
        <v>209</v>
      </c>
      <c r="C89" s="2" cm="1">
        <f t="array" ref="C89">ROUND(_xlfn.LET(
  _xlpm.r, INDEX('Raw_from_worldbank_PA.NUS.FCRF'!$C$2:$BR$272,
           MATCH(B89,'Raw_from_worldbank_PA.NUS.FCRF'!$B$2:$B$272,0),0),
  LOOKUP(2,1/(_xlpm.r&lt;&gt;""),_xlpm.r)
),2)</f>
        <v>365.69</v>
      </c>
      <c r="D89" cm="1">
        <f t="array" ref="D89">_xlfn.LET(
  _xlpm.r, INDEX('Raw_from_worldbank_PA.NUS.FCRF'!$C$2:$BR$272,
           MATCH(B89,'Raw_from_worldbank_PA.NUS.FCRF'!$B$2:$B$272,0),0),
  _xlpm.yrs, 'Raw_from_worldbank_PA.NUS.FCRF'!$C$1:$BR$1,
  LOOKUP(2,1/(_xlpm.r&lt;&gt;""),_xlpm.yrs)
)</f>
        <v>2024</v>
      </c>
    </row>
    <row r="90" spans="1:4" x14ac:dyDescent="0.3">
      <c r="A90" t="s">
        <v>218</v>
      </c>
      <c r="B90" t="s">
        <v>219</v>
      </c>
      <c r="C90" s="2" cm="1">
        <f t="array" ref="C90">ROUND(_xlfn.LET(
  _xlpm.r, INDEX('Raw_from_worldbank_PA.NUS.FCRF'!$C$2:$BR$272,
           MATCH(B90,'Raw_from_worldbank_PA.NUS.FCRF'!$B$2:$B$272,0),0),
  LOOKUP(2,1/(_xlpm.r&lt;&gt;""),_xlpm.r)
),2)</f>
        <v>15855.45</v>
      </c>
      <c r="D90" cm="1">
        <f t="array" ref="D90">_xlfn.LET(
  _xlpm.r, INDEX('Raw_from_worldbank_PA.NUS.FCRF'!$C$2:$BR$272,
           MATCH(B90,'Raw_from_worldbank_PA.NUS.FCRF'!$B$2:$B$272,0),0),
  _xlpm.yrs, 'Raw_from_worldbank_PA.NUS.FCRF'!$C$1:$BR$1,
  LOOKUP(2,1/(_xlpm.r&lt;&gt;""),_xlpm.yrs)
)</f>
        <v>2024</v>
      </c>
    </row>
    <row r="91" spans="1:4" x14ac:dyDescent="0.3">
      <c r="A91" t="s">
        <v>222</v>
      </c>
      <c r="B91" t="s">
        <v>223</v>
      </c>
      <c r="C91" s="2" cm="1">
        <f t="array" ref="C91">ROUND(_xlfn.LET(
  _xlpm.r, INDEX('Raw_from_worldbank_PA.NUS.FCRF'!$C$2:$BR$272,
           MATCH(B91,'Raw_from_worldbank_PA.NUS.FCRF'!$B$2:$B$272,0),0),
  LOOKUP(2,1/(_xlpm.r&lt;&gt;""),_xlpm.r)
),2)</f>
        <v>0.78</v>
      </c>
      <c r="D91" cm="1">
        <f t="array" ref="D91">_xlfn.LET(
  _xlpm.r, INDEX('Raw_from_worldbank_PA.NUS.FCRF'!$C$2:$BR$272,
           MATCH(B91,'Raw_from_worldbank_PA.NUS.FCRF'!$B$2:$B$272,0),0),
  _xlpm.yrs, 'Raw_from_worldbank_PA.NUS.FCRF'!$C$1:$BR$1,
  LOOKUP(2,1/(_xlpm.r&lt;&gt;""),_xlpm.yrs)
)</f>
        <v>2024</v>
      </c>
    </row>
    <row r="92" spans="1:4" x14ac:dyDescent="0.3">
      <c r="A92" t="s">
        <v>224</v>
      </c>
      <c r="B92" t="s">
        <v>225</v>
      </c>
      <c r="C92" s="2" cm="1">
        <f t="array" ref="C92">ROUND(_xlfn.LET(
  _xlpm.r, INDEX('Raw_from_worldbank_PA.NUS.FCRF'!$C$2:$BR$272,
           MATCH(B92,'Raw_from_worldbank_PA.NUS.FCRF'!$B$2:$B$272,0),0),
  LOOKUP(2,1/(_xlpm.r&lt;&gt;""),_xlpm.r)
),2)</f>
        <v>83.67</v>
      </c>
      <c r="D92" cm="1">
        <f t="array" ref="D92">_xlfn.LET(
  _xlpm.r, INDEX('Raw_from_worldbank_PA.NUS.FCRF'!$C$2:$BR$272,
           MATCH(B92,'Raw_from_worldbank_PA.NUS.FCRF'!$B$2:$B$272,0),0),
  _xlpm.yrs, 'Raw_from_worldbank_PA.NUS.FCRF'!$C$1:$BR$1,
  LOOKUP(2,1/(_xlpm.r&lt;&gt;""),_xlpm.yrs)
)</f>
        <v>2024</v>
      </c>
    </row>
    <row r="93" spans="1:4" x14ac:dyDescent="0.3">
      <c r="A93" t="s">
        <v>228</v>
      </c>
      <c r="B93" t="s">
        <v>229</v>
      </c>
      <c r="C93" s="2" cm="1">
        <f t="array" ref="C93">ROUND(_xlfn.LET(
  _xlpm.r, INDEX('Raw_from_worldbank_PA.NUS.FCRF'!$C$2:$BR$272,
           MATCH(B93,'Raw_from_worldbank_PA.NUS.FCRF'!$B$2:$B$272,0),0),
  LOOKUP(2,1/(_xlpm.r&lt;&gt;""),_xlpm.r)
),2)</f>
        <v>0.92</v>
      </c>
      <c r="D93" cm="1">
        <f t="array" ref="D93">_xlfn.LET(
  _xlpm.r, INDEX('Raw_from_worldbank_PA.NUS.FCRF'!$C$2:$BR$272,
           MATCH(B93,'Raw_from_worldbank_PA.NUS.FCRF'!$B$2:$B$272,0),0),
  _xlpm.yrs, 'Raw_from_worldbank_PA.NUS.FCRF'!$C$1:$BR$1,
  LOOKUP(2,1/(_xlpm.r&lt;&gt;""),_xlpm.yrs)
)</f>
        <v>2024</v>
      </c>
    </row>
    <row r="94" spans="1:4" x14ac:dyDescent="0.3">
      <c r="A94" t="s">
        <v>230</v>
      </c>
      <c r="B94" t="s">
        <v>231</v>
      </c>
      <c r="C94" s="2" cm="1">
        <f t="array" ref="C94">ROUND(_xlfn.LET(
  _xlpm.r, INDEX('Raw_from_worldbank_PA.NUS.FCRF'!$C$2:$BR$272,
           MATCH(B94,'Raw_from_worldbank_PA.NUS.FCRF'!$B$2:$B$272,0),0),
  LOOKUP(2,1/(_xlpm.r&lt;&gt;""),_xlpm.r)
),2)</f>
        <v>42000</v>
      </c>
      <c r="D94" cm="1">
        <f t="array" ref="D94">_xlfn.LET(
  _xlpm.r, INDEX('Raw_from_worldbank_PA.NUS.FCRF'!$C$2:$BR$272,
           MATCH(B94,'Raw_from_worldbank_PA.NUS.FCRF'!$B$2:$B$272,0),0),
  _xlpm.yrs, 'Raw_from_worldbank_PA.NUS.FCRF'!$C$1:$BR$1,
  LOOKUP(2,1/(_xlpm.r&lt;&gt;""),_xlpm.yrs)
)</f>
        <v>2023</v>
      </c>
    </row>
    <row r="95" spans="1:4" x14ac:dyDescent="0.3">
      <c r="A95" t="s">
        <v>232</v>
      </c>
      <c r="B95" t="s">
        <v>233</v>
      </c>
      <c r="C95" s="2" cm="1">
        <f t="array" ref="C95">ROUND(_xlfn.LET(
  _xlpm.r, INDEX('Raw_from_worldbank_PA.NUS.FCRF'!$C$2:$BR$272,
           MATCH(B95,'Raw_from_worldbank_PA.NUS.FCRF'!$B$2:$B$272,0),0),
  LOOKUP(2,1/(_xlpm.r&lt;&gt;""),_xlpm.r)
),2)</f>
        <v>1300</v>
      </c>
      <c r="D95" cm="1">
        <f t="array" ref="D95">_xlfn.LET(
  _xlpm.r, INDEX('Raw_from_worldbank_PA.NUS.FCRF'!$C$2:$BR$272,
           MATCH(B95,'Raw_from_worldbank_PA.NUS.FCRF'!$B$2:$B$272,0),0),
  _xlpm.yrs, 'Raw_from_worldbank_PA.NUS.FCRF'!$C$1:$BR$1,
  LOOKUP(2,1/(_xlpm.r&lt;&gt;""),_xlpm.yrs)
)</f>
        <v>2024</v>
      </c>
    </row>
    <row r="96" spans="1:4" x14ac:dyDescent="0.3">
      <c r="A96" t="s">
        <v>234</v>
      </c>
      <c r="B96" t="s">
        <v>235</v>
      </c>
      <c r="C96" s="2" cm="1">
        <f t="array" ref="C96">ROUND(_xlfn.LET(
  _xlpm.r, INDEX('Raw_from_worldbank_PA.NUS.FCRF'!$C$2:$BR$272,
           MATCH(B96,'Raw_from_worldbank_PA.NUS.FCRF'!$B$2:$B$272,0),0),
  LOOKUP(2,1/(_xlpm.r&lt;&gt;""),_xlpm.r)
),2)</f>
        <v>137.96</v>
      </c>
      <c r="D96" cm="1">
        <f t="array" ref="D96">_xlfn.LET(
  _xlpm.r, INDEX('Raw_from_worldbank_PA.NUS.FCRF'!$C$2:$BR$272,
           MATCH(B96,'Raw_from_worldbank_PA.NUS.FCRF'!$B$2:$B$272,0),0),
  _xlpm.yrs, 'Raw_from_worldbank_PA.NUS.FCRF'!$C$1:$BR$1,
  LOOKUP(2,1/(_xlpm.r&lt;&gt;""),_xlpm.yrs)
)</f>
        <v>2024</v>
      </c>
    </row>
    <row r="97" spans="1:4" x14ac:dyDescent="0.3">
      <c r="A97" t="s">
        <v>236</v>
      </c>
      <c r="B97" t="s">
        <v>237</v>
      </c>
      <c r="C97" s="2" cm="1">
        <f t="array" ref="C97">ROUND(_xlfn.LET(
  _xlpm.r, INDEX('Raw_from_worldbank_PA.NUS.FCRF'!$C$2:$BR$272,
           MATCH(B97,'Raw_from_worldbank_PA.NUS.FCRF'!$B$2:$B$272,0),0),
  LOOKUP(2,1/(_xlpm.r&lt;&gt;""),_xlpm.r)
),2)</f>
        <v>3.7</v>
      </c>
      <c r="D97" cm="1">
        <f t="array" ref="D97">_xlfn.LET(
  _xlpm.r, INDEX('Raw_from_worldbank_PA.NUS.FCRF'!$C$2:$BR$272,
           MATCH(B97,'Raw_from_worldbank_PA.NUS.FCRF'!$B$2:$B$272,0),0),
  _xlpm.yrs, 'Raw_from_worldbank_PA.NUS.FCRF'!$C$1:$BR$1,
  LOOKUP(2,1/(_xlpm.r&lt;&gt;""),_xlpm.yrs)
)</f>
        <v>2024</v>
      </c>
    </row>
    <row r="98" spans="1:4" x14ac:dyDescent="0.3">
      <c r="A98" t="s">
        <v>238</v>
      </c>
      <c r="B98" t="s">
        <v>239</v>
      </c>
      <c r="C98" s="2" cm="1">
        <f t="array" ref="C98">ROUND(_xlfn.LET(
  _xlpm.r, INDEX('Raw_from_worldbank_PA.NUS.FCRF'!$C$2:$BR$272,
           MATCH(B98,'Raw_from_worldbank_PA.NUS.FCRF'!$B$2:$B$272,0),0),
  LOOKUP(2,1/(_xlpm.r&lt;&gt;""),_xlpm.r)
),2)</f>
        <v>0.92</v>
      </c>
      <c r="D98" cm="1">
        <f t="array" ref="D98">_xlfn.LET(
  _xlpm.r, INDEX('Raw_from_worldbank_PA.NUS.FCRF'!$C$2:$BR$272,
           MATCH(B98,'Raw_from_worldbank_PA.NUS.FCRF'!$B$2:$B$272,0),0),
  _xlpm.yrs, 'Raw_from_worldbank_PA.NUS.FCRF'!$C$1:$BR$1,
  LOOKUP(2,1/(_xlpm.r&lt;&gt;""),_xlpm.yrs)
)</f>
        <v>2024</v>
      </c>
    </row>
    <row r="99" spans="1:4" x14ac:dyDescent="0.3">
      <c r="A99" t="s">
        <v>240</v>
      </c>
      <c r="B99" t="s">
        <v>241</v>
      </c>
      <c r="C99" s="2" cm="1">
        <f t="array" ref="C99">ROUND(_xlfn.LET(
  _xlpm.r, INDEX('Raw_from_worldbank_PA.NUS.FCRF'!$C$2:$BR$272,
           MATCH(B99,'Raw_from_worldbank_PA.NUS.FCRF'!$B$2:$B$272,0),0),
  LOOKUP(2,1/(_xlpm.r&lt;&gt;""),_xlpm.r)
),2)</f>
        <v>156.44</v>
      </c>
      <c r="D99" cm="1">
        <f t="array" ref="D99">_xlfn.LET(
  _xlpm.r, INDEX('Raw_from_worldbank_PA.NUS.FCRF'!$C$2:$BR$272,
           MATCH(B99,'Raw_from_worldbank_PA.NUS.FCRF'!$B$2:$B$272,0),0),
  _xlpm.yrs, 'Raw_from_worldbank_PA.NUS.FCRF'!$C$1:$BR$1,
  LOOKUP(2,1/(_xlpm.r&lt;&gt;""),_xlpm.yrs)
)</f>
        <v>2024</v>
      </c>
    </row>
    <row r="100" spans="1:4" x14ac:dyDescent="0.3">
      <c r="A100" t="s">
        <v>242</v>
      </c>
      <c r="B100" t="s">
        <v>243</v>
      </c>
      <c r="C100" s="2" cm="1">
        <f t="array" ref="C100">ROUND(_xlfn.LET(
  _xlpm.r, INDEX('Raw_from_worldbank_PA.NUS.FCRF'!$C$2:$BR$272,
           MATCH(B100,'Raw_from_worldbank_PA.NUS.FCRF'!$B$2:$B$272,0),0),
  LOOKUP(2,1/(_xlpm.r&lt;&gt;""),_xlpm.r)
),2)</f>
        <v>0.71</v>
      </c>
      <c r="D100" cm="1">
        <f t="array" ref="D100">_xlfn.LET(
  _xlpm.r, INDEX('Raw_from_worldbank_PA.NUS.FCRF'!$C$2:$BR$272,
           MATCH(B100,'Raw_from_worldbank_PA.NUS.FCRF'!$B$2:$B$272,0),0),
  _xlpm.yrs, 'Raw_from_worldbank_PA.NUS.FCRF'!$C$1:$BR$1,
  LOOKUP(2,1/(_xlpm.r&lt;&gt;""),_xlpm.yrs)
)</f>
        <v>2024</v>
      </c>
    </row>
    <row r="101" spans="1:4" x14ac:dyDescent="0.3">
      <c r="A101" t="s">
        <v>244</v>
      </c>
      <c r="B101" t="s">
        <v>245</v>
      </c>
      <c r="C101" s="2" cm="1">
        <f t="array" ref="C101">ROUND(_xlfn.LET(
  _xlpm.r, INDEX('Raw_from_worldbank_PA.NUS.FCRF'!$C$2:$BR$272,
           MATCH(B101,'Raw_from_worldbank_PA.NUS.FCRF'!$B$2:$B$272,0),0),
  LOOKUP(2,1/(_xlpm.r&lt;&gt;""),_xlpm.r)
),2)</f>
        <v>151.37</v>
      </c>
      <c r="D101" cm="1">
        <f t="array" ref="D101">_xlfn.LET(
  _xlpm.r, INDEX('Raw_from_worldbank_PA.NUS.FCRF'!$C$2:$BR$272,
           MATCH(B101,'Raw_from_worldbank_PA.NUS.FCRF'!$B$2:$B$272,0),0),
  _xlpm.yrs, 'Raw_from_worldbank_PA.NUS.FCRF'!$C$1:$BR$1,
  LOOKUP(2,1/(_xlpm.r&lt;&gt;""),_xlpm.yrs)
)</f>
        <v>2024</v>
      </c>
    </row>
    <row r="102" spans="1:4" x14ac:dyDescent="0.3">
      <c r="A102" t="s">
        <v>246</v>
      </c>
      <c r="B102" t="s">
        <v>247</v>
      </c>
      <c r="C102" s="2" cm="1">
        <f t="array" ref="C102">ROUND(_xlfn.LET(
  _xlpm.r, INDEX('Raw_from_worldbank_PA.NUS.FCRF'!$C$2:$BR$272,
           MATCH(B102,'Raw_from_worldbank_PA.NUS.FCRF'!$B$2:$B$272,0),0),
  LOOKUP(2,1/(_xlpm.r&lt;&gt;""),_xlpm.r)
),2)</f>
        <v>468.96</v>
      </c>
      <c r="D102" cm="1">
        <f t="array" ref="D102">_xlfn.LET(
  _xlpm.r, INDEX('Raw_from_worldbank_PA.NUS.FCRF'!$C$2:$BR$272,
           MATCH(B102,'Raw_from_worldbank_PA.NUS.FCRF'!$B$2:$B$272,0),0),
  _xlpm.yrs, 'Raw_from_worldbank_PA.NUS.FCRF'!$C$1:$BR$1,
  LOOKUP(2,1/(_xlpm.r&lt;&gt;""),_xlpm.yrs)
)</f>
        <v>2024</v>
      </c>
    </row>
    <row r="103" spans="1:4" x14ac:dyDescent="0.3">
      <c r="A103" t="s">
        <v>248</v>
      </c>
      <c r="B103" t="s">
        <v>249</v>
      </c>
      <c r="C103" s="2" cm="1">
        <f t="array" ref="C103">ROUND(_xlfn.LET(
  _xlpm.r, INDEX('Raw_from_worldbank_PA.NUS.FCRF'!$C$2:$BR$272,
           MATCH(B103,'Raw_from_worldbank_PA.NUS.FCRF'!$B$2:$B$272,0),0),
  LOOKUP(2,1/(_xlpm.r&lt;&gt;""),_xlpm.r)
),2)</f>
        <v>134.82</v>
      </c>
      <c r="D103" cm="1">
        <f t="array" ref="D103">_xlfn.LET(
  _xlpm.r, INDEX('Raw_from_worldbank_PA.NUS.FCRF'!$C$2:$BR$272,
           MATCH(B103,'Raw_from_worldbank_PA.NUS.FCRF'!$B$2:$B$272,0),0),
  _xlpm.yrs, 'Raw_from_worldbank_PA.NUS.FCRF'!$C$1:$BR$1,
  LOOKUP(2,1/(_xlpm.r&lt;&gt;""),_xlpm.yrs)
)</f>
        <v>2024</v>
      </c>
    </row>
    <row r="104" spans="1:4" x14ac:dyDescent="0.3">
      <c r="A104" t="s">
        <v>250</v>
      </c>
      <c r="B104" t="s">
        <v>251</v>
      </c>
      <c r="C104" s="2" cm="1">
        <f t="array" ref="C104">ROUND(_xlfn.LET(
  _xlpm.r, INDEX('Raw_from_worldbank_PA.NUS.FCRF'!$C$2:$BR$272,
           MATCH(B104,'Raw_from_worldbank_PA.NUS.FCRF'!$B$2:$B$272,0),0),
  LOOKUP(2,1/(_xlpm.r&lt;&gt;""),_xlpm.r)
),2)</f>
        <v>87.15</v>
      </c>
      <c r="D104" cm="1">
        <f t="array" ref="D104">_xlfn.LET(
  _xlpm.r, INDEX('Raw_from_worldbank_PA.NUS.FCRF'!$C$2:$BR$272,
           MATCH(B104,'Raw_from_worldbank_PA.NUS.FCRF'!$B$2:$B$272,0),0),
  _xlpm.yrs, 'Raw_from_worldbank_PA.NUS.FCRF'!$C$1:$BR$1,
  LOOKUP(2,1/(_xlpm.r&lt;&gt;""),_xlpm.yrs)
)</f>
        <v>2024</v>
      </c>
    </row>
    <row r="105" spans="1:4" x14ac:dyDescent="0.3">
      <c r="A105" t="s">
        <v>252</v>
      </c>
      <c r="B105" t="s">
        <v>253</v>
      </c>
      <c r="C105" s="2" cm="1">
        <f t="array" ref="C105">ROUND(_xlfn.LET(
  _xlpm.r, INDEX('Raw_from_worldbank_PA.NUS.FCRF'!$C$2:$BR$272,
           MATCH(B105,'Raw_from_worldbank_PA.NUS.FCRF'!$B$2:$B$272,0),0),
  LOOKUP(2,1/(_xlpm.r&lt;&gt;""),_xlpm.r)
),2)</f>
        <v>4072.4</v>
      </c>
      <c r="D105" cm="1">
        <f t="array" ref="D105">_xlfn.LET(
  _xlpm.r, INDEX('Raw_from_worldbank_PA.NUS.FCRF'!$C$2:$BR$272,
           MATCH(B105,'Raw_from_worldbank_PA.NUS.FCRF'!$B$2:$B$272,0),0),
  _xlpm.yrs, 'Raw_from_worldbank_PA.NUS.FCRF'!$C$1:$BR$1,
  LOOKUP(2,1/(_xlpm.r&lt;&gt;""),_xlpm.yrs)
)</f>
        <v>2024</v>
      </c>
    </row>
    <row r="106" spans="1:4" x14ac:dyDescent="0.3">
      <c r="A106" t="s">
        <v>254</v>
      </c>
      <c r="B106" t="s">
        <v>255</v>
      </c>
      <c r="C106" s="2" cm="1">
        <f t="array" ref="C106">ROUND(_xlfn.LET(
  _xlpm.r, INDEX('Raw_from_worldbank_PA.NUS.FCRF'!$C$2:$BR$272,
           MATCH(B106,'Raw_from_worldbank_PA.NUS.FCRF'!$B$2:$B$272,0),0),
  LOOKUP(2,1/(_xlpm.r&lt;&gt;""),_xlpm.r)
),2)</f>
        <v>1.52</v>
      </c>
      <c r="D106" cm="1">
        <f t="array" ref="D106">_xlfn.LET(
  _xlpm.r, INDEX('Raw_from_worldbank_PA.NUS.FCRF'!$C$2:$BR$272,
           MATCH(B106,'Raw_from_worldbank_PA.NUS.FCRF'!$B$2:$B$272,0),0),
  _xlpm.yrs, 'Raw_from_worldbank_PA.NUS.FCRF'!$C$1:$BR$1,
  LOOKUP(2,1/(_xlpm.r&lt;&gt;""),_xlpm.yrs)
)</f>
        <v>2024</v>
      </c>
    </row>
    <row r="107" spans="1:4" x14ac:dyDescent="0.3">
      <c r="A107" t="s">
        <v>256</v>
      </c>
      <c r="B107" t="s">
        <v>257</v>
      </c>
      <c r="C107" s="2" cm="1">
        <f t="array" ref="C107">ROUND(_xlfn.LET(
  _xlpm.r, INDEX('Raw_from_worldbank_PA.NUS.FCRF'!$C$2:$BR$272,
           MATCH(B107,'Raw_from_worldbank_PA.NUS.FCRF'!$B$2:$B$272,0),0),
  LOOKUP(2,1/(_xlpm.r&lt;&gt;""),_xlpm.r)
),2)</f>
        <v>2.7</v>
      </c>
      <c r="D107" cm="1">
        <f t="array" ref="D107">_xlfn.LET(
  _xlpm.r, INDEX('Raw_from_worldbank_PA.NUS.FCRF'!$C$2:$BR$272,
           MATCH(B107,'Raw_from_worldbank_PA.NUS.FCRF'!$B$2:$B$272,0),0),
  _xlpm.yrs, 'Raw_from_worldbank_PA.NUS.FCRF'!$C$1:$BR$1,
  LOOKUP(2,1/(_xlpm.r&lt;&gt;""),_xlpm.yrs)
)</f>
        <v>2024</v>
      </c>
    </row>
    <row r="108" spans="1:4" x14ac:dyDescent="0.3">
      <c r="A108" t="s">
        <v>258</v>
      </c>
      <c r="B108" t="s">
        <v>259</v>
      </c>
      <c r="C108" s="2" cm="1">
        <f t="array" ref="C108">ROUND(_xlfn.LET(
  _xlpm.r, INDEX('Raw_from_worldbank_PA.NUS.FCRF'!$C$2:$BR$272,
           MATCH(B108,'Raw_from_worldbank_PA.NUS.FCRF'!$B$2:$B$272,0),0),
  LOOKUP(2,1/(_xlpm.r&lt;&gt;""),_xlpm.r)
),2)</f>
        <v>1363.38</v>
      </c>
      <c r="D108" cm="1">
        <f t="array" ref="D108">_xlfn.LET(
  _xlpm.r, INDEX('Raw_from_worldbank_PA.NUS.FCRF'!$C$2:$BR$272,
           MATCH(B108,'Raw_from_worldbank_PA.NUS.FCRF'!$B$2:$B$272,0),0),
  _xlpm.yrs, 'Raw_from_worldbank_PA.NUS.FCRF'!$C$1:$BR$1,
  LOOKUP(2,1/(_xlpm.r&lt;&gt;""),_xlpm.yrs)
)</f>
        <v>2024</v>
      </c>
    </row>
    <row r="109" spans="1:4" x14ac:dyDescent="0.3">
      <c r="A109" t="s">
        <v>260</v>
      </c>
      <c r="B109" t="s">
        <v>261</v>
      </c>
      <c r="C109" s="2" cm="1">
        <f t="array" ref="C109">ROUND(_xlfn.LET(
  _xlpm.r, INDEX('Raw_from_worldbank_PA.NUS.FCRF'!$C$2:$BR$272,
           MATCH(B109,'Raw_from_worldbank_PA.NUS.FCRF'!$B$2:$B$272,0),0),
  LOOKUP(2,1/(_xlpm.r&lt;&gt;""),_xlpm.r)
),2)</f>
        <v>0.31</v>
      </c>
      <c r="D109" cm="1">
        <f t="array" ref="D109">_xlfn.LET(
  _xlpm.r, INDEX('Raw_from_worldbank_PA.NUS.FCRF'!$C$2:$BR$272,
           MATCH(B109,'Raw_from_worldbank_PA.NUS.FCRF'!$B$2:$B$272,0),0),
  _xlpm.yrs, 'Raw_from_worldbank_PA.NUS.FCRF'!$C$1:$BR$1,
  LOOKUP(2,1/(_xlpm.r&lt;&gt;""),_xlpm.yrs)
)</f>
        <v>2024</v>
      </c>
    </row>
    <row r="110" spans="1:4" x14ac:dyDescent="0.3">
      <c r="A110" t="s">
        <v>264</v>
      </c>
      <c r="B110" t="s">
        <v>265</v>
      </c>
      <c r="C110" s="2" cm="1">
        <f t="array" ref="C110">ROUND(_xlfn.LET(
  _xlpm.r, INDEX('Raw_from_worldbank_PA.NUS.FCRF'!$C$2:$BR$272,
           MATCH(B110,'Raw_from_worldbank_PA.NUS.FCRF'!$B$2:$B$272,0),0),
  LOOKUP(2,1/(_xlpm.r&lt;&gt;""),_xlpm.r)
),2)</f>
        <v>20167.330000000002</v>
      </c>
      <c r="D110" cm="1">
        <f t="array" ref="D110">_xlfn.LET(
  _xlpm.r, INDEX('Raw_from_worldbank_PA.NUS.FCRF'!$C$2:$BR$272,
           MATCH(B110,'Raw_from_worldbank_PA.NUS.FCRF'!$B$2:$B$272,0),0),
  _xlpm.yrs, 'Raw_from_worldbank_PA.NUS.FCRF'!$C$1:$BR$1,
  LOOKUP(2,1/(_xlpm.r&lt;&gt;""),_xlpm.yrs)
)</f>
        <v>2024</v>
      </c>
    </row>
    <row r="111" spans="1:4" x14ac:dyDescent="0.3">
      <c r="A111" t="s">
        <v>266</v>
      </c>
      <c r="B111" t="s">
        <v>267</v>
      </c>
      <c r="C111" s="2" cm="1">
        <f t="array" ref="C111">ROUND(_xlfn.LET(
  _xlpm.r, INDEX('Raw_from_worldbank_PA.NUS.FCRF'!$C$2:$BR$272,
           MATCH(B111,'Raw_from_worldbank_PA.NUS.FCRF'!$B$2:$B$272,0),0),
  LOOKUP(2,1/(_xlpm.r&lt;&gt;""),_xlpm.r)
),2)</f>
        <v>89500</v>
      </c>
      <c r="D111" cm="1">
        <f t="array" ref="D111">_xlfn.LET(
  _xlpm.r, INDEX('Raw_from_worldbank_PA.NUS.FCRF'!$C$2:$BR$272,
           MATCH(B111,'Raw_from_worldbank_PA.NUS.FCRF'!$B$2:$B$272,0),0),
  _xlpm.yrs, 'Raw_from_worldbank_PA.NUS.FCRF'!$C$1:$BR$1,
  LOOKUP(2,1/(_xlpm.r&lt;&gt;""),_xlpm.yrs)
)</f>
        <v>2024</v>
      </c>
    </row>
    <row r="112" spans="1:4" x14ac:dyDescent="0.3">
      <c r="A112" t="s">
        <v>268</v>
      </c>
      <c r="B112" t="s">
        <v>269</v>
      </c>
      <c r="C112" s="2" cm="1">
        <f t="array" ref="C112">ROUND(_xlfn.LET(
  _xlpm.r, INDEX('Raw_from_worldbank_PA.NUS.FCRF'!$C$2:$BR$272,
           MATCH(B112,'Raw_from_worldbank_PA.NUS.FCRF'!$B$2:$B$272,0),0),
  LOOKUP(2,1/(_xlpm.r&lt;&gt;""),_xlpm.r)
),2)</f>
        <v>174.96</v>
      </c>
      <c r="D112" cm="1">
        <f t="array" ref="D112">_xlfn.LET(
  _xlpm.r, INDEX('Raw_from_worldbank_PA.NUS.FCRF'!$C$2:$BR$272,
           MATCH(B112,'Raw_from_worldbank_PA.NUS.FCRF'!$B$2:$B$272,0),0),
  _xlpm.yrs, 'Raw_from_worldbank_PA.NUS.FCRF'!$C$1:$BR$1,
  LOOKUP(2,1/(_xlpm.r&lt;&gt;""),_xlpm.yrs)
)</f>
        <v>2023</v>
      </c>
    </row>
    <row r="113" spans="1:4" x14ac:dyDescent="0.3">
      <c r="A113" t="s">
        <v>270</v>
      </c>
      <c r="B113" t="s">
        <v>271</v>
      </c>
      <c r="C113" s="2" cm="1">
        <f t="array" ref="C113">ROUND(_xlfn.LET(
  _xlpm.r, INDEX('Raw_from_worldbank_PA.NUS.FCRF'!$C$2:$BR$272,
           MATCH(B113,'Raw_from_worldbank_PA.NUS.FCRF'!$B$2:$B$272,0),0),
  LOOKUP(2,1/(_xlpm.r&lt;&gt;""),_xlpm.r)
),2)</f>
        <v>4.83</v>
      </c>
      <c r="D113" cm="1">
        <f t="array" ref="D113">_xlfn.LET(
  _xlpm.r, INDEX('Raw_from_worldbank_PA.NUS.FCRF'!$C$2:$BR$272,
           MATCH(B113,'Raw_from_worldbank_PA.NUS.FCRF'!$B$2:$B$272,0),0),
  _xlpm.yrs, 'Raw_from_worldbank_PA.NUS.FCRF'!$C$1:$BR$1,
  LOOKUP(2,1/(_xlpm.r&lt;&gt;""),_xlpm.yrs)
)</f>
        <v>2024</v>
      </c>
    </row>
    <row r="114" spans="1:4" x14ac:dyDescent="0.3">
      <c r="A114" t="s">
        <v>272</v>
      </c>
      <c r="B114" t="s">
        <v>273</v>
      </c>
      <c r="C114" s="2" cm="1">
        <f t="array" ref="C114">ROUND(_xlfn.LET(
  _xlpm.r, INDEX('Raw_from_worldbank_PA.NUS.FCRF'!$C$2:$BR$272,
           MATCH(B114,'Raw_from_worldbank_PA.NUS.FCRF'!$B$2:$B$272,0),0),
  LOOKUP(2,1/(_xlpm.r&lt;&gt;""),_xlpm.r)
),2)</f>
        <v>2.7</v>
      </c>
      <c r="D114" cm="1">
        <f t="array" ref="D114">_xlfn.LET(
  _xlpm.r, INDEX('Raw_from_worldbank_PA.NUS.FCRF'!$C$2:$BR$272,
           MATCH(B114,'Raw_from_worldbank_PA.NUS.FCRF'!$B$2:$B$272,0),0),
  _xlpm.yrs, 'Raw_from_worldbank_PA.NUS.FCRF'!$C$1:$BR$1,
  LOOKUP(2,1/(_xlpm.r&lt;&gt;""),_xlpm.yrs)
)</f>
        <v>2024</v>
      </c>
    </row>
    <row r="115" spans="1:4" x14ac:dyDescent="0.3">
      <c r="A115" t="s">
        <v>280</v>
      </c>
      <c r="B115" t="s">
        <v>281</v>
      </c>
      <c r="C115" s="2" cm="1">
        <f t="array" ref="C115">ROUND(_xlfn.LET(
  _xlpm.r, INDEX('Raw_from_worldbank_PA.NUS.FCRF'!$C$2:$BR$272,
           MATCH(B115,'Raw_from_worldbank_PA.NUS.FCRF'!$B$2:$B$272,0),0),
  LOOKUP(2,1/(_xlpm.r&lt;&gt;""),_xlpm.r)
),2)</f>
        <v>0.88</v>
      </c>
      <c r="D115" cm="1">
        <f t="array" ref="D115">_xlfn.LET(
  _xlpm.r, INDEX('Raw_from_worldbank_PA.NUS.FCRF'!$C$2:$BR$272,
           MATCH(B115,'Raw_from_worldbank_PA.NUS.FCRF'!$B$2:$B$272,0),0),
  _xlpm.yrs, 'Raw_from_worldbank_PA.NUS.FCRF'!$C$1:$BR$1,
  LOOKUP(2,1/(_xlpm.r&lt;&gt;""),_xlpm.yrs)
)</f>
        <v>2024</v>
      </c>
    </row>
    <row r="116" spans="1:4" x14ac:dyDescent="0.3">
      <c r="A116" t="s">
        <v>282</v>
      </c>
      <c r="B116" t="s">
        <v>283</v>
      </c>
      <c r="C116" s="2" cm="1">
        <f t="array" ref="C116">ROUND(_xlfn.LET(
  _xlpm.r, INDEX('Raw_from_worldbank_PA.NUS.FCRF'!$C$2:$BR$272,
           MATCH(B116,'Raw_from_worldbank_PA.NUS.FCRF'!$B$2:$B$272,0),0),
  LOOKUP(2,1/(_xlpm.r&lt;&gt;""),_xlpm.r)
),2)</f>
        <v>327.51</v>
      </c>
      <c r="D116" cm="1">
        <f t="array" ref="D116">_xlfn.LET(
  _xlpm.r, INDEX('Raw_from_worldbank_PA.NUS.FCRF'!$C$2:$BR$272,
           MATCH(B116,'Raw_from_worldbank_PA.NUS.FCRF'!$B$2:$B$272,0),0),
  _xlpm.yrs, 'Raw_from_worldbank_PA.NUS.FCRF'!$C$1:$BR$1,
  LOOKUP(2,1/(_xlpm.r&lt;&gt;""),_xlpm.yrs)
)</f>
        <v>2023</v>
      </c>
    </row>
    <row r="117" spans="1:4" x14ac:dyDescent="0.3">
      <c r="A117" t="s">
        <v>288</v>
      </c>
      <c r="B117" t="s">
        <v>289</v>
      </c>
      <c r="C117" s="2" cm="1">
        <f t="array" ref="C117">ROUND(_xlfn.LET(
  _xlpm.r, INDEX('Raw_from_worldbank_PA.NUS.FCRF'!$C$2:$BR$272,
           MATCH(B117,'Raw_from_worldbank_PA.NUS.FCRF'!$B$2:$B$272,0),0),
  LOOKUP(2,1/(_xlpm.r&lt;&gt;""),_xlpm.r)
),2)</f>
        <v>18.329999999999998</v>
      </c>
      <c r="D117" cm="1">
        <f t="array" ref="D117">_xlfn.LET(
  _xlpm.r, INDEX('Raw_from_worldbank_PA.NUS.FCRF'!$C$2:$BR$272,
           MATCH(B117,'Raw_from_worldbank_PA.NUS.FCRF'!$B$2:$B$272,0),0),
  _xlpm.yrs, 'Raw_from_worldbank_PA.NUS.FCRF'!$C$1:$BR$1,
  LOOKUP(2,1/(_xlpm.r&lt;&gt;""),_xlpm.yrs)
)</f>
        <v>2024</v>
      </c>
    </row>
    <row r="118" spans="1:4" x14ac:dyDescent="0.3">
      <c r="A118" t="s">
        <v>292</v>
      </c>
      <c r="B118" t="s">
        <v>293</v>
      </c>
      <c r="C118" s="2" cm="1">
        <f t="array" ref="C118">ROUND(_xlfn.LET(
  _xlpm.r, INDEX('Raw_from_worldbank_PA.NUS.FCRF'!$C$2:$BR$272,
           MATCH(B118,'Raw_from_worldbank_PA.NUS.FCRF'!$B$2:$B$272,0),0),
  LOOKUP(2,1/(_xlpm.r&lt;&gt;""),_xlpm.r)
),2)</f>
        <v>0.92</v>
      </c>
      <c r="D118" cm="1">
        <f t="array" ref="D118">_xlfn.LET(
  _xlpm.r, INDEX('Raw_from_worldbank_PA.NUS.FCRF'!$C$2:$BR$272,
           MATCH(B118,'Raw_from_worldbank_PA.NUS.FCRF'!$B$2:$B$272,0),0),
  _xlpm.yrs, 'Raw_from_worldbank_PA.NUS.FCRF'!$C$1:$BR$1,
  LOOKUP(2,1/(_xlpm.r&lt;&gt;""),_xlpm.yrs)
)</f>
        <v>2024</v>
      </c>
    </row>
    <row r="119" spans="1:4" x14ac:dyDescent="0.3">
      <c r="A119" t="s">
        <v>294</v>
      </c>
      <c r="B119" t="s">
        <v>295</v>
      </c>
      <c r="C119" s="2" cm="1">
        <f t="array" ref="C119">ROUND(_xlfn.LET(
  _xlpm.r, INDEX('Raw_from_worldbank_PA.NUS.FCRF'!$C$2:$BR$272,
           MATCH(B119,'Raw_from_worldbank_PA.NUS.FCRF'!$B$2:$B$272,0),0),
  LOOKUP(2,1/(_xlpm.r&lt;&gt;""),_xlpm.r)
),2)</f>
        <v>0.92</v>
      </c>
      <c r="D119" cm="1">
        <f t="array" ref="D119">_xlfn.LET(
  _xlpm.r, INDEX('Raw_from_worldbank_PA.NUS.FCRF'!$C$2:$BR$272,
           MATCH(B119,'Raw_from_worldbank_PA.NUS.FCRF'!$B$2:$B$272,0),0),
  _xlpm.yrs, 'Raw_from_worldbank_PA.NUS.FCRF'!$C$1:$BR$1,
  LOOKUP(2,1/(_xlpm.r&lt;&gt;""),_xlpm.yrs)
)</f>
        <v>2024</v>
      </c>
    </row>
    <row r="120" spans="1:4" x14ac:dyDescent="0.3">
      <c r="A120" t="s">
        <v>296</v>
      </c>
      <c r="B120" t="s">
        <v>297</v>
      </c>
      <c r="C120" s="2" cm="1">
        <f t="array" ref="C120">ROUND(_xlfn.LET(
  _xlpm.r, INDEX('Raw_from_worldbank_PA.NUS.FCRF'!$C$2:$BR$272,
           MATCH(B120,'Raw_from_worldbank_PA.NUS.FCRF'!$B$2:$B$272,0),0),
  LOOKUP(2,1/(_xlpm.r&lt;&gt;""),_xlpm.r)
),2)</f>
        <v>0.92</v>
      </c>
      <c r="D120" cm="1">
        <f t="array" ref="D120">_xlfn.LET(
  _xlpm.r, INDEX('Raw_from_worldbank_PA.NUS.FCRF'!$C$2:$BR$272,
           MATCH(B120,'Raw_from_worldbank_PA.NUS.FCRF'!$B$2:$B$272,0),0),
  _xlpm.yrs, 'Raw_from_worldbank_PA.NUS.FCRF'!$C$1:$BR$1,
  LOOKUP(2,1/(_xlpm.r&lt;&gt;""),_xlpm.yrs)
)</f>
        <v>2024</v>
      </c>
    </row>
    <row r="121" spans="1:4" x14ac:dyDescent="0.3">
      <c r="A121" t="s">
        <v>298</v>
      </c>
      <c r="B121" t="s">
        <v>299</v>
      </c>
      <c r="C121" s="2" cm="1">
        <f t="array" ref="C121">ROUND(_xlfn.LET(
  _xlpm.r, INDEX('Raw_from_worldbank_PA.NUS.FCRF'!$C$2:$BR$272,
           MATCH(B121,'Raw_from_worldbank_PA.NUS.FCRF'!$B$2:$B$272,0),0),
  LOOKUP(2,1/(_xlpm.r&lt;&gt;""),_xlpm.r)
),2)</f>
        <v>8.0399999999999991</v>
      </c>
      <c r="D121" cm="1">
        <f t="array" ref="D121">_xlfn.LET(
  _xlpm.r, INDEX('Raw_from_worldbank_PA.NUS.FCRF'!$C$2:$BR$272,
           MATCH(B121,'Raw_from_worldbank_PA.NUS.FCRF'!$B$2:$B$272,0),0),
  _xlpm.yrs, 'Raw_from_worldbank_PA.NUS.FCRF'!$C$1:$BR$1,
  LOOKUP(2,1/(_xlpm.r&lt;&gt;""),_xlpm.yrs)
)</f>
        <v>2024</v>
      </c>
    </row>
    <row r="122" spans="1:4" x14ac:dyDescent="0.3">
      <c r="A122" t="s">
        <v>300</v>
      </c>
      <c r="B122" t="s">
        <v>301</v>
      </c>
      <c r="C122" s="2" cm="1">
        <f t="array" ref="C122">ROUND(_xlfn.LET(
  _xlpm.r, INDEX('Raw_from_worldbank_PA.NUS.FCRF'!$C$2:$BR$272,
           MATCH(B122,'Raw_from_worldbank_PA.NUS.FCRF'!$B$2:$B$272,0),0),
  LOOKUP(2,1/(_xlpm.r&lt;&gt;""),_xlpm.r)
),2)</f>
        <v>0.92</v>
      </c>
      <c r="D122" cm="1">
        <f t="array" ref="D122">_xlfn.LET(
  _xlpm.r, INDEX('Raw_from_worldbank_PA.NUS.FCRF'!$C$2:$BR$272,
           MATCH(B122,'Raw_from_worldbank_PA.NUS.FCRF'!$B$2:$B$272,0),0),
  _xlpm.yrs, 'Raw_from_worldbank_PA.NUS.FCRF'!$C$1:$BR$1,
  LOOKUP(2,1/(_xlpm.r&lt;&gt;""),_xlpm.yrs)
)</f>
        <v>2024</v>
      </c>
    </row>
    <row r="123" spans="1:4" x14ac:dyDescent="0.3">
      <c r="A123" t="s">
        <v>302</v>
      </c>
      <c r="B123" t="s">
        <v>303</v>
      </c>
      <c r="C123" s="2" cm="1">
        <f t="array" ref="C123">ROUND(_xlfn.LET(
  _xlpm.r, INDEX('Raw_from_worldbank_PA.NUS.FCRF'!$C$2:$BR$272,
           MATCH(B123,'Raw_from_worldbank_PA.NUS.FCRF'!$B$2:$B$272,0),0),
  LOOKUP(2,1/(_xlpm.r&lt;&gt;""),_xlpm.r)
),2)</f>
        <v>9.94</v>
      </c>
      <c r="D123" cm="1">
        <f t="array" ref="D123">_xlfn.LET(
  _xlpm.r, INDEX('Raw_from_worldbank_PA.NUS.FCRF'!$C$2:$BR$272,
           MATCH(B123,'Raw_from_worldbank_PA.NUS.FCRF'!$B$2:$B$272,0),0),
  _xlpm.yrs, 'Raw_from_worldbank_PA.NUS.FCRF'!$C$1:$BR$1,
  LOOKUP(2,1/(_xlpm.r&lt;&gt;""),_xlpm.yrs)
)</f>
        <v>2024</v>
      </c>
    </row>
    <row r="124" spans="1:4" x14ac:dyDescent="0.3">
      <c r="A124" t="s">
        <v>304</v>
      </c>
      <c r="B124" t="s">
        <v>305</v>
      </c>
      <c r="C124" s="2" cm="1">
        <f t="array" ref="C124">ROUND(_xlfn.LET(
  _xlpm.r, INDEX('Raw_from_worldbank_PA.NUS.FCRF'!$C$2:$BR$272,
           MATCH(B124,'Raw_from_worldbank_PA.NUS.FCRF'!$B$2:$B$272,0),0),
  LOOKUP(2,1/(_xlpm.r&lt;&gt;""),_xlpm.r)
),2)</f>
        <v>0.92</v>
      </c>
      <c r="D124" cm="1">
        <f t="array" ref="D124">_xlfn.LET(
  _xlpm.r, INDEX('Raw_from_worldbank_PA.NUS.FCRF'!$C$2:$BR$272,
           MATCH(B124,'Raw_from_worldbank_PA.NUS.FCRF'!$B$2:$B$272,0),0),
  _xlpm.yrs, 'Raw_from_worldbank_PA.NUS.FCRF'!$C$1:$BR$1,
  LOOKUP(2,1/(_xlpm.r&lt;&gt;""),_xlpm.yrs)
)</f>
        <v>2024</v>
      </c>
    </row>
    <row r="125" spans="1:4" x14ac:dyDescent="0.3">
      <c r="A125" t="s">
        <v>306</v>
      </c>
      <c r="B125" t="s">
        <v>307</v>
      </c>
      <c r="C125" s="2" cm="1">
        <f t="array" ref="C125">ROUND(_xlfn.LET(
  _xlpm.r, INDEX('Raw_from_worldbank_PA.NUS.FCRF'!$C$2:$BR$272,
           MATCH(B125,'Raw_from_worldbank_PA.NUS.FCRF'!$B$2:$B$272,0),0),
  LOOKUP(2,1/(_xlpm.r&lt;&gt;""),_xlpm.r)
),2)</f>
        <v>17.79</v>
      </c>
      <c r="D125" cm="1">
        <f t="array" ref="D125">_xlfn.LET(
  _xlpm.r, INDEX('Raw_from_worldbank_PA.NUS.FCRF'!$C$2:$BR$272,
           MATCH(B125,'Raw_from_worldbank_PA.NUS.FCRF'!$B$2:$B$272,0),0),
  _xlpm.yrs, 'Raw_from_worldbank_PA.NUS.FCRF'!$C$1:$BR$1,
  LOOKUP(2,1/(_xlpm.r&lt;&gt;""),_xlpm.yrs)
)</f>
        <v>2024</v>
      </c>
    </row>
    <row r="126" spans="1:4" x14ac:dyDescent="0.3">
      <c r="A126" t="s">
        <v>308</v>
      </c>
      <c r="B126" t="s">
        <v>309</v>
      </c>
      <c r="C126" s="2" cm="1">
        <f t="array" ref="C126">ROUND(_xlfn.LET(
  _xlpm.r, INDEX('Raw_from_worldbank_PA.NUS.FCRF'!$C$2:$BR$272,
           MATCH(B126,'Raw_from_worldbank_PA.NUS.FCRF'!$B$2:$B$272,0),0),
  LOOKUP(2,1/(_xlpm.r&lt;&gt;""),_xlpm.r)
),2)</f>
        <v>4525.42</v>
      </c>
      <c r="D126" cm="1">
        <f t="array" ref="D126">_xlfn.LET(
  _xlpm.r, INDEX('Raw_from_worldbank_PA.NUS.FCRF'!$C$2:$BR$272,
           MATCH(B126,'Raw_from_worldbank_PA.NUS.FCRF'!$B$2:$B$272,0),0),
  _xlpm.yrs, 'Raw_from_worldbank_PA.NUS.FCRF'!$C$1:$BR$1,
  LOOKUP(2,1/(_xlpm.r&lt;&gt;""),_xlpm.yrs)
)</f>
        <v>2024</v>
      </c>
    </row>
    <row r="127" spans="1:4" x14ac:dyDescent="0.3">
      <c r="A127" t="s">
        <v>310</v>
      </c>
      <c r="B127" t="s">
        <v>311</v>
      </c>
      <c r="C127" s="2" cm="1">
        <f t="array" ref="C127">ROUND(_xlfn.LET(
  _xlpm.r, INDEX('Raw_from_worldbank_PA.NUS.FCRF'!$C$2:$BR$272,
           MATCH(B127,'Raw_from_worldbank_PA.NUS.FCRF'!$B$2:$B$272,0),0),
  LOOKUP(2,1/(_xlpm.r&lt;&gt;""),_xlpm.r)
),2)</f>
        <v>15.39</v>
      </c>
      <c r="D127" cm="1">
        <f t="array" ref="D127">_xlfn.LET(
  _xlpm.r, INDEX('Raw_from_worldbank_PA.NUS.FCRF'!$C$2:$BR$272,
           MATCH(B127,'Raw_from_worldbank_PA.NUS.FCRF'!$B$2:$B$272,0),0),
  _xlpm.yrs, 'Raw_from_worldbank_PA.NUS.FCRF'!$C$1:$BR$1,
  LOOKUP(2,1/(_xlpm.r&lt;&gt;""),_xlpm.yrs)
)</f>
        <v>2024</v>
      </c>
    </row>
    <row r="128" spans="1:4" x14ac:dyDescent="0.3">
      <c r="A128" t="s">
        <v>314</v>
      </c>
      <c r="B128" t="s">
        <v>315</v>
      </c>
      <c r="C128" s="2" cm="1">
        <f t="array" ref="C128">ROUND(_xlfn.LET(
  _xlpm.r, INDEX('Raw_from_worldbank_PA.NUS.FCRF'!$C$2:$BR$272,
           MATCH(B128,'Raw_from_worldbank_PA.NUS.FCRF'!$B$2:$B$272,0),0),
  LOOKUP(2,1/(_xlpm.r&lt;&gt;""),_xlpm.r)
),2)</f>
        <v>18.3</v>
      </c>
      <c r="D128" cm="1">
        <f t="array" ref="D128">_xlfn.LET(
  _xlpm.r, INDEX('Raw_from_worldbank_PA.NUS.FCRF'!$C$2:$BR$272,
           MATCH(B128,'Raw_from_worldbank_PA.NUS.FCRF'!$B$2:$B$272,0),0),
  _xlpm.yrs, 'Raw_from_worldbank_PA.NUS.FCRF'!$C$1:$BR$1,
  LOOKUP(2,1/(_xlpm.r&lt;&gt;""),_xlpm.yrs)
)</f>
        <v>2024</v>
      </c>
    </row>
    <row r="129" spans="1:4" x14ac:dyDescent="0.3">
      <c r="A129" t="s">
        <v>316</v>
      </c>
      <c r="B129" t="s">
        <v>317</v>
      </c>
      <c r="C129" s="2" cm="1">
        <f t="array" ref="C129">ROUND(_xlfn.LET(
  _xlpm.r, INDEX('Raw_from_worldbank_PA.NUS.FCRF'!$C$2:$BR$272,
           MATCH(B129,'Raw_from_worldbank_PA.NUS.FCRF'!$B$2:$B$272,0),0),
  LOOKUP(2,1/(_xlpm.r&lt;&gt;""),_xlpm.r)
),2)</f>
        <v>1</v>
      </c>
      <c r="D129" cm="1">
        <f t="array" ref="D129">_xlfn.LET(
  _xlpm.r, INDEX('Raw_from_worldbank_PA.NUS.FCRF'!$C$2:$BR$272,
           MATCH(B129,'Raw_from_worldbank_PA.NUS.FCRF'!$B$2:$B$272,0),0),
  _xlpm.yrs, 'Raw_from_worldbank_PA.NUS.FCRF'!$C$1:$BR$1,
  LOOKUP(2,1/(_xlpm.r&lt;&gt;""),_xlpm.yrs)
)</f>
        <v>2024</v>
      </c>
    </row>
    <row r="130" spans="1:4" x14ac:dyDescent="0.3">
      <c r="A130" t="s">
        <v>320</v>
      </c>
      <c r="B130" t="s">
        <v>321</v>
      </c>
      <c r="C130" s="2" cm="1">
        <f t="array" ref="C130">ROUND(_xlfn.LET(
  _xlpm.r, INDEX('Raw_from_worldbank_PA.NUS.FCRF'!$C$2:$BR$272,
           MATCH(B130,'Raw_from_worldbank_PA.NUS.FCRF'!$B$2:$B$272,0),0),
  LOOKUP(2,1/(_xlpm.r&lt;&gt;""),_xlpm.r)
),2)</f>
        <v>56.87</v>
      </c>
      <c r="D130" cm="1">
        <f t="array" ref="D130">_xlfn.LET(
  _xlpm.r, INDEX('Raw_from_worldbank_PA.NUS.FCRF'!$C$2:$BR$272,
           MATCH(B130,'Raw_from_worldbank_PA.NUS.FCRF'!$B$2:$B$272,0),0),
  _xlpm.yrs, 'Raw_from_worldbank_PA.NUS.FCRF'!$C$1:$BR$1,
  LOOKUP(2,1/(_xlpm.r&lt;&gt;""),_xlpm.yrs)
)</f>
        <v>2024</v>
      </c>
    </row>
    <row r="131" spans="1:4" x14ac:dyDescent="0.3">
      <c r="A131" t="s">
        <v>322</v>
      </c>
      <c r="B131" t="s">
        <v>323</v>
      </c>
      <c r="C131" s="2" cm="1">
        <f t="array" ref="C131">ROUND(_xlfn.LET(
  _xlpm.r, INDEX('Raw_from_worldbank_PA.NUS.FCRF'!$C$2:$BR$272,
           MATCH(B131,'Raw_from_worldbank_PA.NUS.FCRF'!$B$2:$B$272,0),0),
  LOOKUP(2,1/(_xlpm.r&lt;&gt;""),_xlpm.r)
),2)</f>
        <v>606.35</v>
      </c>
      <c r="D131" cm="1">
        <f t="array" ref="D131">_xlfn.LET(
  _xlpm.r, INDEX('Raw_from_worldbank_PA.NUS.FCRF'!$C$2:$BR$272,
           MATCH(B131,'Raw_from_worldbank_PA.NUS.FCRF'!$B$2:$B$272,0),0),
  _xlpm.yrs, 'Raw_from_worldbank_PA.NUS.FCRF'!$C$1:$BR$1,
  LOOKUP(2,1/(_xlpm.r&lt;&gt;""),_xlpm.yrs)
)</f>
        <v>2024</v>
      </c>
    </row>
    <row r="132" spans="1:4" x14ac:dyDescent="0.3">
      <c r="A132" t="s">
        <v>324</v>
      </c>
      <c r="B132" t="s">
        <v>325</v>
      </c>
      <c r="C132" s="2" cm="1">
        <f t="array" ref="C132">ROUND(_xlfn.LET(
  _xlpm.r, INDEX('Raw_from_worldbank_PA.NUS.FCRF'!$C$2:$BR$272,
           MATCH(B132,'Raw_from_worldbank_PA.NUS.FCRF'!$B$2:$B$272,0),0),
  LOOKUP(2,1/(_xlpm.r&lt;&gt;""),_xlpm.r)
),2)</f>
        <v>0.92</v>
      </c>
      <c r="D132" cm="1">
        <f t="array" ref="D132">_xlfn.LET(
  _xlpm.r, INDEX('Raw_from_worldbank_PA.NUS.FCRF'!$C$2:$BR$272,
           MATCH(B132,'Raw_from_worldbank_PA.NUS.FCRF'!$B$2:$B$272,0),0),
  _xlpm.yrs, 'Raw_from_worldbank_PA.NUS.FCRF'!$C$1:$BR$1,
  LOOKUP(2,1/(_xlpm.r&lt;&gt;""),_xlpm.yrs)
)</f>
        <v>2024</v>
      </c>
    </row>
    <row r="133" spans="1:4" x14ac:dyDescent="0.3">
      <c r="A133" t="s">
        <v>326</v>
      </c>
      <c r="B133" t="s">
        <v>327</v>
      </c>
      <c r="C133" s="2" cm="1">
        <f t="array" ref="C133">ROUND(_xlfn.LET(
  _xlpm.r, INDEX('Raw_from_worldbank_PA.NUS.FCRF'!$C$2:$BR$272,
           MATCH(B133,'Raw_from_worldbank_PA.NUS.FCRF'!$B$2:$B$272,0),0),
  LOOKUP(2,1/(_xlpm.r&lt;&gt;""),_xlpm.r)
),2)</f>
        <v>1381.62</v>
      </c>
      <c r="D133" cm="1">
        <f t="array" ref="D133">_xlfn.LET(
  _xlpm.r, INDEX('Raw_from_worldbank_PA.NUS.FCRF'!$C$2:$BR$272,
           MATCH(B133,'Raw_from_worldbank_PA.NUS.FCRF'!$B$2:$B$272,0),0),
  _xlpm.yrs, 'Raw_from_worldbank_PA.NUS.FCRF'!$C$1:$BR$1,
  LOOKUP(2,1/(_xlpm.r&lt;&gt;""),_xlpm.yrs)
)</f>
        <v>2020</v>
      </c>
    </row>
    <row r="134" spans="1:4" x14ac:dyDescent="0.3">
      <c r="A134" t="s">
        <v>330</v>
      </c>
      <c r="B134" t="s">
        <v>331</v>
      </c>
      <c r="C134" s="2" cm="1">
        <f t="array" ref="C134">ROUND(_xlfn.LET(
  _xlpm.r, INDEX('Raw_from_worldbank_PA.NUS.FCRF'!$C$2:$BR$272,
           MATCH(B134,'Raw_from_worldbank_PA.NUS.FCRF'!$B$2:$B$272,0),0),
  LOOKUP(2,1/(_xlpm.r&lt;&gt;""),_xlpm.r)
),2)</f>
        <v>0.92</v>
      </c>
      <c r="D134" cm="1">
        <f t="array" ref="D134">_xlfn.LET(
  _xlpm.r, INDEX('Raw_from_worldbank_PA.NUS.FCRF'!$C$2:$BR$272,
           MATCH(B134,'Raw_from_worldbank_PA.NUS.FCRF'!$B$2:$B$272,0),0),
  _xlpm.yrs, 'Raw_from_worldbank_PA.NUS.FCRF'!$C$1:$BR$1,
  LOOKUP(2,1/(_xlpm.r&lt;&gt;""),_xlpm.yrs)
)</f>
        <v>2024</v>
      </c>
    </row>
    <row r="135" spans="1:4" x14ac:dyDescent="0.3">
      <c r="A135" t="s">
        <v>332</v>
      </c>
      <c r="B135" t="s">
        <v>333</v>
      </c>
      <c r="C135" s="2" cm="1">
        <f t="array" ref="C135">ROUND(_xlfn.LET(
  _xlpm.r, INDEX('Raw_from_worldbank_PA.NUS.FCRF'!$C$2:$BR$272,
           MATCH(B135,'Raw_from_worldbank_PA.NUS.FCRF'!$B$2:$B$272,0),0),
  LOOKUP(2,1/(_xlpm.r&lt;&gt;""),_xlpm.r)
),2)</f>
        <v>3389.98</v>
      </c>
      <c r="D135" cm="1">
        <f t="array" ref="D135">_xlfn.LET(
  _xlpm.r, INDEX('Raw_from_worldbank_PA.NUS.FCRF'!$C$2:$BR$272,
           MATCH(B135,'Raw_from_worldbank_PA.NUS.FCRF'!$B$2:$B$272,0),0),
  _xlpm.yrs, 'Raw_from_worldbank_PA.NUS.FCRF'!$C$1:$BR$1,
  LOOKUP(2,1/(_xlpm.r&lt;&gt;""),_xlpm.yrs)
)</f>
        <v>2024</v>
      </c>
    </row>
    <row r="136" spans="1:4" x14ac:dyDescent="0.3">
      <c r="A136" t="s">
        <v>334</v>
      </c>
      <c r="B136" t="s">
        <v>335</v>
      </c>
      <c r="C136" s="2" cm="1">
        <f t="array" ref="C136">ROUND(_xlfn.LET(
  _xlpm.r, INDEX('Raw_from_worldbank_PA.NUS.FCRF'!$C$2:$BR$272,
           MATCH(B136,'Raw_from_worldbank_PA.NUS.FCRF'!$B$2:$B$272,0),0),
  LOOKUP(2,1/(_xlpm.r&lt;&gt;""),_xlpm.r)
),2)</f>
        <v>1</v>
      </c>
      <c r="D136" cm="1">
        <f t="array" ref="D136">_xlfn.LET(
  _xlpm.r, INDEX('Raw_from_worldbank_PA.NUS.FCRF'!$C$2:$BR$272,
           MATCH(B136,'Raw_from_worldbank_PA.NUS.FCRF'!$B$2:$B$272,0),0),
  _xlpm.yrs, 'Raw_from_worldbank_PA.NUS.FCRF'!$C$1:$BR$1,
  LOOKUP(2,1/(_xlpm.r&lt;&gt;""),_xlpm.yrs)
)</f>
        <v>2024</v>
      </c>
    </row>
    <row r="137" spans="1:4" x14ac:dyDescent="0.3">
      <c r="A137" t="s">
        <v>336</v>
      </c>
      <c r="B137" t="s">
        <v>337</v>
      </c>
      <c r="C137" s="2" cm="1">
        <f t="array" ref="C137">ROUND(_xlfn.LET(
  _xlpm.r, INDEX('Raw_from_worldbank_PA.NUS.FCRF'!$C$2:$BR$272,
           MATCH(B137,'Raw_from_worldbank_PA.NUS.FCRF'!$B$2:$B$272,0),0),
  LOOKUP(2,1/(_xlpm.r&lt;&gt;""),_xlpm.r)
),2)</f>
        <v>63.91</v>
      </c>
      <c r="D137" cm="1">
        <f t="array" ref="D137">_xlfn.LET(
  _xlpm.r, INDEX('Raw_from_worldbank_PA.NUS.FCRF'!$C$2:$BR$272,
           MATCH(B137,'Raw_from_worldbank_PA.NUS.FCRF'!$B$2:$B$272,0),0),
  _xlpm.yrs, 'Raw_from_worldbank_PA.NUS.FCRF'!$C$1:$BR$1,
  LOOKUP(2,1/(_xlpm.r&lt;&gt;""),_xlpm.yrs)
)</f>
        <v>2024</v>
      </c>
    </row>
    <row r="138" spans="1:4" x14ac:dyDescent="0.3">
      <c r="A138" t="s">
        <v>338</v>
      </c>
      <c r="B138" t="s">
        <v>339</v>
      </c>
      <c r="C138" s="2" cm="1">
        <f t="array" ref="C138">ROUND(_xlfn.LET(
  _xlpm.r, INDEX('Raw_from_worldbank_PA.NUS.FCRF'!$C$2:$BR$272,
           MATCH(B138,'Raw_from_worldbank_PA.NUS.FCRF'!$B$2:$B$272,0),0),
  LOOKUP(2,1/(_xlpm.r&lt;&gt;""),_xlpm.r)
),2)</f>
        <v>36.49</v>
      </c>
      <c r="D138" cm="1">
        <f t="array" ref="D138">_xlfn.LET(
  _xlpm.r, INDEX('Raw_from_worldbank_PA.NUS.FCRF'!$C$2:$BR$272,
           MATCH(B138,'Raw_from_worldbank_PA.NUS.FCRF'!$B$2:$B$272,0),0),
  _xlpm.yrs, 'Raw_from_worldbank_PA.NUS.FCRF'!$C$1:$BR$1,
  LOOKUP(2,1/(_xlpm.r&lt;&gt;""),_xlpm.yrs)
)</f>
        <v>2023</v>
      </c>
    </row>
    <row r="139" spans="1:4" x14ac:dyDescent="0.3">
      <c r="A139" t="s">
        <v>340</v>
      </c>
      <c r="B139" t="s">
        <v>341</v>
      </c>
      <c r="C139" s="2" cm="1">
        <f t="array" ref="C139">ROUND(_xlfn.LET(
  _xlpm.r, INDEX('Raw_from_worldbank_PA.NUS.FCRF'!$C$2:$BR$272,
           MATCH(B139,'Raw_from_worldbank_PA.NUS.FCRF'!$B$2:$B$272,0),0),
  LOOKUP(2,1/(_xlpm.r&lt;&gt;""),_xlpm.r)
),2)</f>
        <v>46.41</v>
      </c>
      <c r="D139" cm="1">
        <f t="array" ref="D139">_xlfn.LET(
  _xlpm.r, INDEX('Raw_from_worldbank_PA.NUS.FCRF'!$C$2:$BR$272,
           MATCH(B139,'Raw_from_worldbank_PA.NUS.FCRF'!$B$2:$B$272,0),0),
  _xlpm.yrs, 'Raw_from_worldbank_PA.NUS.FCRF'!$C$1:$BR$1,
  LOOKUP(2,1/(_xlpm.r&lt;&gt;""),_xlpm.yrs)
)</f>
        <v>2024</v>
      </c>
    </row>
    <row r="140" spans="1:4" x14ac:dyDescent="0.3">
      <c r="A140" t="s">
        <v>342</v>
      </c>
      <c r="B140" t="s">
        <v>343</v>
      </c>
      <c r="C140" s="2" cm="1">
        <f t="array" ref="C140">ROUND(_xlfn.LET(
  _xlpm.r, INDEX('Raw_from_worldbank_PA.NUS.FCRF'!$C$2:$BR$272,
           MATCH(B140,'Raw_from_worldbank_PA.NUS.FCRF'!$B$2:$B$272,0),0),
  LOOKUP(2,1/(_xlpm.r&lt;&gt;""),_xlpm.r)
),2)</f>
        <v>1161.0899999999999</v>
      </c>
      <c r="D140" cm="1">
        <f t="array" ref="D140">_xlfn.LET(
  _xlpm.r, INDEX('Raw_from_worldbank_PA.NUS.FCRF'!$C$2:$BR$272,
           MATCH(B140,'Raw_from_worldbank_PA.NUS.FCRF'!$B$2:$B$272,0),0),
  _xlpm.yrs, 'Raw_from_worldbank_PA.NUS.FCRF'!$C$1:$BR$1,
  LOOKUP(2,1/(_xlpm.r&lt;&gt;""),_xlpm.yrs)
)</f>
        <v>2023</v>
      </c>
    </row>
    <row r="141" spans="1:4" x14ac:dyDescent="0.3">
      <c r="A141" t="s">
        <v>344</v>
      </c>
      <c r="B141" t="s">
        <v>345</v>
      </c>
      <c r="C141" s="2" cm="1">
        <f t="array" ref="C141">ROUND(_xlfn.LET(
  _xlpm.r, INDEX('Raw_from_worldbank_PA.NUS.FCRF'!$C$2:$BR$272,
           MATCH(B141,'Raw_from_worldbank_PA.NUS.FCRF'!$B$2:$B$272,0),0),
  LOOKUP(2,1/(_xlpm.r&lt;&gt;""),_xlpm.r)
),2)</f>
        <v>4.58</v>
      </c>
      <c r="D141" cm="1">
        <f t="array" ref="D141">_xlfn.LET(
  _xlpm.r, INDEX('Raw_from_worldbank_PA.NUS.FCRF'!$C$2:$BR$272,
           MATCH(B141,'Raw_from_worldbank_PA.NUS.FCRF'!$B$2:$B$272,0),0),
  _xlpm.yrs, 'Raw_from_worldbank_PA.NUS.FCRF'!$C$1:$BR$1,
  LOOKUP(2,1/(_xlpm.r&lt;&gt;""),_xlpm.yrs)
)</f>
        <v>2024</v>
      </c>
    </row>
    <row r="142" spans="1:4" x14ac:dyDescent="0.3">
      <c r="A142" t="s">
        <v>348</v>
      </c>
      <c r="B142" t="s">
        <v>349</v>
      </c>
      <c r="C142" s="2" cm="1">
        <f t="array" ref="C142">ROUND(_xlfn.LET(
  _xlpm.r, INDEX('Raw_from_worldbank_PA.NUS.FCRF'!$C$2:$BR$272,
           MATCH(B142,'Raw_from_worldbank_PA.NUS.FCRF'!$B$2:$B$272,0),0),
  LOOKUP(2,1/(_xlpm.r&lt;&gt;""),_xlpm.r)
),2)</f>
        <v>18.329999999999998</v>
      </c>
      <c r="D142" cm="1">
        <f t="array" ref="D142">_xlfn.LET(
  _xlpm.r, INDEX('Raw_from_worldbank_PA.NUS.FCRF'!$C$2:$BR$272,
           MATCH(B142,'Raw_from_worldbank_PA.NUS.FCRF'!$B$2:$B$272,0),0),
  _xlpm.yrs, 'Raw_from_worldbank_PA.NUS.FCRF'!$C$1:$BR$1,
  LOOKUP(2,1/(_xlpm.r&lt;&gt;""),_xlpm.yrs)
)</f>
        <v>2024</v>
      </c>
    </row>
    <row r="143" spans="1:4" x14ac:dyDescent="0.3">
      <c r="A143" t="s">
        <v>350</v>
      </c>
      <c r="B143" t="s">
        <v>351</v>
      </c>
      <c r="C143" s="2" cm="1">
        <f t="array" ref="C143">ROUND(_xlfn.LET(
  _xlpm.r, INDEX('Raw_from_worldbank_PA.NUS.FCRF'!$C$2:$BR$272,
           MATCH(B143,'Raw_from_worldbank_PA.NUS.FCRF'!$B$2:$B$272,0),0),
  LOOKUP(2,1/(_xlpm.r&lt;&gt;""),_xlpm.r)
),2)</f>
        <v>110.31</v>
      </c>
      <c r="D143" cm="1">
        <f t="array" ref="D143">_xlfn.LET(
  _xlpm.r, INDEX('Raw_from_worldbank_PA.NUS.FCRF'!$C$2:$BR$272,
           MATCH(B143,'Raw_from_worldbank_PA.NUS.FCRF'!$B$2:$B$272,0),0),
  _xlpm.yrs, 'Raw_from_worldbank_PA.NUS.FCRF'!$C$1:$BR$1,
  LOOKUP(2,1/(_xlpm.r&lt;&gt;""),_xlpm.yrs)
)</f>
        <v>2024</v>
      </c>
    </row>
    <row r="144" spans="1:4" x14ac:dyDescent="0.3">
      <c r="A144" t="s">
        <v>352</v>
      </c>
      <c r="B144" t="s">
        <v>353</v>
      </c>
      <c r="C144" s="2" cm="1">
        <f t="array" ref="C144">ROUND(_xlfn.LET(
  _xlpm.r, INDEX('Raw_from_worldbank_PA.NUS.FCRF'!$C$2:$BR$272,
           MATCH(B144,'Raw_from_worldbank_PA.NUS.FCRF'!$B$2:$B$272,0),0),
  LOOKUP(2,1/(_xlpm.r&lt;&gt;""),_xlpm.r)
),2)</f>
        <v>606.35</v>
      </c>
      <c r="D144" cm="1">
        <f t="array" ref="D144">_xlfn.LET(
  _xlpm.r, INDEX('Raw_from_worldbank_PA.NUS.FCRF'!$C$2:$BR$272,
           MATCH(B144,'Raw_from_worldbank_PA.NUS.FCRF'!$B$2:$B$272,0),0),
  _xlpm.yrs, 'Raw_from_worldbank_PA.NUS.FCRF'!$C$1:$BR$1,
  LOOKUP(2,1/(_xlpm.r&lt;&gt;""),_xlpm.yrs)
)</f>
        <v>2024</v>
      </c>
    </row>
    <row r="145" spans="1:4" x14ac:dyDescent="0.3">
      <c r="A145" t="s">
        <v>354</v>
      </c>
      <c r="B145" t="s">
        <v>355</v>
      </c>
      <c r="C145" s="2" cm="1">
        <f t="array" ref="C145">ROUND(_xlfn.LET(
  _xlpm.r, INDEX('Raw_from_worldbank_PA.NUS.FCRF'!$C$2:$BR$272,
           MATCH(B145,'Raw_from_worldbank_PA.NUS.FCRF'!$B$2:$B$272,0),0),
  LOOKUP(2,1/(_xlpm.r&lt;&gt;""),_xlpm.r)
),2)</f>
        <v>1478.97</v>
      </c>
      <c r="D145" cm="1">
        <f t="array" ref="D145">_xlfn.LET(
  _xlpm.r, INDEX('Raw_from_worldbank_PA.NUS.FCRF'!$C$2:$BR$272,
           MATCH(B145,'Raw_from_worldbank_PA.NUS.FCRF'!$B$2:$B$272,0),0),
  _xlpm.yrs, 'Raw_from_worldbank_PA.NUS.FCRF'!$C$1:$BR$1,
  LOOKUP(2,1/(_xlpm.r&lt;&gt;""),_xlpm.yrs)
)</f>
        <v>2024</v>
      </c>
    </row>
    <row r="146" spans="1:4" x14ac:dyDescent="0.3">
      <c r="A146" t="s">
        <v>356</v>
      </c>
      <c r="B146" t="s">
        <v>357</v>
      </c>
      <c r="C146" s="2" cm="1">
        <f t="array" ref="C146">ROUND(_xlfn.LET(
  _xlpm.r, INDEX('Raw_from_worldbank_PA.NUS.FCRF'!$C$2:$BR$272,
           MATCH(B146,'Raw_from_worldbank_PA.NUS.FCRF'!$B$2:$B$272,0),0),
  LOOKUP(2,1/(_xlpm.r&lt;&gt;""),_xlpm.r)
),2)</f>
        <v>36.619999999999997</v>
      </c>
      <c r="D146" cm="1">
        <f t="array" ref="D146">_xlfn.LET(
  _xlpm.r, INDEX('Raw_from_worldbank_PA.NUS.FCRF'!$C$2:$BR$272,
           MATCH(B146,'Raw_from_worldbank_PA.NUS.FCRF'!$B$2:$B$272,0),0),
  _xlpm.yrs, 'Raw_from_worldbank_PA.NUS.FCRF'!$C$1:$BR$1,
  LOOKUP(2,1/(_xlpm.r&lt;&gt;""),_xlpm.yrs)
)</f>
        <v>2024</v>
      </c>
    </row>
    <row r="147" spans="1:4" x14ac:dyDescent="0.3">
      <c r="A147" t="s">
        <v>358</v>
      </c>
      <c r="B147" t="s">
        <v>359</v>
      </c>
      <c r="C147" s="2" cm="1">
        <f t="array" ref="C147">ROUND(_xlfn.LET(
  _xlpm.r, INDEX('Raw_from_worldbank_PA.NUS.FCRF'!$C$2:$BR$272,
           MATCH(B147,'Raw_from_worldbank_PA.NUS.FCRF'!$B$2:$B$272,0),0),
  LOOKUP(2,1/(_xlpm.r&lt;&gt;""),_xlpm.r)
),2)</f>
        <v>0.92</v>
      </c>
      <c r="D147" cm="1">
        <f t="array" ref="D147">_xlfn.LET(
  _xlpm.r, INDEX('Raw_from_worldbank_PA.NUS.FCRF'!$C$2:$BR$272,
           MATCH(B147,'Raw_from_worldbank_PA.NUS.FCRF'!$B$2:$B$272,0),0),
  _xlpm.yrs, 'Raw_from_worldbank_PA.NUS.FCRF'!$C$1:$BR$1,
  LOOKUP(2,1/(_xlpm.r&lt;&gt;""),_xlpm.yrs)
)</f>
        <v>2024</v>
      </c>
    </row>
    <row r="148" spans="1:4" x14ac:dyDescent="0.3">
      <c r="A148" t="s">
        <v>360</v>
      </c>
      <c r="B148" t="s">
        <v>361</v>
      </c>
      <c r="C148" s="2" cm="1">
        <f t="array" ref="C148">ROUND(_xlfn.LET(
  _xlpm.r, INDEX('Raw_from_worldbank_PA.NUS.FCRF'!$C$2:$BR$272,
           MATCH(B148,'Raw_from_worldbank_PA.NUS.FCRF'!$B$2:$B$272,0),0),
  LOOKUP(2,1/(_xlpm.r&lt;&gt;""),_xlpm.r)
),2)</f>
        <v>10.75</v>
      </c>
      <c r="D148" cm="1">
        <f t="array" ref="D148">_xlfn.LET(
  _xlpm.r, INDEX('Raw_from_worldbank_PA.NUS.FCRF'!$C$2:$BR$272,
           MATCH(B148,'Raw_from_worldbank_PA.NUS.FCRF'!$B$2:$B$272,0),0),
  _xlpm.yrs, 'Raw_from_worldbank_PA.NUS.FCRF'!$C$1:$BR$1,
  LOOKUP(2,1/(_xlpm.r&lt;&gt;""),_xlpm.yrs)
)</f>
        <v>2024</v>
      </c>
    </row>
    <row r="149" spans="1:4" x14ac:dyDescent="0.3">
      <c r="A149" t="s">
        <v>362</v>
      </c>
      <c r="B149" t="s">
        <v>363</v>
      </c>
      <c r="C149" s="2" cm="1">
        <f t="array" ref="C149">ROUND(_xlfn.LET(
  _xlpm.r, INDEX('Raw_from_worldbank_PA.NUS.FCRF'!$C$2:$BR$272,
           MATCH(B149,'Raw_from_worldbank_PA.NUS.FCRF'!$B$2:$B$272,0),0),
  LOOKUP(2,1/(_xlpm.r&lt;&gt;""),_xlpm.r)
),2)</f>
        <v>133.72999999999999</v>
      </c>
      <c r="D149" cm="1">
        <f t="array" ref="D149">_xlfn.LET(
  _xlpm.r, INDEX('Raw_from_worldbank_PA.NUS.FCRF'!$C$2:$BR$272,
           MATCH(B149,'Raw_from_worldbank_PA.NUS.FCRF'!$B$2:$B$272,0),0),
  _xlpm.yrs, 'Raw_from_worldbank_PA.NUS.FCRF'!$C$1:$BR$1,
  LOOKUP(2,1/(_xlpm.r&lt;&gt;""),_xlpm.yrs)
)</f>
        <v>2024</v>
      </c>
    </row>
    <row r="150" spans="1:4" x14ac:dyDescent="0.3">
      <c r="A150" t="s">
        <v>364</v>
      </c>
      <c r="B150" t="s">
        <v>365</v>
      </c>
      <c r="C150" s="2" cm="1">
        <f t="array" ref="C150">ROUND(_xlfn.LET(
  _xlpm.r, INDEX('Raw_from_worldbank_PA.NUS.FCRF'!$C$2:$BR$272,
           MATCH(B150,'Raw_from_worldbank_PA.NUS.FCRF'!$B$2:$B$272,0),0),
  LOOKUP(2,1/(_xlpm.r&lt;&gt;""),_xlpm.r)
),2)</f>
        <v>1.52</v>
      </c>
      <c r="D150" cm="1">
        <f t="array" ref="D150">_xlfn.LET(
  _xlpm.r, INDEX('Raw_from_worldbank_PA.NUS.FCRF'!$C$2:$BR$272,
           MATCH(B150,'Raw_from_worldbank_PA.NUS.FCRF'!$B$2:$B$272,0),0),
  _xlpm.yrs, 'Raw_from_worldbank_PA.NUS.FCRF'!$C$1:$BR$1,
  LOOKUP(2,1/(_xlpm.r&lt;&gt;""),_xlpm.yrs)
)</f>
        <v>2024</v>
      </c>
    </row>
    <row r="151" spans="1:4" x14ac:dyDescent="0.3">
      <c r="A151" t="s">
        <v>366</v>
      </c>
      <c r="B151" t="s">
        <v>367</v>
      </c>
      <c r="C151" s="2" cm="1">
        <f t="array" ref="C151">ROUND(_xlfn.LET(
  _xlpm.r, INDEX('Raw_from_worldbank_PA.NUS.FCRF'!$C$2:$BR$272,
           MATCH(B151,'Raw_from_worldbank_PA.NUS.FCRF'!$B$2:$B$272,0),0),
  LOOKUP(2,1/(_xlpm.r&lt;&gt;""),_xlpm.r)
),2)</f>
        <v>1.65</v>
      </c>
      <c r="D151" cm="1">
        <f t="array" ref="D151">_xlfn.LET(
  _xlpm.r, INDEX('Raw_from_worldbank_PA.NUS.FCRF'!$C$2:$BR$272,
           MATCH(B151,'Raw_from_worldbank_PA.NUS.FCRF'!$B$2:$B$272,0),0),
  _xlpm.yrs, 'Raw_from_worldbank_PA.NUS.FCRF'!$C$1:$BR$1,
  LOOKUP(2,1/(_xlpm.r&lt;&gt;""),_xlpm.yrs)
)</f>
        <v>2024</v>
      </c>
    </row>
    <row r="152" spans="1:4" x14ac:dyDescent="0.3">
      <c r="A152" t="s">
        <v>370</v>
      </c>
      <c r="B152" t="s">
        <v>371</v>
      </c>
      <c r="C152" s="2" cm="1">
        <f t="array" ref="C152">ROUND(_xlfn.LET(
  _xlpm.r, INDEX('Raw_from_worldbank_PA.NUS.FCRF'!$C$2:$BR$272,
           MATCH(B152,'Raw_from_worldbank_PA.NUS.FCRF'!$B$2:$B$272,0),0),
  LOOKUP(2,1/(_xlpm.r&lt;&gt;""),_xlpm.r)
),2)</f>
        <v>0.38</v>
      </c>
      <c r="D152" cm="1">
        <f t="array" ref="D152">_xlfn.LET(
  _xlpm.r, INDEX('Raw_from_worldbank_PA.NUS.FCRF'!$C$2:$BR$272,
           MATCH(B152,'Raw_from_worldbank_PA.NUS.FCRF'!$B$2:$B$272,0),0),
  _xlpm.yrs, 'Raw_from_worldbank_PA.NUS.FCRF'!$C$1:$BR$1,
  LOOKUP(2,1/(_xlpm.r&lt;&gt;""),_xlpm.yrs)
)</f>
        <v>2024</v>
      </c>
    </row>
    <row r="153" spans="1:4" x14ac:dyDescent="0.3">
      <c r="A153" t="s">
        <v>374</v>
      </c>
      <c r="B153" t="s">
        <v>375</v>
      </c>
      <c r="C153" s="2" cm="1">
        <f t="array" ref="C153">ROUND(_xlfn.LET(
  _xlpm.r, INDEX('Raw_from_worldbank_PA.NUS.FCRF'!$C$2:$BR$272,
           MATCH(B153,'Raw_from_worldbank_PA.NUS.FCRF'!$B$2:$B$272,0),0),
  LOOKUP(2,1/(_xlpm.r&lt;&gt;""),_xlpm.r)
),2)</f>
        <v>278.58</v>
      </c>
      <c r="D153" cm="1">
        <f t="array" ref="D153">_xlfn.LET(
  _xlpm.r, INDEX('Raw_from_worldbank_PA.NUS.FCRF'!$C$2:$BR$272,
           MATCH(B153,'Raw_from_worldbank_PA.NUS.FCRF'!$B$2:$B$272,0),0),
  _xlpm.yrs, 'Raw_from_worldbank_PA.NUS.FCRF'!$C$1:$BR$1,
  LOOKUP(2,1/(_xlpm.r&lt;&gt;""),_xlpm.yrs)
)</f>
        <v>2024</v>
      </c>
    </row>
    <row r="154" spans="1:4" x14ac:dyDescent="0.3">
      <c r="A154" t="s">
        <v>376</v>
      </c>
      <c r="B154" t="s">
        <v>377</v>
      </c>
      <c r="C154" s="2" cm="1">
        <f t="array" ref="C154">ROUND(_xlfn.LET(
  _xlpm.r, INDEX('Raw_from_worldbank_PA.NUS.FCRF'!$C$2:$BR$272,
           MATCH(B154,'Raw_from_worldbank_PA.NUS.FCRF'!$B$2:$B$272,0),0),
  LOOKUP(2,1/(_xlpm.r&lt;&gt;""),_xlpm.r)
),2)</f>
        <v>1</v>
      </c>
      <c r="D154" cm="1">
        <f t="array" ref="D154">_xlfn.LET(
  _xlpm.r, INDEX('Raw_from_worldbank_PA.NUS.FCRF'!$C$2:$BR$272,
           MATCH(B154,'Raw_from_worldbank_PA.NUS.FCRF'!$B$2:$B$272,0),0),
  _xlpm.yrs, 'Raw_from_worldbank_PA.NUS.FCRF'!$C$1:$BR$1,
  LOOKUP(2,1/(_xlpm.r&lt;&gt;""),_xlpm.yrs)
)</f>
        <v>2024</v>
      </c>
    </row>
    <row r="155" spans="1:4" x14ac:dyDescent="0.3">
      <c r="A155" t="s">
        <v>378</v>
      </c>
      <c r="B155" t="s">
        <v>379</v>
      </c>
      <c r="C155" s="2" cm="1">
        <f t="array" ref="C155">ROUND(_xlfn.LET(
  _xlpm.r, INDEX('Raw_from_worldbank_PA.NUS.FCRF'!$C$2:$BR$272,
           MATCH(B155,'Raw_from_worldbank_PA.NUS.FCRF'!$B$2:$B$272,0),0),
  LOOKUP(2,1/(_xlpm.r&lt;&gt;""),_xlpm.r)
),2)</f>
        <v>3.75</v>
      </c>
      <c r="D155" cm="1">
        <f t="array" ref="D155">_xlfn.LET(
  _xlpm.r, INDEX('Raw_from_worldbank_PA.NUS.FCRF'!$C$2:$BR$272,
           MATCH(B155,'Raw_from_worldbank_PA.NUS.FCRF'!$B$2:$B$272,0),0),
  _xlpm.yrs, 'Raw_from_worldbank_PA.NUS.FCRF'!$C$1:$BR$1,
  LOOKUP(2,1/(_xlpm.r&lt;&gt;""),_xlpm.yrs)
)</f>
        <v>2024</v>
      </c>
    </row>
    <row r="156" spans="1:4" x14ac:dyDescent="0.3">
      <c r="A156" t="s">
        <v>380</v>
      </c>
      <c r="B156" t="s">
        <v>381</v>
      </c>
      <c r="C156" s="2" cm="1">
        <f t="array" ref="C156">ROUND(_xlfn.LET(
  _xlpm.r, INDEX('Raw_from_worldbank_PA.NUS.FCRF'!$C$2:$BR$272,
           MATCH(B156,'Raw_from_worldbank_PA.NUS.FCRF'!$B$2:$B$272,0),0),
  LOOKUP(2,1/(_xlpm.r&lt;&gt;""),_xlpm.r)
),2)</f>
        <v>57.29</v>
      </c>
      <c r="D156" cm="1">
        <f t="array" ref="D156">_xlfn.LET(
  _xlpm.r, INDEX('Raw_from_worldbank_PA.NUS.FCRF'!$C$2:$BR$272,
           MATCH(B156,'Raw_from_worldbank_PA.NUS.FCRF'!$B$2:$B$272,0),0),
  _xlpm.yrs, 'Raw_from_worldbank_PA.NUS.FCRF'!$C$1:$BR$1,
  LOOKUP(2,1/(_xlpm.r&lt;&gt;""),_xlpm.yrs)
)</f>
        <v>2024</v>
      </c>
    </row>
    <row r="157" spans="1:4" x14ac:dyDescent="0.3">
      <c r="A157" t="s">
        <v>382</v>
      </c>
      <c r="B157" t="s">
        <v>383</v>
      </c>
      <c r="C157" s="2" cm="1">
        <f t="array" ref="C157">ROUND(_xlfn.LET(
  _xlpm.r, INDEX('Raw_from_worldbank_PA.NUS.FCRF'!$C$2:$BR$272,
           MATCH(B157,'Raw_from_worldbank_PA.NUS.FCRF'!$B$2:$B$272,0),0),
  LOOKUP(2,1/(_xlpm.r&lt;&gt;""),_xlpm.r)
),2)</f>
        <v>1</v>
      </c>
      <c r="D157" cm="1">
        <f t="array" ref="D157">_xlfn.LET(
  _xlpm.r, INDEX('Raw_from_worldbank_PA.NUS.FCRF'!$C$2:$BR$272,
           MATCH(B157,'Raw_from_worldbank_PA.NUS.FCRF'!$B$2:$B$272,0),0),
  _xlpm.yrs, 'Raw_from_worldbank_PA.NUS.FCRF'!$C$1:$BR$1,
  LOOKUP(2,1/(_xlpm.r&lt;&gt;""),_xlpm.yrs)
)</f>
        <v>2024</v>
      </c>
    </row>
    <row r="158" spans="1:4" x14ac:dyDescent="0.3">
      <c r="A158" t="s">
        <v>384</v>
      </c>
      <c r="B158" t="s">
        <v>385</v>
      </c>
      <c r="C158" s="2" cm="1">
        <f t="array" ref="C158">ROUND(_xlfn.LET(
  _xlpm.r, INDEX('Raw_from_worldbank_PA.NUS.FCRF'!$C$2:$BR$272,
           MATCH(B158,'Raw_from_worldbank_PA.NUS.FCRF'!$B$2:$B$272,0),0),
  LOOKUP(2,1/(_xlpm.r&lt;&gt;""),_xlpm.r)
),2)</f>
        <v>3.85</v>
      </c>
      <c r="D158" cm="1">
        <f t="array" ref="D158">_xlfn.LET(
  _xlpm.r, INDEX('Raw_from_worldbank_PA.NUS.FCRF'!$C$2:$BR$272,
           MATCH(B158,'Raw_from_worldbank_PA.NUS.FCRF'!$B$2:$B$272,0),0),
  _xlpm.yrs, 'Raw_from_worldbank_PA.NUS.FCRF'!$C$1:$BR$1,
  LOOKUP(2,1/(_xlpm.r&lt;&gt;""),_xlpm.yrs)
)</f>
        <v>2024</v>
      </c>
    </row>
    <row r="159" spans="1:4" x14ac:dyDescent="0.3">
      <c r="A159" t="s">
        <v>386</v>
      </c>
      <c r="B159" t="s">
        <v>387</v>
      </c>
      <c r="C159" s="2" cm="1">
        <f t="array" ref="C159">ROUND(_xlfn.LET(
  _xlpm.r, INDEX('Raw_from_worldbank_PA.NUS.FCRF'!$C$2:$BR$272,
           MATCH(B159,'Raw_from_worldbank_PA.NUS.FCRF'!$B$2:$B$272,0),0),
  LOOKUP(2,1/(_xlpm.r&lt;&gt;""),_xlpm.r)
),2)</f>
        <v>3.98</v>
      </c>
      <c r="D159" cm="1">
        <f t="array" ref="D159">_xlfn.LET(
  _xlpm.r, INDEX('Raw_from_worldbank_PA.NUS.FCRF'!$C$2:$BR$272,
           MATCH(B159,'Raw_from_worldbank_PA.NUS.FCRF'!$B$2:$B$272,0),0),
  _xlpm.yrs, 'Raw_from_worldbank_PA.NUS.FCRF'!$C$1:$BR$1,
  LOOKUP(2,1/(_xlpm.r&lt;&gt;""),_xlpm.yrs)
)</f>
        <v>2024</v>
      </c>
    </row>
    <row r="160" spans="1:4" x14ac:dyDescent="0.3">
      <c r="A160" t="s">
        <v>390</v>
      </c>
      <c r="B160" t="s">
        <v>391</v>
      </c>
      <c r="C160" s="2" cm="1">
        <f t="array" ref="C160">ROUND(_xlfn.LET(
  _xlpm.r, INDEX('Raw_from_worldbank_PA.NUS.FCRF'!$C$2:$BR$272,
           MATCH(B160,'Raw_from_worldbank_PA.NUS.FCRF'!$B$2:$B$272,0),0),
  LOOKUP(2,1/(_xlpm.r&lt;&gt;""),_xlpm.r)
),2)</f>
        <v>1</v>
      </c>
      <c r="D160" cm="1">
        <f t="array" ref="D160">_xlfn.LET(
  _xlpm.r, INDEX('Raw_from_worldbank_PA.NUS.FCRF'!$C$2:$BR$272,
           MATCH(B160,'Raw_from_worldbank_PA.NUS.FCRF'!$B$2:$B$272,0),0),
  _xlpm.yrs, 'Raw_from_worldbank_PA.NUS.FCRF'!$C$1:$BR$1,
  LOOKUP(2,1/(_xlpm.r&lt;&gt;""),_xlpm.yrs)
)</f>
        <v>2024</v>
      </c>
    </row>
    <row r="161" spans="1:4" x14ac:dyDescent="0.3">
      <c r="A161" t="s">
        <v>394</v>
      </c>
      <c r="B161" t="s">
        <v>395</v>
      </c>
      <c r="C161" s="2" cm="1">
        <f t="array" ref="C161">ROUND(_xlfn.LET(
  _xlpm.r, INDEX('Raw_from_worldbank_PA.NUS.FCRF'!$C$2:$BR$272,
           MATCH(B161,'Raw_from_worldbank_PA.NUS.FCRF'!$B$2:$B$272,0),0),
  LOOKUP(2,1/(_xlpm.r&lt;&gt;""),_xlpm.r)
),2)</f>
        <v>0.92</v>
      </c>
      <c r="D161" cm="1">
        <f t="array" ref="D161">_xlfn.LET(
  _xlpm.r, INDEX('Raw_from_worldbank_PA.NUS.FCRF'!$C$2:$BR$272,
           MATCH(B161,'Raw_from_worldbank_PA.NUS.FCRF'!$B$2:$B$272,0),0),
  _xlpm.yrs, 'Raw_from_worldbank_PA.NUS.FCRF'!$C$1:$BR$1,
  LOOKUP(2,1/(_xlpm.r&lt;&gt;""),_xlpm.yrs)
)</f>
        <v>2024</v>
      </c>
    </row>
    <row r="162" spans="1:4" x14ac:dyDescent="0.3">
      <c r="A162" t="s">
        <v>396</v>
      </c>
      <c r="B162" t="s">
        <v>397</v>
      </c>
      <c r="C162" s="2" cm="1">
        <f t="array" ref="C162">ROUND(_xlfn.LET(
  _xlpm.r, INDEX('Raw_from_worldbank_PA.NUS.FCRF'!$C$2:$BR$272,
           MATCH(B162,'Raw_from_worldbank_PA.NUS.FCRF'!$B$2:$B$272,0),0),
  LOOKUP(2,1/(_xlpm.r&lt;&gt;""),_xlpm.r)
),2)</f>
        <v>7560.25</v>
      </c>
      <c r="D162" cm="1">
        <f t="array" ref="D162">_xlfn.LET(
  _xlpm.r, INDEX('Raw_from_worldbank_PA.NUS.FCRF'!$C$2:$BR$272,
           MATCH(B162,'Raw_from_worldbank_PA.NUS.FCRF'!$B$2:$B$272,0),0),
  _xlpm.yrs, 'Raw_from_worldbank_PA.NUS.FCRF'!$C$1:$BR$1,
  LOOKUP(2,1/(_xlpm.r&lt;&gt;""),_xlpm.yrs)
)</f>
        <v>2024</v>
      </c>
    </row>
    <row r="163" spans="1:4" x14ac:dyDescent="0.3">
      <c r="A163" t="s">
        <v>404</v>
      </c>
      <c r="B163" t="s">
        <v>405</v>
      </c>
      <c r="C163" s="2" cm="1">
        <f t="array" ref="C163">ROUND(_xlfn.LET(
  _xlpm.r, INDEX('Raw_from_worldbank_PA.NUS.FCRF'!$C$2:$BR$272,
           MATCH(B163,'Raw_from_worldbank_PA.NUS.FCRF'!$B$2:$B$272,0),0),
  LOOKUP(2,1/(_xlpm.r&lt;&gt;""),_xlpm.r)
),2)</f>
        <v>110.31</v>
      </c>
      <c r="D163" cm="1">
        <f t="array" ref="D163">_xlfn.LET(
  _xlpm.r, INDEX('Raw_from_worldbank_PA.NUS.FCRF'!$C$2:$BR$272,
           MATCH(B163,'Raw_from_worldbank_PA.NUS.FCRF'!$B$2:$B$272,0),0),
  _xlpm.yrs, 'Raw_from_worldbank_PA.NUS.FCRF'!$C$1:$BR$1,
  LOOKUP(2,1/(_xlpm.r&lt;&gt;""),_xlpm.yrs)
)</f>
        <v>2024</v>
      </c>
    </row>
    <row r="164" spans="1:4" x14ac:dyDescent="0.3">
      <c r="A164" t="s">
        <v>406</v>
      </c>
      <c r="B164" t="s">
        <v>407</v>
      </c>
      <c r="C164" s="2" cm="1">
        <f t="array" ref="C164">ROUND(_xlfn.LET(
  _xlpm.r, INDEX('Raw_from_worldbank_PA.NUS.FCRF'!$C$2:$BR$272,
           MATCH(B164,'Raw_from_worldbank_PA.NUS.FCRF'!$B$2:$B$272,0),0),
  LOOKUP(2,1/(_xlpm.r&lt;&gt;""),_xlpm.r)
),2)</f>
        <v>3.64</v>
      </c>
      <c r="D164" cm="1">
        <f t="array" ref="D164">_xlfn.LET(
  _xlpm.r, INDEX('Raw_from_worldbank_PA.NUS.FCRF'!$C$2:$BR$272,
           MATCH(B164,'Raw_from_worldbank_PA.NUS.FCRF'!$B$2:$B$272,0),0),
  _xlpm.yrs, 'Raw_from_worldbank_PA.NUS.FCRF'!$C$1:$BR$1,
  LOOKUP(2,1/(_xlpm.r&lt;&gt;""),_xlpm.yrs)
)</f>
        <v>2024</v>
      </c>
    </row>
    <row r="165" spans="1:4" x14ac:dyDescent="0.3">
      <c r="A165" t="s">
        <v>408</v>
      </c>
      <c r="B165" t="s">
        <v>409</v>
      </c>
      <c r="C165" s="2" cm="1">
        <f t="array" ref="C165">ROUND(_xlfn.LET(
  _xlpm.r, INDEX('Raw_from_worldbank_PA.NUS.FCRF'!$C$2:$BR$272,
           MATCH(B165,'Raw_from_worldbank_PA.NUS.FCRF'!$B$2:$B$272,0),0),
  LOOKUP(2,1/(_xlpm.r&lt;&gt;""),_xlpm.r)
),2)</f>
        <v>4.5999999999999996</v>
      </c>
      <c r="D165" cm="1">
        <f t="array" ref="D165">_xlfn.LET(
  _xlpm.r, INDEX('Raw_from_worldbank_PA.NUS.FCRF'!$C$2:$BR$272,
           MATCH(B165,'Raw_from_worldbank_PA.NUS.FCRF'!$B$2:$B$272,0),0),
  _xlpm.yrs, 'Raw_from_worldbank_PA.NUS.FCRF'!$C$1:$BR$1,
  LOOKUP(2,1/(_xlpm.r&lt;&gt;""),_xlpm.yrs)
)</f>
        <v>2024</v>
      </c>
    </row>
    <row r="166" spans="1:4" x14ac:dyDescent="0.3">
      <c r="A166" t="s">
        <v>410</v>
      </c>
      <c r="B166" t="s">
        <v>411</v>
      </c>
      <c r="C166" s="2" cm="1">
        <f t="array" ref="C166">ROUND(_xlfn.LET(
  _xlpm.r, INDEX('Raw_from_worldbank_PA.NUS.FCRF'!$C$2:$BR$272,
           MATCH(B166,'Raw_from_worldbank_PA.NUS.FCRF'!$B$2:$B$272,0),0),
  LOOKUP(2,1/(_xlpm.r&lt;&gt;""),_xlpm.r)
),2)</f>
        <v>92.55</v>
      </c>
      <c r="D166" cm="1">
        <f t="array" ref="D166">_xlfn.LET(
  _xlpm.r, INDEX('Raw_from_worldbank_PA.NUS.FCRF'!$C$2:$BR$272,
           MATCH(B166,'Raw_from_worldbank_PA.NUS.FCRF'!$B$2:$B$272,0),0),
  _xlpm.yrs, 'Raw_from_worldbank_PA.NUS.FCRF'!$C$1:$BR$1,
  LOOKUP(2,1/(_xlpm.r&lt;&gt;""),_xlpm.yrs)
)</f>
        <v>2024</v>
      </c>
    </row>
    <row r="167" spans="1:4" x14ac:dyDescent="0.3">
      <c r="A167" t="s">
        <v>412</v>
      </c>
      <c r="B167" t="s">
        <v>413</v>
      </c>
      <c r="C167" s="2" cm="1">
        <f t="array" ref="C167">ROUND(_xlfn.LET(
  _xlpm.r, INDEX('Raw_from_worldbank_PA.NUS.FCRF'!$C$2:$BR$272,
           MATCH(B167,'Raw_from_worldbank_PA.NUS.FCRF'!$B$2:$B$272,0),0),
  LOOKUP(2,1/(_xlpm.r&lt;&gt;""),_xlpm.r)
),2)</f>
        <v>1318.13</v>
      </c>
      <c r="D167" cm="1">
        <f t="array" ref="D167">_xlfn.LET(
  _xlpm.r, INDEX('Raw_from_worldbank_PA.NUS.FCRF'!$C$2:$BR$272,
           MATCH(B167,'Raw_from_worldbank_PA.NUS.FCRF'!$B$2:$B$272,0),0),
  _xlpm.yrs, 'Raw_from_worldbank_PA.NUS.FCRF'!$C$1:$BR$1,
  LOOKUP(2,1/(_xlpm.r&lt;&gt;""),_xlpm.yrs)
)</f>
        <v>2024</v>
      </c>
    </row>
    <row r="168" spans="1:4" x14ac:dyDescent="0.3">
      <c r="A168" t="s">
        <v>416</v>
      </c>
      <c r="B168" t="s">
        <v>417</v>
      </c>
      <c r="C168" s="2" cm="1">
        <f t="array" ref="C168">ROUND(_xlfn.LET(
  _xlpm.r, INDEX('Raw_from_worldbank_PA.NUS.FCRF'!$C$2:$BR$272,
           MATCH(B168,'Raw_from_worldbank_PA.NUS.FCRF'!$B$2:$B$272,0),0),
  LOOKUP(2,1/(_xlpm.r&lt;&gt;""),_xlpm.r)
),2)</f>
        <v>3.75</v>
      </c>
      <c r="D168" cm="1">
        <f t="array" ref="D168">_xlfn.LET(
  _xlpm.r, INDEX('Raw_from_worldbank_PA.NUS.FCRF'!$C$2:$BR$272,
           MATCH(B168,'Raw_from_worldbank_PA.NUS.FCRF'!$B$2:$B$272,0),0),
  _xlpm.yrs, 'Raw_from_worldbank_PA.NUS.FCRF'!$C$1:$BR$1,
  LOOKUP(2,1/(_xlpm.r&lt;&gt;""),_xlpm.yrs)
)</f>
        <v>2024</v>
      </c>
    </row>
    <row r="169" spans="1:4" x14ac:dyDescent="0.3">
      <c r="A169" t="s">
        <v>418</v>
      </c>
      <c r="B169" t="s">
        <v>419</v>
      </c>
      <c r="C169" s="2" cm="1">
        <f t="array" ref="C169">ROUND(_xlfn.LET(
  _xlpm.r, INDEX('Raw_from_worldbank_PA.NUS.FCRF'!$C$2:$BR$272,
           MATCH(B169,'Raw_from_worldbank_PA.NUS.FCRF'!$B$2:$B$272,0),0),
  LOOKUP(2,1/(_xlpm.r&lt;&gt;""),_xlpm.r)
),2)</f>
        <v>546.76</v>
      </c>
      <c r="D169" cm="1">
        <f t="array" ref="D169">_xlfn.LET(
  _xlpm.r, INDEX('Raw_from_worldbank_PA.NUS.FCRF'!$C$2:$BR$272,
           MATCH(B169,'Raw_from_worldbank_PA.NUS.FCRF'!$B$2:$B$272,0),0),
  _xlpm.yrs, 'Raw_from_worldbank_PA.NUS.FCRF'!$C$1:$BR$1,
  LOOKUP(2,1/(_xlpm.r&lt;&gt;""),_xlpm.yrs)
)</f>
        <v>2022</v>
      </c>
    </row>
    <row r="170" spans="1:4" x14ac:dyDescent="0.3">
      <c r="A170" t="s">
        <v>420</v>
      </c>
      <c r="B170" t="s">
        <v>421</v>
      </c>
      <c r="C170" s="2" cm="1">
        <f t="array" ref="C170">ROUND(_xlfn.LET(
  _xlpm.r, INDEX('Raw_from_worldbank_PA.NUS.FCRF'!$C$2:$BR$272,
           MATCH(B170,'Raw_from_worldbank_PA.NUS.FCRF'!$B$2:$B$272,0),0),
  LOOKUP(2,1/(_xlpm.r&lt;&gt;""),_xlpm.r)
),2)</f>
        <v>606.35</v>
      </c>
      <c r="D170" cm="1">
        <f t="array" ref="D170">_xlfn.LET(
  _xlpm.r, INDEX('Raw_from_worldbank_PA.NUS.FCRF'!$C$2:$BR$272,
           MATCH(B170,'Raw_from_worldbank_PA.NUS.FCRF'!$B$2:$B$272,0),0),
  _xlpm.yrs, 'Raw_from_worldbank_PA.NUS.FCRF'!$C$1:$BR$1,
  LOOKUP(2,1/(_xlpm.r&lt;&gt;""),_xlpm.yrs)
)</f>
        <v>2024</v>
      </c>
    </row>
    <row r="171" spans="1:4" x14ac:dyDescent="0.3">
      <c r="A171" t="s">
        <v>422</v>
      </c>
      <c r="B171" t="s">
        <v>423</v>
      </c>
      <c r="C171" s="2" cm="1">
        <f t="array" ref="C171">ROUND(_xlfn.LET(
  _xlpm.r, INDEX('Raw_from_worldbank_PA.NUS.FCRF'!$C$2:$BR$272,
           MATCH(B171,'Raw_from_worldbank_PA.NUS.FCRF'!$B$2:$B$272,0),0),
  LOOKUP(2,1/(_xlpm.r&lt;&gt;""),_xlpm.r)
),2)</f>
        <v>1.34</v>
      </c>
      <c r="D171" cm="1">
        <f t="array" ref="D171">_xlfn.LET(
  _xlpm.r, INDEX('Raw_from_worldbank_PA.NUS.FCRF'!$C$2:$BR$272,
           MATCH(B171,'Raw_from_worldbank_PA.NUS.FCRF'!$B$2:$B$272,0),0),
  _xlpm.yrs, 'Raw_from_worldbank_PA.NUS.FCRF'!$C$1:$BR$1,
  LOOKUP(2,1/(_xlpm.r&lt;&gt;""),_xlpm.yrs)
)</f>
        <v>2024</v>
      </c>
    </row>
    <row r="172" spans="1:4" x14ac:dyDescent="0.3">
      <c r="A172" t="s">
        <v>424</v>
      </c>
      <c r="B172" t="s">
        <v>425</v>
      </c>
      <c r="C172" s="2" cm="1">
        <f t="array" ref="C172">ROUND(_xlfn.LET(
  _xlpm.r, INDEX('Raw_from_worldbank_PA.NUS.FCRF'!$C$2:$BR$272,
           MATCH(B172,'Raw_from_worldbank_PA.NUS.FCRF'!$B$2:$B$272,0),0),
  LOOKUP(2,1/(_xlpm.r&lt;&gt;""),_xlpm.r)
),2)</f>
        <v>8.4499999999999993</v>
      </c>
      <c r="D172" cm="1">
        <f t="array" ref="D172">_xlfn.LET(
  _xlpm.r, INDEX('Raw_from_worldbank_PA.NUS.FCRF'!$C$2:$BR$272,
           MATCH(B172,'Raw_from_worldbank_PA.NUS.FCRF'!$B$2:$B$272,0),0),
  _xlpm.yrs, 'Raw_from_worldbank_PA.NUS.FCRF'!$C$1:$BR$1,
  LOOKUP(2,1/(_xlpm.r&lt;&gt;""),_xlpm.yrs)
)</f>
        <v>2024</v>
      </c>
    </row>
    <row r="173" spans="1:4" x14ac:dyDescent="0.3">
      <c r="A173" t="s">
        <v>426</v>
      </c>
      <c r="B173" t="s">
        <v>427</v>
      </c>
      <c r="C173" s="2" cm="1">
        <f t="array" ref="C173">ROUND(_xlfn.LET(
  _xlpm.r, INDEX('Raw_from_worldbank_PA.NUS.FCRF'!$C$2:$BR$272,
           MATCH(B173,'Raw_from_worldbank_PA.NUS.FCRF'!$B$2:$B$272,0),0),
  LOOKUP(2,1/(_xlpm.r&lt;&gt;""),_xlpm.r)
),2)</f>
        <v>21.3</v>
      </c>
      <c r="D173" cm="1">
        <f t="array" ref="D173">_xlfn.LET(
  _xlpm.r, INDEX('Raw_from_worldbank_PA.NUS.FCRF'!$C$2:$BR$272,
           MATCH(B173,'Raw_from_worldbank_PA.NUS.FCRF'!$B$2:$B$272,0),0),
  _xlpm.yrs, 'Raw_from_worldbank_PA.NUS.FCRF'!$C$1:$BR$1,
  LOOKUP(2,1/(_xlpm.r&lt;&gt;""),_xlpm.yrs)
)</f>
        <v>2023</v>
      </c>
    </row>
    <row r="174" spans="1:4" x14ac:dyDescent="0.3">
      <c r="A174" t="s">
        <v>428</v>
      </c>
      <c r="B174" t="s">
        <v>429</v>
      </c>
      <c r="C174" s="2" cm="1">
        <f t="array" ref="C174">ROUND(_xlfn.LET(
  _xlpm.r, INDEX('Raw_from_worldbank_PA.NUS.FCRF'!$C$2:$BR$272,
           MATCH(B174,'Raw_from_worldbank_PA.NUS.FCRF'!$B$2:$B$272,0),0),
  LOOKUP(2,1/(_xlpm.r&lt;&gt;""),_xlpm.r)
),2)</f>
        <v>1</v>
      </c>
      <c r="D174" cm="1">
        <f t="array" ref="D174">_xlfn.LET(
  _xlpm.r, INDEX('Raw_from_worldbank_PA.NUS.FCRF'!$C$2:$BR$272,
           MATCH(B174,'Raw_from_worldbank_PA.NUS.FCRF'!$B$2:$B$272,0),0),
  _xlpm.yrs, 'Raw_from_worldbank_PA.NUS.FCRF'!$C$1:$BR$1,
  LOOKUP(2,1/(_xlpm.r&lt;&gt;""),_xlpm.yrs)
)</f>
        <v>2024</v>
      </c>
    </row>
    <row r="175" spans="1:4" x14ac:dyDescent="0.3">
      <c r="A175" t="s">
        <v>430</v>
      </c>
      <c r="B175" t="s">
        <v>431</v>
      </c>
      <c r="C175" s="2" cm="1">
        <f t="array" ref="C175">ROUND(_xlfn.LET(
  _xlpm.r, INDEX('Raw_from_worldbank_PA.NUS.FCRF'!$C$2:$BR$272,
           MATCH(B175,'Raw_from_worldbank_PA.NUS.FCRF'!$B$2:$B$272,0),0),
  LOOKUP(2,1/(_xlpm.r&lt;&gt;""),_xlpm.r)
),2)</f>
        <v>0.92</v>
      </c>
      <c r="D175" cm="1">
        <f t="array" ref="D175">_xlfn.LET(
  _xlpm.r, INDEX('Raw_from_worldbank_PA.NUS.FCRF'!$C$2:$BR$272,
           MATCH(B175,'Raw_from_worldbank_PA.NUS.FCRF'!$B$2:$B$272,0),0),
  _xlpm.yrs, 'Raw_from_worldbank_PA.NUS.FCRF'!$C$1:$BR$1,
  LOOKUP(2,1/(_xlpm.r&lt;&gt;""),_xlpm.yrs)
)</f>
        <v>2024</v>
      </c>
    </row>
    <row r="176" spans="1:4" x14ac:dyDescent="0.3">
      <c r="A176" t="s">
        <v>432</v>
      </c>
      <c r="B176" t="s">
        <v>433</v>
      </c>
      <c r="C176" s="2" cm="1">
        <f t="array" ref="C176">ROUND(_xlfn.LET(
  _xlpm.r, INDEX('Raw_from_worldbank_PA.NUS.FCRF'!$C$2:$BR$272,
           MATCH(B176,'Raw_from_worldbank_PA.NUS.FCRF'!$B$2:$B$272,0),0),
  LOOKUP(2,1/(_xlpm.r&lt;&gt;""),_xlpm.r)
),2)</f>
        <v>23097.99</v>
      </c>
      <c r="D176" cm="1">
        <f t="array" ref="D176">_xlfn.LET(
  _xlpm.r, INDEX('Raw_from_worldbank_PA.NUS.FCRF'!$C$2:$BR$272,
           MATCH(B176,'Raw_from_worldbank_PA.NUS.FCRF'!$B$2:$B$272,0),0),
  _xlpm.yrs, 'Raw_from_worldbank_PA.NUS.FCRF'!$C$1:$BR$1,
  LOOKUP(2,1/(_xlpm.r&lt;&gt;""),_xlpm.yrs)
)</f>
        <v>2017</v>
      </c>
    </row>
    <row r="177" spans="1:4" x14ac:dyDescent="0.3">
      <c r="A177" t="s">
        <v>434</v>
      </c>
      <c r="B177" t="s">
        <v>435</v>
      </c>
      <c r="C177" s="2" cm="1">
        <f t="array" ref="C177">ROUND(_xlfn.LET(
  _xlpm.r, INDEX('Raw_from_worldbank_PA.NUS.FCRF'!$C$2:$BR$272,
           MATCH(B177,'Raw_from_worldbank_PA.NUS.FCRF'!$B$2:$B$272,0),0),
  LOOKUP(2,1/(_xlpm.r&lt;&gt;""),_xlpm.r)
),2)</f>
        <v>108.21</v>
      </c>
      <c r="D177" cm="1">
        <f t="array" ref="D177">_xlfn.LET(
  _xlpm.r, INDEX('Raw_from_worldbank_PA.NUS.FCRF'!$C$2:$BR$272,
           MATCH(B177,'Raw_from_worldbank_PA.NUS.FCRF'!$B$2:$B$272,0),0),
  _xlpm.yrs, 'Raw_from_worldbank_PA.NUS.FCRF'!$C$1:$BR$1,
  LOOKUP(2,1/(_xlpm.r&lt;&gt;""),_xlpm.yrs)
)</f>
        <v>2024</v>
      </c>
    </row>
    <row r="178" spans="1:4" x14ac:dyDescent="0.3">
      <c r="A178" t="s">
        <v>438</v>
      </c>
      <c r="B178" t="s">
        <v>439</v>
      </c>
      <c r="C178" s="2" cm="1">
        <f t="array" ref="C178">ROUND(_xlfn.LET(
  _xlpm.r, INDEX('Raw_from_worldbank_PA.NUS.FCRF'!$C$2:$BR$272,
           MATCH(B178,'Raw_from_worldbank_PA.NUS.FCRF'!$B$2:$B$272,0),0),
  LOOKUP(2,1/(_xlpm.r&lt;&gt;""),_xlpm.r)
),2)</f>
        <v>2163.1</v>
      </c>
      <c r="D178" cm="1">
        <f t="array" ref="D178">_xlfn.LET(
  _xlpm.r, INDEX('Raw_from_worldbank_PA.NUS.FCRF'!$C$2:$BR$272,
           MATCH(B178,'Raw_from_worldbank_PA.NUS.FCRF'!$B$2:$B$272,0),0),
  _xlpm.yrs, 'Raw_from_worldbank_PA.NUS.FCRF'!$C$1:$BR$1,
  LOOKUP(2,1/(_xlpm.r&lt;&gt;""),_xlpm.yrs)
)</f>
        <v>2024</v>
      </c>
    </row>
    <row r="179" spans="1:4" x14ac:dyDescent="0.3">
      <c r="A179" t="s">
        <v>444</v>
      </c>
      <c r="B179" t="s">
        <v>445</v>
      </c>
      <c r="C179" s="2" cm="1">
        <f t="array" ref="C179">ROUND(_xlfn.LET(
  _xlpm.r, INDEX('Raw_from_worldbank_PA.NUS.FCRF'!$C$2:$BR$272,
           MATCH(B179,'Raw_from_worldbank_PA.NUS.FCRF'!$B$2:$B$272,0),0),
  LOOKUP(2,1/(_xlpm.r&lt;&gt;""),_xlpm.r)
),2)</f>
        <v>22.64</v>
      </c>
      <c r="D179" cm="1">
        <f t="array" ref="D179">_xlfn.LET(
  _xlpm.r, INDEX('Raw_from_worldbank_PA.NUS.FCRF'!$C$2:$BR$272,
           MATCH(B179,'Raw_from_worldbank_PA.NUS.FCRF'!$B$2:$B$272,0),0),
  _xlpm.yrs, 'Raw_from_worldbank_PA.NUS.FCRF'!$C$1:$BR$1,
  LOOKUP(2,1/(_xlpm.r&lt;&gt;""),_xlpm.yrs)
)</f>
        <v>2024</v>
      </c>
    </row>
    <row r="180" spans="1:4" x14ac:dyDescent="0.3">
      <c r="A180" t="s">
        <v>446</v>
      </c>
      <c r="B180" t="s">
        <v>447</v>
      </c>
      <c r="C180" s="2" cm="1">
        <f t="array" ref="C180">ROUND(_xlfn.LET(
  _xlpm.r, INDEX('Raw_from_worldbank_PA.NUS.FCRF'!$C$2:$BR$272,
           MATCH(B180,'Raw_from_worldbank_PA.NUS.FCRF'!$B$2:$B$272,0),0),
  LOOKUP(2,1/(_xlpm.r&lt;&gt;""),_xlpm.r)
),2)</f>
        <v>33.18</v>
      </c>
      <c r="D180" cm="1">
        <f t="array" ref="D180">_xlfn.LET(
  _xlpm.r, INDEX('Raw_from_worldbank_PA.NUS.FCRF'!$C$2:$BR$272,
           MATCH(B180,'Raw_from_worldbank_PA.NUS.FCRF'!$B$2:$B$272,0),0),
  _xlpm.yrs, 'Raw_from_worldbank_PA.NUS.FCRF'!$C$1:$BR$1,
  LOOKUP(2,1/(_xlpm.r&lt;&gt;""),_xlpm.yrs)
)</f>
        <v>2024</v>
      </c>
    </row>
    <row r="181" spans="1:4" x14ac:dyDescent="0.3">
      <c r="A181" t="s">
        <v>448</v>
      </c>
      <c r="B181" t="s">
        <v>449</v>
      </c>
      <c r="C181" s="2" cm="1">
        <f t="array" ref="C181">ROUND(_xlfn.LET(
  _xlpm.r, INDEX('Raw_from_worldbank_PA.NUS.FCRF'!$C$2:$BR$272,
           MATCH(B181,'Raw_from_worldbank_PA.NUS.FCRF'!$B$2:$B$272,0),0),
  LOOKUP(2,1/(_xlpm.r&lt;&gt;""),_xlpm.r)
),2)</f>
        <v>0.92</v>
      </c>
      <c r="D181" cm="1">
        <f t="array" ref="D181">_xlfn.LET(
  _xlpm.r, INDEX('Raw_from_worldbank_PA.NUS.FCRF'!$C$2:$BR$272,
           MATCH(B181,'Raw_from_worldbank_PA.NUS.FCRF'!$B$2:$B$272,0),0),
  _xlpm.yrs, 'Raw_from_worldbank_PA.NUS.FCRF'!$C$1:$BR$1,
  LOOKUP(2,1/(_xlpm.r&lt;&gt;""),_xlpm.yrs)
)</f>
        <v>2024</v>
      </c>
    </row>
    <row r="182" spans="1:4" x14ac:dyDescent="0.3">
      <c r="A182" t="s">
        <v>450</v>
      </c>
      <c r="B182" t="s">
        <v>451</v>
      </c>
      <c r="C182" s="2" cm="1">
        <f t="array" ref="C182">ROUND(_xlfn.LET(
  _xlpm.r, INDEX('Raw_from_worldbank_PA.NUS.FCRF'!$C$2:$BR$272,
           MATCH(B182,'Raw_from_worldbank_PA.NUS.FCRF'!$B$2:$B$272,0),0),
  LOOKUP(2,1/(_xlpm.r&lt;&gt;""),_xlpm.r)
),2)</f>
        <v>0.92</v>
      </c>
      <c r="D182" cm="1">
        <f t="array" ref="D182">_xlfn.LET(
  _xlpm.r, INDEX('Raw_from_worldbank_PA.NUS.FCRF'!$C$2:$BR$272,
           MATCH(B182,'Raw_from_worldbank_PA.NUS.FCRF'!$B$2:$B$272,0),0),
  _xlpm.yrs, 'Raw_from_worldbank_PA.NUS.FCRF'!$C$1:$BR$1,
  LOOKUP(2,1/(_xlpm.r&lt;&gt;""),_xlpm.yrs)
)</f>
        <v>2024</v>
      </c>
    </row>
    <row r="183" spans="1:4" x14ac:dyDescent="0.3">
      <c r="A183" t="s">
        <v>452</v>
      </c>
      <c r="B183" t="s">
        <v>453</v>
      </c>
      <c r="C183" s="2" cm="1">
        <f t="array" ref="C183">ROUND(_xlfn.LET(
  _xlpm.r, INDEX('Raw_from_worldbank_PA.NUS.FCRF'!$C$2:$BR$272,
           MATCH(B183,'Raw_from_worldbank_PA.NUS.FCRF'!$B$2:$B$272,0),0),
  LOOKUP(2,1/(_xlpm.r&lt;&gt;""),_xlpm.r)
),2)</f>
        <v>10.57</v>
      </c>
      <c r="D183" cm="1">
        <f t="array" ref="D183">_xlfn.LET(
  _xlpm.r, INDEX('Raw_from_worldbank_PA.NUS.FCRF'!$C$2:$BR$272,
           MATCH(B183,'Raw_from_worldbank_PA.NUS.FCRF'!$B$2:$B$272,0),0),
  _xlpm.yrs, 'Raw_from_worldbank_PA.NUS.FCRF'!$C$1:$BR$1,
  LOOKUP(2,1/(_xlpm.r&lt;&gt;""),_xlpm.yrs)
)</f>
        <v>2024</v>
      </c>
    </row>
    <row r="184" spans="1:4" x14ac:dyDescent="0.3">
      <c r="A184" t="s">
        <v>454</v>
      </c>
      <c r="B184" t="s">
        <v>455</v>
      </c>
      <c r="C184" s="2" cm="1">
        <f t="array" ref="C184">ROUND(_xlfn.LET(
  _xlpm.r, INDEX('Raw_from_worldbank_PA.NUS.FCRF'!$C$2:$BR$272,
           MATCH(B184,'Raw_from_worldbank_PA.NUS.FCRF'!$B$2:$B$272,0),0),
  LOOKUP(2,1/(_xlpm.r&lt;&gt;""),_xlpm.r)
),2)</f>
        <v>18.32</v>
      </c>
      <c r="D184" cm="1">
        <f t="array" ref="D184">_xlfn.LET(
  _xlpm.r, INDEX('Raw_from_worldbank_PA.NUS.FCRF'!$C$2:$BR$272,
           MATCH(B184,'Raw_from_worldbank_PA.NUS.FCRF'!$B$2:$B$272,0),0),
  _xlpm.yrs, 'Raw_from_worldbank_PA.NUS.FCRF'!$C$1:$BR$1,
  LOOKUP(2,1/(_xlpm.r&lt;&gt;""),_xlpm.yrs)
)</f>
        <v>2024</v>
      </c>
    </row>
    <row r="185" spans="1:4" x14ac:dyDescent="0.3">
      <c r="A185" t="s">
        <v>456</v>
      </c>
      <c r="B185" t="s">
        <v>457</v>
      </c>
      <c r="C185" s="2" cm="1">
        <f t="array" ref="C185">ROUND(_xlfn.LET(
  _xlpm.r, INDEX('Raw_from_worldbank_PA.NUS.FCRF'!$C$2:$BR$272,
           MATCH(B185,'Raw_from_worldbank_PA.NUS.FCRF'!$B$2:$B$272,0),0),
  LOOKUP(2,1/(_xlpm.r&lt;&gt;""),_xlpm.r)
),2)</f>
        <v>1.79</v>
      </c>
      <c r="D185" cm="1">
        <f t="array" ref="D185">_xlfn.LET(
  _xlpm.r, INDEX('Raw_from_worldbank_PA.NUS.FCRF'!$C$2:$BR$272,
           MATCH(B185,'Raw_from_worldbank_PA.NUS.FCRF'!$B$2:$B$272,0),0),
  _xlpm.yrs, 'Raw_from_worldbank_PA.NUS.FCRF'!$C$1:$BR$1,
  LOOKUP(2,1/(_xlpm.r&lt;&gt;""),_xlpm.yrs)
)</f>
        <v>2024</v>
      </c>
    </row>
    <row r="186" spans="1:4" x14ac:dyDescent="0.3">
      <c r="A186" t="s">
        <v>458</v>
      </c>
      <c r="B186" t="s">
        <v>459</v>
      </c>
      <c r="C186" s="2" cm="1">
        <f t="array" ref="C186">ROUND(_xlfn.LET(
  _xlpm.r, INDEX('Raw_from_worldbank_PA.NUS.FCRF'!$C$2:$BR$272,
           MATCH(B186,'Raw_from_worldbank_PA.NUS.FCRF'!$B$2:$B$272,0),0),
  LOOKUP(2,1/(_xlpm.r&lt;&gt;""),_xlpm.r)
),2)</f>
        <v>14.53</v>
      </c>
      <c r="D186" cm="1">
        <f t="array" ref="D186">_xlfn.LET(
  _xlpm.r, INDEX('Raw_from_worldbank_PA.NUS.FCRF'!$C$2:$BR$272,
           MATCH(B186,'Raw_from_worldbank_PA.NUS.FCRF'!$B$2:$B$272,0),0),
  _xlpm.yrs, 'Raw_from_worldbank_PA.NUS.FCRF'!$C$1:$BR$1,
  LOOKUP(2,1/(_xlpm.r&lt;&gt;""),_xlpm.yrs)
)</f>
        <v>2024</v>
      </c>
    </row>
    <row r="187" spans="1:4" x14ac:dyDescent="0.3">
      <c r="A187" t="s">
        <v>460</v>
      </c>
      <c r="B187" t="s">
        <v>461</v>
      </c>
      <c r="C187" s="2" cm="1">
        <f t="array" ref="C187">ROUND(_xlfn.LET(
  _xlpm.r, INDEX('Raw_from_worldbank_PA.NUS.FCRF'!$C$2:$BR$272,
           MATCH(B187,'Raw_from_worldbank_PA.NUS.FCRF'!$B$2:$B$272,0),0),
  LOOKUP(2,1/(_xlpm.r&lt;&gt;""),_xlpm.r)
),2)</f>
        <v>2505.75</v>
      </c>
      <c r="D187" cm="1">
        <f t="array" ref="D187">_xlfn.LET(
  _xlpm.r, INDEX('Raw_from_worldbank_PA.NUS.FCRF'!$C$2:$BR$272,
           MATCH(B187,'Raw_from_worldbank_PA.NUS.FCRF'!$B$2:$B$272,0),0),
  _xlpm.yrs, 'Raw_from_worldbank_PA.NUS.FCRF'!$C$1:$BR$1,
  LOOKUP(2,1/(_xlpm.r&lt;&gt;""),_xlpm.yrs)
)</f>
        <v>2022</v>
      </c>
    </row>
    <row r="188" spans="1:4" x14ac:dyDescent="0.3">
      <c r="A188" t="s">
        <v>462</v>
      </c>
      <c r="B188" t="s">
        <v>463</v>
      </c>
      <c r="C188" s="2" cm="1">
        <f t="array" ref="C188">ROUND(_xlfn.LET(
  _xlpm.r, INDEX('Raw_from_worldbank_PA.NUS.FCRF'!$C$2:$BR$272,
           MATCH(B188,'Raw_from_worldbank_PA.NUS.FCRF'!$B$2:$B$272,0),0),
  LOOKUP(2,1/(_xlpm.r&lt;&gt;""),_xlpm.r)
),2)</f>
        <v>1</v>
      </c>
      <c r="D188" cm="1">
        <f t="array" ref="D188">_xlfn.LET(
  _xlpm.r, INDEX('Raw_from_worldbank_PA.NUS.FCRF'!$C$2:$BR$272,
           MATCH(B188,'Raw_from_worldbank_PA.NUS.FCRF'!$B$2:$B$272,0),0),
  _xlpm.yrs, 'Raw_from_worldbank_PA.NUS.FCRF'!$C$1:$BR$1,
  LOOKUP(2,1/(_xlpm.r&lt;&gt;""),_xlpm.yrs)
)</f>
        <v>2024</v>
      </c>
    </row>
    <row r="189" spans="1:4" x14ac:dyDescent="0.3">
      <c r="A189" t="s">
        <v>464</v>
      </c>
      <c r="B189" t="s">
        <v>465</v>
      </c>
      <c r="C189" s="2" cm="1">
        <f t="array" ref="C189">ROUND(_xlfn.LET(
  _xlpm.r, INDEX('Raw_from_worldbank_PA.NUS.FCRF'!$C$2:$BR$272,
           MATCH(B189,'Raw_from_worldbank_PA.NUS.FCRF'!$B$2:$B$272,0),0),
  LOOKUP(2,1/(_xlpm.r&lt;&gt;""),_xlpm.r)
),2)</f>
        <v>606.35</v>
      </c>
      <c r="D189" cm="1">
        <f t="array" ref="D189">_xlfn.LET(
  _xlpm.r, INDEX('Raw_from_worldbank_PA.NUS.FCRF'!$C$2:$BR$272,
           MATCH(B189,'Raw_from_worldbank_PA.NUS.FCRF'!$B$2:$B$272,0),0),
  _xlpm.yrs, 'Raw_from_worldbank_PA.NUS.FCRF'!$C$1:$BR$1,
  LOOKUP(2,1/(_xlpm.r&lt;&gt;""),_xlpm.yrs)
)</f>
        <v>2024</v>
      </c>
    </row>
    <row r="190" spans="1:4" x14ac:dyDescent="0.3">
      <c r="A190" t="s">
        <v>470</v>
      </c>
      <c r="B190" t="s">
        <v>471</v>
      </c>
      <c r="C190" s="2" cm="1">
        <f t="array" ref="C190">ROUND(_xlfn.LET(
  _xlpm.r, INDEX('Raw_from_worldbank_PA.NUS.FCRF'!$C$2:$BR$272,
           MATCH(B190,'Raw_from_worldbank_PA.NUS.FCRF'!$B$2:$B$272,0),0),
  LOOKUP(2,1/(_xlpm.r&lt;&gt;""),_xlpm.r)
),2)</f>
        <v>606.35</v>
      </c>
      <c r="D190" cm="1">
        <f t="array" ref="D190">_xlfn.LET(
  _xlpm.r, INDEX('Raw_from_worldbank_PA.NUS.FCRF'!$C$2:$BR$272,
           MATCH(B190,'Raw_from_worldbank_PA.NUS.FCRF'!$B$2:$B$272,0),0),
  _xlpm.yrs, 'Raw_from_worldbank_PA.NUS.FCRF'!$C$1:$BR$1,
  LOOKUP(2,1/(_xlpm.r&lt;&gt;""),_xlpm.yrs)
)</f>
        <v>2024</v>
      </c>
    </row>
    <row r="191" spans="1:4" x14ac:dyDescent="0.3">
      <c r="A191" t="s">
        <v>472</v>
      </c>
      <c r="B191" t="s">
        <v>473</v>
      </c>
      <c r="C191" s="2" cm="1">
        <f t="array" ref="C191">ROUND(_xlfn.LET(
  _xlpm.r, INDEX('Raw_from_worldbank_PA.NUS.FCRF'!$C$2:$BR$272,
           MATCH(B191,'Raw_from_worldbank_PA.NUS.FCRF'!$B$2:$B$272,0),0),
  LOOKUP(2,1/(_xlpm.r&lt;&gt;""),_xlpm.r)
),2)</f>
        <v>35.29</v>
      </c>
      <c r="D191" cm="1">
        <f t="array" ref="D191">_xlfn.LET(
  _xlpm.r, INDEX('Raw_from_worldbank_PA.NUS.FCRF'!$C$2:$BR$272,
           MATCH(B191,'Raw_from_worldbank_PA.NUS.FCRF'!$B$2:$B$272,0),0),
  _xlpm.yrs, 'Raw_from_worldbank_PA.NUS.FCRF'!$C$1:$BR$1,
  LOOKUP(2,1/(_xlpm.r&lt;&gt;""),_xlpm.yrs)
)</f>
        <v>2024</v>
      </c>
    </row>
    <row r="192" spans="1:4" x14ac:dyDescent="0.3">
      <c r="A192" t="s">
        <v>474</v>
      </c>
      <c r="B192" t="s">
        <v>475</v>
      </c>
      <c r="C192" s="2" cm="1">
        <f t="array" ref="C192">ROUND(_xlfn.LET(
  _xlpm.r, INDEX('Raw_from_worldbank_PA.NUS.FCRF'!$C$2:$BR$272,
           MATCH(B192,'Raw_from_worldbank_PA.NUS.FCRF'!$B$2:$B$272,0),0),
  LOOKUP(2,1/(_xlpm.r&lt;&gt;""),_xlpm.r)
),2)</f>
        <v>10.8</v>
      </c>
      <c r="D192" cm="1">
        <f t="array" ref="D192">_xlfn.LET(
  _xlpm.r, INDEX('Raw_from_worldbank_PA.NUS.FCRF'!$C$2:$BR$272,
           MATCH(B192,'Raw_from_worldbank_PA.NUS.FCRF'!$B$2:$B$272,0),0),
  _xlpm.yrs, 'Raw_from_worldbank_PA.NUS.FCRF'!$C$1:$BR$1,
  LOOKUP(2,1/(_xlpm.r&lt;&gt;""),_xlpm.yrs)
)</f>
        <v>2024</v>
      </c>
    </row>
    <row r="193" spans="1:4" x14ac:dyDescent="0.3">
      <c r="A193" t="s">
        <v>476</v>
      </c>
      <c r="B193" t="s">
        <v>477</v>
      </c>
      <c r="C193" s="2" cm="1">
        <f t="array" ref="C193">ROUND(_xlfn.LET(
  _xlpm.r, INDEX('Raw_from_worldbank_PA.NUS.FCRF'!$C$2:$BR$272,
           MATCH(B193,'Raw_from_worldbank_PA.NUS.FCRF'!$B$2:$B$272,0),0),
  LOOKUP(2,1/(_xlpm.r&lt;&gt;""),_xlpm.r)
),2)</f>
        <v>5200</v>
      </c>
      <c r="D193" cm="1">
        <f t="array" ref="D193">_xlfn.LET(
  _xlpm.r, INDEX('Raw_from_worldbank_PA.NUS.FCRF'!$C$2:$BR$272,
           MATCH(B193,'Raw_from_worldbank_PA.NUS.FCRF'!$B$2:$B$272,0),0),
  _xlpm.yrs, 'Raw_from_worldbank_PA.NUS.FCRF'!$C$1:$BR$1,
  LOOKUP(2,1/(_xlpm.r&lt;&gt;""),_xlpm.yrs)
)</f>
        <v>2001</v>
      </c>
    </row>
    <row r="194" spans="1:4" x14ac:dyDescent="0.3">
      <c r="A194" t="s">
        <v>480</v>
      </c>
      <c r="B194" t="s">
        <v>481</v>
      </c>
      <c r="C194" s="2" cm="1">
        <f t="array" ref="C194">ROUND(_xlfn.LET(
  _xlpm.r, INDEX('Raw_from_worldbank_PA.NUS.FCRF'!$C$2:$BR$272,
           MATCH(B194,'Raw_from_worldbank_PA.NUS.FCRF'!$B$2:$B$272,0),0),
  LOOKUP(2,1/(_xlpm.r&lt;&gt;""),_xlpm.r)
),2)</f>
        <v>1</v>
      </c>
      <c r="D194" cm="1">
        <f t="array" ref="D194">_xlfn.LET(
  _xlpm.r, INDEX('Raw_from_worldbank_PA.NUS.FCRF'!$C$2:$BR$272,
           MATCH(B194,'Raw_from_worldbank_PA.NUS.FCRF'!$B$2:$B$272,0),0),
  _xlpm.yrs, 'Raw_from_worldbank_PA.NUS.FCRF'!$C$1:$BR$1,
  LOOKUP(2,1/(_xlpm.r&lt;&gt;""),_xlpm.yrs)
)</f>
        <v>2024</v>
      </c>
    </row>
    <row r="195" spans="1:4" x14ac:dyDescent="0.3">
      <c r="A195" t="s">
        <v>484</v>
      </c>
      <c r="B195" t="s">
        <v>485</v>
      </c>
      <c r="C195" s="2" cm="1">
        <f t="array" ref="C195">ROUND(_xlfn.LET(
  _xlpm.r, INDEX('Raw_from_worldbank_PA.NUS.FCRF'!$C$2:$BR$272,
           MATCH(B195,'Raw_from_worldbank_PA.NUS.FCRF'!$B$2:$B$272,0),0),
  LOOKUP(2,1/(_xlpm.r&lt;&gt;""),_xlpm.r)
),2)</f>
        <v>2.37</v>
      </c>
      <c r="D195" cm="1">
        <f t="array" ref="D195">_xlfn.LET(
  _xlpm.r, INDEX('Raw_from_worldbank_PA.NUS.FCRF'!$C$2:$BR$272,
           MATCH(B195,'Raw_from_worldbank_PA.NUS.FCRF'!$B$2:$B$272,0),0),
  _xlpm.yrs, 'Raw_from_worldbank_PA.NUS.FCRF'!$C$1:$BR$1,
  LOOKUP(2,1/(_xlpm.r&lt;&gt;""),_xlpm.yrs)
)</f>
        <v>2024</v>
      </c>
    </row>
    <row r="196" spans="1:4" x14ac:dyDescent="0.3">
      <c r="A196" t="s">
        <v>490</v>
      </c>
      <c r="B196" t="s">
        <v>491</v>
      </c>
      <c r="C196" s="2" cm="1">
        <f t="array" ref="C196">ROUND(_xlfn.LET(
  _xlpm.r, INDEX('Raw_from_worldbank_PA.NUS.FCRF'!$C$2:$BR$272,
           MATCH(B196,'Raw_from_worldbank_PA.NUS.FCRF'!$B$2:$B$272,0),0),
  LOOKUP(2,1/(_xlpm.r&lt;&gt;""),_xlpm.r)
),2)</f>
        <v>6.75</v>
      </c>
      <c r="D196" cm="1">
        <f t="array" ref="D196">_xlfn.LET(
  _xlpm.r, INDEX('Raw_from_worldbank_PA.NUS.FCRF'!$C$2:$BR$272,
           MATCH(B196,'Raw_from_worldbank_PA.NUS.FCRF'!$B$2:$B$272,0),0),
  _xlpm.yrs, 'Raw_from_worldbank_PA.NUS.FCRF'!$C$1:$BR$1,
  LOOKUP(2,1/(_xlpm.r&lt;&gt;""),_xlpm.yrs)
)</f>
        <v>2024</v>
      </c>
    </row>
    <row r="197" spans="1:4" x14ac:dyDescent="0.3">
      <c r="A197" t="s">
        <v>492</v>
      </c>
      <c r="B197" t="s">
        <v>493</v>
      </c>
      <c r="C197" s="2" cm="1">
        <f t="array" ref="C197">ROUND(_xlfn.LET(
  _xlpm.r, INDEX('Raw_from_worldbank_PA.NUS.FCRF'!$C$2:$BR$272,
           MATCH(B197,'Raw_from_worldbank_PA.NUS.FCRF'!$B$2:$B$272,0),0),
  LOOKUP(2,1/(_xlpm.r&lt;&gt;""),_xlpm.r)
),2)</f>
        <v>3.11</v>
      </c>
      <c r="D197" cm="1">
        <f t="array" ref="D197">_xlfn.LET(
  _xlpm.r, INDEX('Raw_from_worldbank_PA.NUS.FCRF'!$C$2:$BR$272,
           MATCH(B197,'Raw_from_worldbank_PA.NUS.FCRF'!$B$2:$B$272,0),0),
  _xlpm.yrs, 'Raw_from_worldbank_PA.NUS.FCRF'!$C$1:$BR$1,
  LOOKUP(2,1/(_xlpm.r&lt;&gt;""),_xlpm.yrs)
)</f>
        <v>2024</v>
      </c>
    </row>
    <row r="198" spans="1:4" x14ac:dyDescent="0.3">
      <c r="A198" t="s">
        <v>494</v>
      </c>
      <c r="B198" t="s">
        <v>495</v>
      </c>
      <c r="C198" s="2" cm="1">
        <f t="array" ref="C198">ROUND(_xlfn.LET(
  _xlpm.r, INDEX('Raw_from_worldbank_PA.NUS.FCRF'!$C$2:$BR$272,
           MATCH(B198,'Raw_from_worldbank_PA.NUS.FCRF'!$B$2:$B$272,0),0),
  LOOKUP(2,1/(_xlpm.r&lt;&gt;""),_xlpm.r)
),2)</f>
        <v>32.81</v>
      </c>
      <c r="D198" cm="1">
        <f t="array" ref="D198">_xlfn.LET(
  _xlpm.r, INDEX('Raw_from_worldbank_PA.NUS.FCRF'!$C$2:$BR$272,
           MATCH(B198,'Raw_from_worldbank_PA.NUS.FCRF'!$B$2:$B$272,0),0),
  _xlpm.yrs, 'Raw_from_worldbank_PA.NUS.FCRF'!$C$1:$BR$1,
  LOOKUP(2,1/(_xlpm.r&lt;&gt;""),_xlpm.yrs)
)</f>
        <v>2024</v>
      </c>
    </row>
    <row r="199" spans="1:4" x14ac:dyDescent="0.3">
      <c r="A199" t="s">
        <v>496</v>
      </c>
      <c r="B199" t="s">
        <v>497</v>
      </c>
      <c r="C199" s="2" cm="1">
        <f t="array" ref="C199">ROUND(_xlfn.LET(
  _xlpm.r, INDEX('Raw_from_worldbank_PA.NUS.FCRF'!$C$2:$BR$272,
           MATCH(B199,'Raw_from_worldbank_PA.NUS.FCRF'!$B$2:$B$272,0),0),
  LOOKUP(2,1/(_xlpm.r&lt;&gt;""),_xlpm.r)
),2)</f>
        <v>1.52</v>
      </c>
      <c r="D199" cm="1">
        <f t="array" ref="D199">_xlfn.LET(
  _xlpm.r, INDEX('Raw_from_worldbank_PA.NUS.FCRF'!$C$2:$BR$272,
           MATCH(B199,'Raw_from_worldbank_PA.NUS.FCRF'!$B$2:$B$272,0),0),
  _xlpm.yrs, 'Raw_from_worldbank_PA.NUS.FCRF'!$C$1:$BR$1,
  LOOKUP(2,1/(_xlpm.r&lt;&gt;""),_xlpm.yrs)
)</f>
        <v>2024</v>
      </c>
    </row>
    <row r="200" spans="1:4" x14ac:dyDescent="0.3">
      <c r="A200" t="s">
        <v>498</v>
      </c>
      <c r="B200" t="s">
        <v>499</v>
      </c>
      <c r="C200" s="2" cm="1">
        <f t="array" ref="C200">ROUND(_xlfn.LET(
  _xlpm.r, INDEX('Raw_from_worldbank_PA.NUS.FCRF'!$C$2:$BR$272,
           MATCH(B200,'Raw_from_worldbank_PA.NUS.FCRF'!$B$2:$B$272,0),0),
  LOOKUP(2,1/(_xlpm.r&lt;&gt;""),_xlpm.r)
),2)</f>
        <v>2597.9</v>
      </c>
      <c r="D200" cm="1">
        <f t="array" ref="D200">_xlfn.LET(
  _xlpm.r, INDEX('Raw_from_worldbank_PA.NUS.FCRF'!$C$2:$BR$272,
           MATCH(B200,'Raw_from_worldbank_PA.NUS.FCRF'!$B$2:$B$272,0),0),
  _xlpm.yrs, 'Raw_from_worldbank_PA.NUS.FCRF'!$C$1:$BR$1,
  LOOKUP(2,1/(_xlpm.r&lt;&gt;""),_xlpm.yrs)
)</f>
        <v>2024</v>
      </c>
    </row>
    <row r="201" spans="1:4" x14ac:dyDescent="0.3">
      <c r="A201" t="s">
        <v>500</v>
      </c>
      <c r="B201" t="s">
        <v>501</v>
      </c>
      <c r="C201" s="2" cm="1">
        <f t="array" ref="C201">ROUND(_xlfn.LET(
  _xlpm.r, INDEX('Raw_from_worldbank_PA.NUS.FCRF'!$C$2:$BR$272,
           MATCH(B201,'Raw_from_worldbank_PA.NUS.FCRF'!$B$2:$B$272,0),0),
  LOOKUP(2,1/(_xlpm.r&lt;&gt;""),_xlpm.r)
),2)</f>
        <v>3757.26</v>
      </c>
      <c r="D201" cm="1">
        <f t="array" ref="D201">_xlfn.LET(
  _xlpm.r, INDEX('Raw_from_worldbank_PA.NUS.FCRF'!$C$2:$BR$272,
           MATCH(B201,'Raw_from_worldbank_PA.NUS.FCRF'!$B$2:$B$272,0),0),
  _xlpm.yrs, 'Raw_from_worldbank_PA.NUS.FCRF'!$C$1:$BR$1,
  LOOKUP(2,1/(_xlpm.r&lt;&gt;""),_xlpm.yrs)
)</f>
        <v>2024</v>
      </c>
    </row>
    <row r="202" spans="1:4" x14ac:dyDescent="0.3">
      <c r="A202" t="s">
        <v>502</v>
      </c>
      <c r="B202" t="s">
        <v>503</v>
      </c>
      <c r="C202" s="2" cm="1">
        <f t="array" ref="C202">ROUND(_xlfn.LET(
  _xlpm.r, INDEX('Raw_from_worldbank_PA.NUS.FCRF'!$C$2:$BR$272,
           MATCH(B202,'Raw_from_worldbank_PA.NUS.FCRF'!$B$2:$B$272,0),0),
  LOOKUP(2,1/(_xlpm.r&lt;&gt;""),_xlpm.r)
),2)</f>
        <v>40.15</v>
      </c>
      <c r="D202" cm="1">
        <f t="array" ref="D202">_xlfn.LET(
  _xlpm.r, INDEX('Raw_from_worldbank_PA.NUS.FCRF'!$C$2:$BR$272,
           MATCH(B202,'Raw_from_worldbank_PA.NUS.FCRF'!$B$2:$B$272,0),0),
  _xlpm.yrs, 'Raw_from_worldbank_PA.NUS.FCRF'!$C$1:$BR$1,
  LOOKUP(2,1/(_xlpm.r&lt;&gt;""),_xlpm.yrs)
)</f>
        <v>2024</v>
      </c>
    </row>
    <row r="203" spans="1:4" x14ac:dyDescent="0.3">
      <c r="A203" t="s">
        <v>506</v>
      </c>
      <c r="B203" t="s">
        <v>507</v>
      </c>
      <c r="C203" s="2" cm="1">
        <f t="array" ref="C203">ROUND(_xlfn.LET(
  _xlpm.r, INDEX('Raw_from_worldbank_PA.NUS.FCRF'!$C$2:$BR$272,
           MATCH(B203,'Raw_from_worldbank_PA.NUS.FCRF'!$B$2:$B$272,0),0),
  LOOKUP(2,1/(_xlpm.r&lt;&gt;""),_xlpm.r)
),2)</f>
        <v>40.21</v>
      </c>
      <c r="D203" cm="1">
        <f t="array" ref="D203">_xlfn.LET(
  _xlpm.r, INDEX('Raw_from_worldbank_PA.NUS.FCRF'!$C$2:$BR$272,
           MATCH(B203,'Raw_from_worldbank_PA.NUS.FCRF'!$B$2:$B$272,0),0),
  _xlpm.yrs, 'Raw_from_worldbank_PA.NUS.FCRF'!$C$1:$BR$1,
  LOOKUP(2,1/(_xlpm.r&lt;&gt;""),_xlpm.yrs)
)</f>
        <v>2024</v>
      </c>
    </row>
    <row r="204" spans="1:4" x14ac:dyDescent="0.3">
      <c r="A204" t="s">
        <v>508</v>
      </c>
      <c r="B204" t="s">
        <v>509</v>
      </c>
      <c r="C204" s="2" cm="1">
        <f t="array" ref="C204">ROUND(_xlfn.LET(
  _xlpm.r, INDEX('Raw_from_worldbank_PA.NUS.FCRF'!$C$2:$BR$272,
           MATCH(B204,'Raw_from_worldbank_PA.NUS.FCRF'!$B$2:$B$272,0),0),
  LOOKUP(2,1/(_xlpm.r&lt;&gt;""),_xlpm.r)
),2)</f>
        <v>1</v>
      </c>
      <c r="D204" cm="1">
        <f t="array" ref="D204">_xlfn.LET(
  _xlpm.r, INDEX('Raw_from_worldbank_PA.NUS.FCRF'!$C$2:$BR$272,
           MATCH(B204,'Raw_from_worldbank_PA.NUS.FCRF'!$B$2:$B$272,0),0),
  _xlpm.yrs, 'Raw_from_worldbank_PA.NUS.FCRF'!$C$1:$BR$1,
  LOOKUP(2,1/(_xlpm.r&lt;&gt;""),_xlpm.yrs)
)</f>
        <v>2024</v>
      </c>
    </row>
    <row r="205" spans="1:4" x14ac:dyDescent="0.3">
      <c r="A205" t="s">
        <v>510</v>
      </c>
      <c r="B205" t="s">
        <v>511</v>
      </c>
      <c r="C205" s="2" cm="1">
        <f t="array" ref="C205">ROUND(_xlfn.LET(
  _xlpm.r, INDEX('Raw_from_worldbank_PA.NUS.FCRF'!$C$2:$BR$272,
           MATCH(B205,'Raw_from_worldbank_PA.NUS.FCRF'!$B$2:$B$272,0),0),
  LOOKUP(2,1/(_xlpm.r&lt;&gt;""),_xlpm.r)
),2)</f>
        <v>12652.29</v>
      </c>
      <c r="D205" cm="1">
        <f t="array" ref="D205">_xlfn.LET(
  _xlpm.r, INDEX('Raw_from_worldbank_PA.NUS.FCRF'!$C$2:$BR$272,
           MATCH(B205,'Raw_from_worldbank_PA.NUS.FCRF'!$B$2:$B$272,0),0),
  _xlpm.yrs, 'Raw_from_worldbank_PA.NUS.FCRF'!$C$1:$BR$1,
  LOOKUP(2,1/(_xlpm.r&lt;&gt;""),_xlpm.yrs)
)</f>
        <v>2024</v>
      </c>
    </row>
    <row r="206" spans="1:4" x14ac:dyDescent="0.3">
      <c r="A206" t="s">
        <v>512</v>
      </c>
      <c r="B206" t="s">
        <v>513</v>
      </c>
      <c r="C206" s="2" cm="1">
        <f t="array" ref="C206">ROUND(_xlfn.LET(
  _xlpm.r, INDEX('Raw_from_worldbank_PA.NUS.FCRF'!$C$2:$BR$272,
           MATCH(B206,'Raw_from_worldbank_PA.NUS.FCRF'!$B$2:$B$272,0),0),
  LOOKUP(2,1/(_xlpm.r&lt;&gt;""),_xlpm.r)
),2)</f>
        <v>2.7</v>
      </c>
      <c r="D206" cm="1">
        <f t="array" ref="D206">_xlfn.LET(
  _xlpm.r, INDEX('Raw_from_worldbank_PA.NUS.FCRF'!$C$2:$BR$272,
           MATCH(B206,'Raw_from_worldbank_PA.NUS.FCRF'!$B$2:$B$272,0),0),
  _xlpm.yrs, 'Raw_from_worldbank_PA.NUS.FCRF'!$C$1:$BR$1,
  LOOKUP(2,1/(_xlpm.r&lt;&gt;""),_xlpm.yrs)
)</f>
        <v>2024</v>
      </c>
    </row>
    <row r="207" spans="1:4" x14ac:dyDescent="0.3">
      <c r="A207" t="s">
        <v>514</v>
      </c>
      <c r="B207" t="s">
        <v>515</v>
      </c>
      <c r="C207" s="2" cm="1">
        <f t="array" ref="C207">ROUND(_xlfn.LET(
  _xlpm.r, INDEX('Raw_from_worldbank_PA.NUS.FCRF'!$C$2:$BR$272,
           MATCH(B207,'Raw_from_worldbank_PA.NUS.FCRF'!$B$2:$B$272,0),0),
  LOOKUP(2,1/(_xlpm.r&lt;&gt;""),_xlpm.r)
),2)</f>
        <v>9.98</v>
      </c>
      <c r="D207" cm="1">
        <f t="array" ref="D207">_xlfn.LET(
  _xlpm.r, INDEX('Raw_from_worldbank_PA.NUS.FCRF'!$C$2:$BR$272,
           MATCH(B207,'Raw_from_worldbank_PA.NUS.FCRF'!$B$2:$B$272,0),0),
  _xlpm.yrs, 'Raw_from_worldbank_PA.NUS.FCRF'!$C$1:$BR$1,
  LOOKUP(2,1/(_xlpm.r&lt;&gt;""),_xlpm.yrs)
)</f>
        <v>2017</v>
      </c>
    </row>
    <row r="208" spans="1:4" x14ac:dyDescent="0.3">
      <c r="A208" t="s">
        <v>518</v>
      </c>
      <c r="B208" t="s">
        <v>519</v>
      </c>
      <c r="C208" s="2" cm="1">
        <f t="array" ref="C208">ROUND(_xlfn.LET(
  _xlpm.r, INDEX('Raw_from_worldbank_PA.NUS.FCRF'!$C$2:$BR$272,
           MATCH(B208,'Raw_from_worldbank_PA.NUS.FCRF'!$B$2:$B$272,0),0),
  LOOKUP(2,1/(_xlpm.r&lt;&gt;""),_xlpm.r)
),2)</f>
        <v>1</v>
      </c>
      <c r="D208" cm="1">
        <f t="array" ref="D208">_xlfn.LET(
  _xlpm.r, INDEX('Raw_from_worldbank_PA.NUS.FCRF'!$C$2:$BR$272,
           MATCH(B208,'Raw_from_worldbank_PA.NUS.FCRF'!$B$2:$B$272,0),0),
  _xlpm.yrs, 'Raw_from_worldbank_PA.NUS.FCRF'!$C$1:$BR$1,
  LOOKUP(2,1/(_xlpm.r&lt;&gt;""),_xlpm.yrs)
)</f>
        <v>2024</v>
      </c>
    </row>
    <row r="209" spans="1:4" x14ac:dyDescent="0.3">
      <c r="A209" t="s">
        <v>520</v>
      </c>
      <c r="B209" t="s">
        <v>521</v>
      </c>
      <c r="C209" s="2" cm="1">
        <f t="array" ref="C209">ROUND(_xlfn.LET(
  _xlpm.r, INDEX('Raw_from_worldbank_PA.NUS.FCRF'!$C$2:$BR$272,
           MATCH(B209,'Raw_from_worldbank_PA.NUS.FCRF'!$B$2:$B$272,0),0),
  LOOKUP(2,1/(_xlpm.r&lt;&gt;""),_xlpm.r)
),2)</f>
        <v>24164.89</v>
      </c>
      <c r="D209" cm="1">
        <f t="array" ref="D209">_xlfn.LET(
  _xlpm.r, INDEX('Raw_from_worldbank_PA.NUS.FCRF'!$C$2:$BR$272,
           MATCH(B209,'Raw_from_worldbank_PA.NUS.FCRF'!$B$2:$B$272,0),0),
  _xlpm.yrs, 'Raw_from_worldbank_PA.NUS.FCRF'!$C$1:$BR$1,
  LOOKUP(2,1/(_xlpm.r&lt;&gt;""),_xlpm.yrs)
)</f>
        <v>2024</v>
      </c>
    </row>
    <row r="210" spans="1:4" x14ac:dyDescent="0.3">
      <c r="A210" t="s">
        <v>522</v>
      </c>
      <c r="B210" t="s">
        <v>523</v>
      </c>
      <c r="C210" s="2" cm="1">
        <f t="array" ref="C210">ROUND(_xlfn.LET(
  _xlpm.r, INDEX('Raw_from_worldbank_PA.NUS.FCRF'!$C$2:$BR$272,
           MATCH(B210,'Raw_from_worldbank_PA.NUS.FCRF'!$B$2:$B$272,0),0),
  LOOKUP(2,1/(_xlpm.r&lt;&gt;""),_xlpm.r)
),2)</f>
        <v>119.17</v>
      </c>
      <c r="D210" cm="1">
        <f t="array" ref="D210">_xlfn.LET(
  _xlpm.r, INDEX('Raw_from_worldbank_PA.NUS.FCRF'!$C$2:$BR$272,
           MATCH(B210,'Raw_from_worldbank_PA.NUS.FCRF'!$B$2:$B$272,0),0),
  _xlpm.yrs, 'Raw_from_worldbank_PA.NUS.FCRF'!$C$1:$BR$1,
  LOOKUP(2,1/(_xlpm.r&lt;&gt;""),_xlpm.yrs)
)</f>
        <v>2024</v>
      </c>
    </row>
    <row r="211" spans="1:4" x14ac:dyDescent="0.3">
      <c r="A211" t="s">
        <v>526</v>
      </c>
      <c r="B211" t="s">
        <v>527</v>
      </c>
      <c r="C211" s="2" cm="1">
        <f t="array" ref="C211">ROUND(_xlfn.LET(
  _xlpm.r, INDEX('Raw_from_worldbank_PA.NUS.FCRF'!$C$2:$BR$272,
           MATCH(B211,'Raw_from_worldbank_PA.NUS.FCRF'!$B$2:$B$272,0),0),
  LOOKUP(2,1/(_xlpm.r&lt;&gt;""),_xlpm.r)
),2)</f>
        <v>2.75</v>
      </c>
      <c r="D211" cm="1">
        <f t="array" ref="D211">_xlfn.LET(
  _xlpm.r, INDEX('Raw_from_worldbank_PA.NUS.FCRF'!$C$2:$BR$272,
           MATCH(B211,'Raw_from_worldbank_PA.NUS.FCRF'!$B$2:$B$272,0),0),
  _xlpm.yrs, 'Raw_from_worldbank_PA.NUS.FCRF'!$C$1:$BR$1,
  LOOKUP(2,1/(_xlpm.r&lt;&gt;""),_xlpm.yrs)
)</f>
        <v>2024</v>
      </c>
    </row>
    <row r="212" spans="1:4" x14ac:dyDescent="0.3">
      <c r="A212" t="s">
        <v>528</v>
      </c>
      <c r="B212" t="s">
        <v>529</v>
      </c>
      <c r="C212" s="2" cm="1">
        <f t="array" ref="C212">ROUND(_xlfn.LET(
  _xlpm.r, INDEX('Raw_from_worldbank_PA.NUS.FCRF'!$C$2:$BR$272,
           MATCH(B212,'Raw_from_worldbank_PA.NUS.FCRF'!$B$2:$B$272,0),0),
  LOOKUP(2,1/(_xlpm.r&lt;&gt;""),_xlpm.r)
),2)</f>
        <v>0.92</v>
      </c>
      <c r="D212" cm="1">
        <f t="array" ref="D212">_xlfn.LET(
  _xlpm.r, INDEX('Raw_from_worldbank_PA.NUS.FCRF'!$C$2:$BR$272,
           MATCH(B212,'Raw_from_worldbank_PA.NUS.FCRF'!$B$2:$B$272,0),0),
  _xlpm.yrs, 'Raw_from_worldbank_PA.NUS.FCRF'!$C$1:$BR$1,
  LOOKUP(2,1/(_xlpm.r&lt;&gt;""),_xlpm.yrs)
)</f>
        <v>2024</v>
      </c>
    </row>
    <row r="213" spans="1:4" x14ac:dyDescent="0.3">
      <c r="A213" t="s">
        <v>530</v>
      </c>
      <c r="B213" t="s">
        <v>531</v>
      </c>
      <c r="C213" s="2" cm="1">
        <f t="array" ref="C213">ROUND(_xlfn.LET(
  _xlpm.r, INDEX('Raw_from_worldbank_PA.NUS.FCRF'!$C$2:$BR$272,
           MATCH(B213,'Raw_from_worldbank_PA.NUS.FCRF'!$B$2:$B$272,0),0),
  LOOKUP(2,1/(_xlpm.r&lt;&gt;""),_xlpm.r)
),2)</f>
        <v>1355.12</v>
      </c>
      <c r="D213" cm="1">
        <f t="array" ref="D213">_xlfn.LET(
  _xlpm.r, INDEX('Raw_from_worldbank_PA.NUS.FCRF'!$C$2:$BR$272,
           MATCH(B213,'Raw_from_worldbank_PA.NUS.FCRF'!$B$2:$B$272,0),0),
  _xlpm.yrs, 'Raw_from_worldbank_PA.NUS.FCRF'!$C$1:$BR$1,
  LOOKUP(2,1/(_xlpm.r&lt;&gt;""),_xlpm.yrs)
)</f>
        <v>2023</v>
      </c>
    </row>
    <row r="214" spans="1:4" x14ac:dyDescent="0.3">
      <c r="A214" t="s">
        <v>532</v>
      </c>
      <c r="B214" t="s">
        <v>533</v>
      </c>
      <c r="C214" s="2" cm="1">
        <f t="array" ref="C214">ROUND(_xlfn.LET(
  _xlpm.r, INDEX('Raw_from_worldbank_PA.NUS.FCRF'!$C$2:$BR$272,
           MATCH(B214,'Raw_from_worldbank_PA.NUS.FCRF'!$B$2:$B$272,0),0),
  LOOKUP(2,1/(_xlpm.r&lt;&gt;""),_xlpm.r)
),2)</f>
        <v>18.329999999999998</v>
      </c>
      <c r="D214" cm="1">
        <f t="array" ref="D214">_xlfn.LET(
  _xlpm.r, INDEX('Raw_from_worldbank_PA.NUS.FCRF'!$C$2:$BR$272,
           MATCH(B214,'Raw_from_worldbank_PA.NUS.FCRF'!$B$2:$B$272,0),0),
  _xlpm.yrs, 'Raw_from_worldbank_PA.NUS.FCRF'!$C$1:$BR$1,
  LOOKUP(2,1/(_xlpm.r&lt;&gt;""),_xlpm.yrs)
)</f>
        <v>2024</v>
      </c>
    </row>
    <row r="215" spans="1:4" x14ac:dyDescent="0.3">
      <c r="A215" t="s">
        <v>534</v>
      </c>
      <c r="B215" t="s">
        <v>535</v>
      </c>
      <c r="C215" s="2" cm="1">
        <f t="array" ref="C215">ROUND(_xlfn.LET(
  _xlpm.r, INDEX('Raw_from_worldbank_PA.NUS.FCRF'!$C$2:$BR$272,
           MATCH(B215,'Raw_from_worldbank_PA.NUS.FCRF'!$B$2:$B$272,0),0),
  LOOKUP(2,1/(_xlpm.r&lt;&gt;""),_xlpm.r)
),2)</f>
        <v>26.17</v>
      </c>
      <c r="D215" cm="1">
        <f t="array" ref="D215">_xlfn.LET(
  _xlpm.r, INDEX('Raw_from_worldbank_PA.NUS.FCRF'!$C$2:$BR$272,
           MATCH(B215,'Raw_from_worldbank_PA.NUS.FCRF'!$B$2:$B$272,0),0),
  _xlpm.yrs, 'Raw_from_worldbank_PA.NUS.FCRF'!$C$1:$BR$1,
  LOOKUP(2,1/(_xlpm.r&lt;&gt;""),_xlpm.yrs)
)</f>
        <v>2024</v>
      </c>
    </row>
    <row r="216" spans="1:4" x14ac:dyDescent="0.3">
      <c r="A216" t="s">
        <v>536</v>
      </c>
      <c r="B216" t="s">
        <v>537</v>
      </c>
      <c r="C216" s="2" cm="1">
        <f t="array" ref="C216">ROUND(_xlfn.LET(
  _xlpm.r, INDEX('Raw_from_worldbank_PA.NUS.FCRF'!$C$2:$BR$272,
           MATCH(B216,'Raw_from_worldbank_PA.NUS.FCRF'!$B$2:$B$272,0),0),
  LOOKUP(2,1/(_xlpm.r&lt;&gt;""),_xlpm.r)
),2)</f>
        <v>3266.33</v>
      </c>
      <c r="D216" cm="1">
        <f t="array" ref="D216">_xlfn.LET(
  _xlpm.r, INDEX('Raw_from_worldbank_PA.NUS.FCRF'!$C$2:$BR$272,
           MATCH(B216,'Raw_from_worldbank_PA.NUS.FCRF'!$B$2:$B$272,0),0),
  _xlpm.yrs, 'Raw_from_worldbank_PA.NUS.FCRF'!$C$1:$BR$1,
  LOOKUP(2,1/(_xlpm.r&lt;&gt;""),_xlpm.yrs)
)</f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9836-0167-4B4F-B979-AD8C62EF1847}">
  <dimension ref="A1:BR267"/>
  <sheetViews>
    <sheetView workbookViewId="0">
      <selection activeCell="A3" sqref="A3"/>
    </sheetView>
  </sheetViews>
  <sheetFormatPr defaultRowHeight="14.4" x14ac:dyDescent="0.3"/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3">
      <c r="A2" t="s">
        <v>4</v>
      </c>
      <c r="B2" t="s">
        <v>5</v>
      </c>
      <c r="C2" t="s">
        <v>6</v>
      </c>
      <c r="D2" t="s">
        <v>7</v>
      </c>
      <c r="AE2">
        <v>1.79</v>
      </c>
      <c r="AF2">
        <v>1.79</v>
      </c>
      <c r="AG2">
        <v>1.79</v>
      </c>
      <c r="AH2">
        <v>1.79</v>
      </c>
      <c r="AI2">
        <v>1.79</v>
      </c>
      <c r="AJ2">
        <v>1.79</v>
      </c>
      <c r="AK2">
        <v>1.79</v>
      </c>
      <c r="AL2">
        <v>1.79</v>
      </c>
      <c r="AM2">
        <v>1.79</v>
      </c>
      <c r="AN2">
        <v>1.79</v>
      </c>
      <c r="AO2">
        <v>1.79</v>
      </c>
      <c r="AP2">
        <v>1.79</v>
      </c>
      <c r="AQ2">
        <v>1.79</v>
      </c>
      <c r="AR2">
        <v>1.79</v>
      </c>
      <c r="AS2">
        <v>1.79</v>
      </c>
      <c r="AT2">
        <v>1.79</v>
      </c>
      <c r="AU2">
        <v>1.79</v>
      </c>
      <c r="AV2">
        <v>1.79</v>
      </c>
      <c r="AW2">
        <v>1.79</v>
      </c>
      <c r="AX2">
        <v>1.79</v>
      </c>
      <c r="AY2">
        <v>1.79</v>
      </c>
      <c r="AZ2">
        <v>1.79</v>
      </c>
      <c r="BA2">
        <v>1.79</v>
      </c>
      <c r="BB2">
        <v>1.79</v>
      </c>
      <c r="BC2">
        <v>1.79</v>
      </c>
      <c r="BD2">
        <v>1.79</v>
      </c>
      <c r="BE2">
        <v>1.79</v>
      </c>
      <c r="BF2">
        <v>1.79</v>
      </c>
      <c r="BG2">
        <v>1.79</v>
      </c>
      <c r="BH2">
        <v>1.79</v>
      </c>
      <c r="BI2">
        <v>1.79</v>
      </c>
      <c r="BJ2">
        <v>1.79</v>
      </c>
      <c r="BK2">
        <v>1.79</v>
      </c>
      <c r="BL2">
        <v>1.79</v>
      </c>
      <c r="BM2">
        <v>1.79</v>
      </c>
      <c r="BN2">
        <v>1.79</v>
      </c>
      <c r="BO2">
        <v>1.79</v>
      </c>
      <c r="BP2">
        <v>1.79</v>
      </c>
      <c r="BQ2">
        <v>1.79</v>
      </c>
    </row>
    <row r="3" spans="1:70" x14ac:dyDescent="0.3">
      <c r="A3" t="s">
        <v>8</v>
      </c>
      <c r="B3" t="s">
        <v>9</v>
      </c>
      <c r="C3" t="s">
        <v>6</v>
      </c>
      <c r="D3" t="s">
        <v>7</v>
      </c>
    </row>
    <row r="4" spans="1:70" x14ac:dyDescent="0.3">
      <c r="A4" t="s">
        <v>10</v>
      </c>
      <c r="B4" t="s">
        <v>11</v>
      </c>
      <c r="C4" t="s">
        <v>6</v>
      </c>
      <c r="D4" t="s">
        <v>7</v>
      </c>
      <c r="E4">
        <v>17.196560687862402</v>
      </c>
      <c r="F4">
        <v>17.196560687862402</v>
      </c>
      <c r="G4">
        <v>17.196560687862402</v>
      </c>
      <c r="H4">
        <v>35.109644737719201</v>
      </c>
      <c r="I4">
        <v>38.692261547690499</v>
      </c>
      <c r="J4">
        <v>38.692261547690499</v>
      </c>
      <c r="K4">
        <v>38.692261547690499</v>
      </c>
      <c r="L4">
        <v>38.692261547690499</v>
      </c>
      <c r="M4">
        <v>38.692261547690499</v>
      </c>
      <c r="N4">
        <v>38.692261547690499</v>
      </c>
      <c r="O4">
        <v>38.692261547690499</v>
      </c>
      <c r="P4">
        <v>38.692261547690499</v>
      </c>
      <c r="Q4">
        <v>38.692261547690499</v>
      </c>
      <c r="R4">
        <v>38.692261547690499</v>
      </c>
      <c r="S4">
        <v>38.378708983203403</v>
      </c>
      <c r="T4">
        <v>34.929630773845197</v>
      </c>
      <c r="U4">
        <v>34.929630773845197</v>
      </c>
      <c r="V4">
        <v>34.929630773845197</v>
      </c>
      <c r="W4">
        <v>34.929630773845197</v>
      </c>
      <c r="X4">
        <v>33.846164319636102</v>
      </c>
      <c r="Y4">
        <v>34.369458401519701</v>
      </c>
      <c r="Z4">
        <v>38.561658515663503</v>
      </c>
      <c r="AA4">
        <v>39.276429270145996</v>
      </c>
      <c r="AB4">
        <v>39.276429270145996</v>
      </c>
      <c r="AC4">
        <v>39.276429270145996</v>
      </c>
      <c r="AD4">
        <v>39.276429270145996</v>
      </c>
      <c r="AE4">
        <v>39.276429270145996</v>
      </c>
      <c r="AF4">
        <v>39.276429270145996</v>
      </c>
      <c r="AG4">
        <v>39.276429270145996</v>
      </c>
      <c r="AH4">
        <v>39.276429270145996</v>
      </c>
      <c r="AI4">
        <v>39.276429270145996</v>
      </c>
      <c r="AJ4">
        <v>39.276429270145996</v>
      </c>
      <c r="AK4">
        <v>39.276429270145996</v>
      </c>
      <c r="AL4">
        <v>39.276429270145996</v>
      </c>
      <c r="AM4">
        <v>38.818463000000001</v>
      </c>
      <c r="AN4">
        <v>36.567144623655899</v>
      </c>
      <c r="AO4">
        <v>47.5</v>
      </c>
      <c r="AP4">
        <v>47.5</v>
      </c>
      <c r="AQ4">
        <v>47.5</v>
      </c>
      <c r="AR4">
        <v>46.619531077188903</v>
      </c>
      <c r="AS4">
        <v>47.357574731182801</v>
      </c>
      <c r="AT4">
        <v>47.500014516128999</v>
      </c>
      <c r="AU4">
        <v>47.262999999999998</v>
      </c>
      <c r="AV4">
        <v>48.7627535833333</v>
      </c>
      <c r="AW4">
        <v>47.845312499999999</v>
      </c>
      <c r="AX4">
        <v>49.494597499999998</v>
      </c>
      <c r="AY4">
        <v>49.925330833333298</v>
      </c>
      <c r="AZ4">
        <v>49.962017770397203</v>
      </c>
      <c r="BA4">
        <v>50.249614743589703</v>
      </c>
      <c r="BB4">
        <v>50.325000000000003</v>
      </c>
      <c r="BC4">
        <v>46.452461001317502</v>
      </c>
      <c r="BD4">
        <v>46.747007738580997</v>
      </c>
      <c r="BE4">
        <v>50.921399999999998</v>
      </c>
      <c r="BF4">
        <v>55.377499999999998</v>
      </c>
      <c r="BG4">
        <v>57.247500000000002</v>
      </c>
      <c r="BH4">
        <v>61.143461541666703</v>
      </c>
      <c r="BI4">
        <v>67.866085769230807</v>
      </c>
      <c r="BJ4">
        <v>68.026904082231198</v>
      </c>
      <c r="BK4">
        <v>72.083247177304003</v>
      </c>
      <c r="BL4">
        <v>77.737949178336706</v>
      </c>
      <c r="BM4">
        <v>76.813536435489695</v>
      </c>
    </row>
    <row r="5" spans="1:70" x14ac:dyDescent="0.3">
      <c r="A5" t="s">
        <v>12</v>
      </c>
      <c r="B5" t="s">
        <v>13</v>
      </c>
      <c r="C5" t="s">
        <v>6</v>
      </c>
      <c r="D5" t="s">
        <v>7</v>
      </c>
    </row>
    <row r="6" spans="1:70" x14ac:dyDescent="0.3">
      <c r="A6" t="s">
        <v>14</v>
      </c>
      <c r="B6" t="s">
        <v>15</v>
      </c>
      <c r="C6" t="s">
        <v>6</v>
      </c>
      <c r="D6" t="s">
        <v>7</v>
      </c>
      <c r="E6" s="1">
        <v>2.8668443333333301E-8</v>
      </c>
      <c r="F6" s="1">
        <v>2.8734860000000001E-8</v>
      </c>
      <c r="G6" s="1">
        <v>2.8678443333333299E-8</v>
      </c>
      <c r="H6" s="1">
        <v>2.8752026666666701E-8</v>
      </c>
      <c r="I6" s="1">
        <v>2.8819776666666698E-8</v>
      </c>
      <c r="J6" s="1">
        <v>2.8778526666666701E-8</v>
      </c>
      <c r="K6" s="1">
        <v>2.8823859999999999E-8</v>
      </c>
      <c r="L6" s="1">
        <v>2.8841609999999999E-8</v>
      </c>
      <c r="M6" s="1">
        <v>2.8727609999999999E-8</v>
      </c>
      <c r="N6" s="1">
        <v>2.8561193333333301E-8</v>
      </c>
      <c r="O6" s="1">
        <v>2.8625109999999999E-8</v>
      </c>
      <c r="P6" s="1">
        <v>2.8191119999999999E-8</v>
      </c>
      <c r="Q6" s="1">
        <v>2.7052815000000001E-8</v>
      </c>
      <c r="R6" s="1">
        <v>2.4514619999999999E-8</v>
      </c>
      <c r="S6" s="1">
        <v>2.5407600833333301E-8</v>
      </c>
      <c r="T6" s="1">
        <v>2.5552180833333302E-8</v>
      </c>
      <c r="U6" s="1">
        <v>2.9383623333333298E-8</v>
      </c>
      <c r="V6" s="1">
        <v>2.9917999999999997E-8</v>
      </c>
      <c r="W6" s="1">
        <v>2.9917999999999997E-8</v>
      </c>
      <c r="X6" s="1">
        <v>2.9917999999999997E-8</v>
      </c>
      <c r="Y6" s="1">
        <v>2.9917999999999997E-8</v>
      </c>
      <c r="Z6" s="1">
        <v>2.9917999999999997E-8</v>
      </c>
      <c r="AA6" s="1">
        <v>2.9917999999999997E-8</v>
      </c>
      <c r="AB6" s="1">
        <v>2.9917999999999997E-8</v>
      </c>
      <c r="AC6" s="1">
        <v>2.9917999999999997E-8</v>
      </c>
      <c r="AD6" s="1">
        <v>2.9917999999999997E-8</v>
      </c>
      <c r="AE6" s="1">
        <v>2.9917999999999997E-8</v>
      </c>
      <c r="AF6" s="1">
        <v>2.9917999999999997E-8</v>
      </c>
      <c r="AG6" s="1">
        <v>2.9917999999999997E-8</v>
      </c>
      <c r="AH6" s="1">
        <v>2.9917999999999997E-8</v>
      </c>
      <c r="AI6" s="1">
        <v>2.9917999999999997E-8</v>
      </c>
      <c r="AJ6" s="1">
        <v>5.5098333333333397E-8</v>
      </c>
      <c r="AK6" s="1">
        <v>2.5141666666666701E-7</v>
      </c>
      <c r="AL6" s="1">
        <v>2.6601666666666699E-6</v>
      </c>
      <c r="AM6" s="1">
        <v>5.9515000000000002E-5</v>
      </c>
      <c r="AN6">
        <v>2.7502295833333299E-3</v>
      </c>
      <c r="AO6">
        <v>0.128029166666667</v>
      </c>
      <c r="AP6">
        <v>0.22904008333333301</v>
      </c>
      <c r="AQ6">
        <v>0.3928235175</v>
      </c>
      <c r="AR6">
        <v>2.7907061666666699</v>
      </c>
      <c r="AS6">
        <v>10.040544166666701</v>
      </c>
      <c r="AT6">
        <v>22.0578616666667</v>
      </c>
      <c r="AU6">
        <v>43.5302066666667</v>
      </c>
      <c r="AV6">
        <v>74.606300833333293</v>
      </c>
      <c r="AW6">
        <v>83.541362500000005</v>
      </c>
      <c r="AX6">
        <v>87.159141666666699</v>
      </c>
      <c r="AY6">
        <v>80.368072055555501</v>
      </c>
      <c r="AZ6">
        <v>76.706142749999998</v>
      </c>
      <c r="BA6">
        <v>75.033354166666697</v>
      </c>
      <c r="BB6">
        <v>79.328166666666704</v>
      </c>
      <c r="BC6">
        <v>91.905720340501802</v>
      </c>
      <c r="BD6">
        <v>93.934749999999994</v>
      </c>
      <c r="BE6">
        <v>95.467955421311004</v>
      </c>
      <c r="BF6">
        <v>96.518279479152596</v>
      </c>
      <c r="BG6">
        <v>98.302416855633496</v>
      </c>
      <c r="BH6">
        <v>120.060701665019</v>
      </c>
      <c r="BI6">
        <v>163.65643411657899</v>
      </c>
      <c r="BJ6">
        <v>165.91595069149801</v>
      </c>
      <c r="BK6">
        <v>252.85574773129699</v>
      </c>
      <c r="BL6">
        <v>364.82580498088703</v>
      </c>
      <c r="BM6">
        <v>578.25878028011005</v>
      </c>
      <c r="BN6">
        <v>631.44195550672703</v>
      </c>
      <c r="BO6">
        <v>460.56751163146203</v>
      </c>
      <c r="BP6">
        <v>685.02023776144904</v>
      </c>
      <c r="BQ6">
        <v>869.84618959000795</v>
      </c>
    </row>
    <row r="7" spans="1:70" x14ac:dyDescent="0.3">
      <c r="A7" t="s">
        <v>16</v>
      </c>
      <c r="B7" t="s">
        <v>17</v>
      </c>
      <c r="C7" t="s">
        <v>6</v>
      </c>
      <c r="D7" t="s">
        <v>7</v>
      </c>
      <c r="AK7">
        <v>75.032499999999999</v>
      </c>
      <c r="AL7">
        <v>102.0625</v>
      </c>
      <c r="AM7">
        <v>94.623333333333306</v>
      </c>
      <c r="AN7">
        <v>92.697500000000005</v>
      </c>
      <c r="AO7">
        <v>104.498916666667</v>
      </c>
      <c r="AP7">
        <v>148.93291666666701</v>
      </c>
      <c r="AQ7">
        <v>150.63333333333301</v>
      </c>
      <c r="AR7">
        <v>137.690583333333</v>
      </c>
      <c r="AS7">
        <v>143.70941666666701</v>
      </c>
      <c r="AT7">
        <v>143.484833333333</v>
      </c>
      <c r="AU7">
        <v>140.15451587499999</v>
      </c>
      <c r="AV7">
        <v>121.86324999999999</v>
      </c>
      <c r="AW7">
        <v>102.780051196172</v>
      </c>
      <c r="AX7">
        <v>99.870254480899206</v>
      </c>
      <c r="AY7">
        <v>98.103377091269806</v>
      </c>
      <c r="AZ7">
        <v>90.427893831070804</v>
      </c>
      <c r="BA7">
        <v>83.894604100529094</v>
      </c>
      <c r="BB7">
        <v>94.978119820384293</v>
      </c>
      <c r="BC7">
        <v>103.93666666666699</v>
      </c>
      <c r="BD7">
        <v>100.895833333333</v>
      </c>
      <c r="BE7">
        <v>108.184166666667</v>
      </c>
      <c r="BF7">
        <v>105.669166666667</v>
      </c>
      <c r="BG7">
        <v>105.48</v>
      </c>
      <c r="BH7">
        <v>125.961666666667</v>
      </c>
      <c r="BI7">
        <v>124.1425</v>
      </c>
      <c r="BJ7">
        <v>119.1</v>
      </c>
      <c r="BK7">
        <v>107.989166666667</v>
      </c>
      <c r="BL7">
        <v>109.850833333333</v>
      </c>
      <c r="BM7">
        <v>108.65</v>
      </c>
      <c r="BN7">
        <v>103.52</v>
      </c>
      <c r="BO7">
        <v>113.041666666667</v>
      </c>
      <c r="BP7">
        <v>100.645</v>
      </c>
      <c r="BQ7">
        <v>93.123333333333306</v>
      </c>
    </row>
    <row r="8" spans="1:70" x14ac:dyDescent="0.3">
      <c r="A8" t="s">
        <v>18</v>
      </c>
      <c r="B8" t="s">
        <v>19</v>
      </c>
      <c r="C8" t="s">
        <v>6</v>
      </c>
      <c r="D8" t="s">
        <v>7</v>
      </c>
      <c r="BN8">
        <v>0.84537656436794495</v>
      </c>
      <c r="BO8">
        <v>0.95091553396210804</v>
      </c>
      <c r="BP8">
        <v>0.92470962298735604</v>
      </c>
      <c r="BQ8">
        <v>0.92436744727026698</v>
      </c>
    </row>
    <row r="9" spans="1:70" x14ac:dyDescent="0.3">
      <c r="A9" t="s">
        <v>20</v>
      </c>
      <c r="B9" t="s">
        <v>21</v>
      </c>
      <c r="C9" t="s">
        <v>6</v>
      </c>
      <c r="D9" t="s">
        <v>7</v>
      </c>
    </row>
    <row r="10" spans="1:70" x14ac:dyDescent="0.3">
      <c r="A10" t="s">
        <v>22</v>
      </c>
      <c r="B10" t="s">
        <v>23</v>
      </c>
      <c r="C10" t="s">
        <v>6</v>
      </c>
      <c r="D10" t="s">
        <v>7</v>
      </c>
      <c r="K10">
        <v>4.7619000037618999</v>
      </c>
      <c r="L10">
        <v>4.7619000037618999</v>
      </c>
      <c r="M10">
        <v>4.7619000037618999</v>
      </c>
      <c r="N10">
        <v>4.7619000037618999</v>
      </c>
      <c r="O10">
        <v>4.7619000037618999</v>
      </c>
      <c r="P10">
        <v>4.7479628848644202</v>
      </c>
      <c r="Q10">
        <v>4.3859778425048797</v>
      </c>
      <c r="R10">
        <v>3.9962713138644301</v>
      </c>
      <c r="S10">
        <v>3.95904515568157</v>
      </c>
      <c r="T10">
        <v>3.9612849990000001</v>
      </c>
      <c r="U10">
        <v>3.9530724990000001</v>
      </c>
      <c r="V10">
        <v>3.9032474989999999</v>
      </c>
      <c r="W10">
        <v>3.8712108323333401</v>
      </c>
      <c r="X10">
        <v>3.81567583233333</v>
      </c>
      <c r="Y10">
        <v>3.7073649990000002</v>
      </c>
      <c r="Z10">
        <v>3.6709999990000002</v>
      </c>
      <c r="AA10">
        <v>3.6709999990000002</v>
      </c>
      <c r="AB10">
        <v>3.6709999990000002</v>
      </c>
      <c r="AC10">
        <v>3.67099999958333</v>
      </c>
      <c r="AD10">
        <v>3.6709999999999998</v>
      </c>
      <c r="AE10">
        <v>3.6709999999999998</v>
      </c>
      <c r="AF10">
        <v>3.6709999999999998</v>
      </c>
      <c r="AG10">
        <v>3.6709999999999998</v>
      </c>
      <c r="AH10">
        <v>3.6709999999999998</v>
      </c>
      <c r="AI10">
        <v>3.6709999999999998</v>
      </c>
      <c r="AJ10">
        <v>3.6709999999999998</v>
      </c>
      <c r="AK10">
        <v>3.6709999999999998</v>
      </c>
      <c r="AL10">
        <v>3.6709999999999998</v>
      </c>
      <c r="AM10">
        <v>3.6709999999999998</v>
      </c>
      <c r="AN10">
        <v>3.6709999999999998</v>
      </c>
      <c r="AO10">
        <v>3.6709999999999998</v>
      </c>
      <c r="AP10">
        <v>3.671125</v>
      </c>
      <c r="AQ10">
        <v>3.6724999999999999</v>
      </c>
      <c r="AR10">
        <v>3.6724999999999999</v>
      </c>
      <c r="AS10">
        <v>3.6724999999999999</v>
      </c>
      <c r="AT10">
        <v>3.6724999999999999</v>
      </c>
      <c r="AU10">
        <v>3.6724999999999999</v>
      </c>
      <c r="AV10">
        <v>3.6724999999999999</v>
      </c>
      <c r="AW10">
        <v>3.6724999999999999</v>
      </c>
      <c r="AX10">
        <v>3.6724999999999999</v>
      </c>
      <c r="AY10">
        <v>3.6724999999999999</v>
      </c>
      <c r="AZ10">
        <v>3.6724999999999999</v>
      </c>
      <c r="BA10">
        <v>3.6724999999999999</v>
      </c>
      <c r="BB10">
        <v>3.6724999999999999</v>
      </c>
      <c r="BC10">
        <v>3.6724999999999999</v>
      </c>
      <c r="BD10">
        <v>3.6724999999999999</v>
      </c>
      <c r="BE10">
        <v>3.6724999999999999</v>
      </c>
      <c r="BF10">
        <v>3.6724999999999999</v>
      </c>
      <c r="BG10">
        <v>3.6724999999999999</v>
      </c>
      <c r="BH10">
        <v>3.6724999999999999</v>
      </c>
      <c r="BI10">
        <v>3.6724999999999999</v>
      </c>
      <c r="BJ10">
        <v>3.6724999999999999</v>
      </c>
      <c r="BK10">
        <v>3.6724999999999999</v>
      </c>
      <c r="BL10">
        <v>3.6724999999999999</v>
      </c>
      <c r="BM10">
        <v>3.6724999999999999</v>
      </c>
      <c r="BN10">
        <v>3.6724999999999999</v>
      </c>
      <c r="BO10">
        <v>3.6724999999999999</v>
      </c>
      <c r="BP10">
        <v>3.6724999999999999</v>
      </c>
      <c r="BQ10">
        <v>3.6724999999999999</v>
      </c>
    </row>
    <row r="11" spans="1:70" x14ac:dyDescent="0.3">
      <c r="A11" t="s">
        <v>24</v>
      </c>
      <c r="B11" t="s">
        <v>25</v>
      </c>
      <c r="C11" t="s">
        <v>6</v>
      </c>
      <c r="D11" t="s">
        <v>7</v>
      </c>
      <c r="H11" s="1">
        <v>1.3871666666625E-11</v>
      </c>
      <c r="I11" s="1">
        <v>1.4039166666616699E-11</v>
      </c>
      <c r="J11" s="1">
        <v>1.69566666666417E-11</v>
      </c>
      <c r="K11" s="1">
        <v>2.0914999999966699E-11</v>
      </c>
      <c r="L11" s="1">
        <v>3.3342499999991702E-11</v>
      </c>
      <c r="M11" s="1">
        <v>3.5000000000000002E-11</v>
      </c>
      <c r="N11" s="1">
        <v>3.5000000000000002E-11</v>
      </c>
      <c r="O11" s="1">
        <v>3.7916666656666698E-11</v>
      </c>
      <c r="P11" s="1">
        <v>4.5216666656666701E-11</v>
      </c>
      <c r="Q11" s="1">
        <v>4.9999999990000002E-11</v>
      </c>
      <c r="R11" s="1">
        <v>4.9999999990000002E-11</v>
      </c>
      <c r="S11" s="1">
        <v>4.9999999990000002E-11</v>
      </c>
      <c r="T11" s="1">
        <v>3.6574999999500001E-10</v>
      </c>
      <c r="U11" s="1">
        <v>1.39983333333167E-9</v>
      </c>
      <c r="V11" s="1">
        <v>4.0763333333283401E-9</v>
      </c>
      <c r="W11" s="1">
        <v>7.9574999999958296E-9</v>
      </c>
      <c r="X11" s="1">
        <v>1.31696666666408E-8</v>
      </c>
      <c r="Y11" s="1">
        <v>1.83715833333225E-8</v>
      </c>
      <c r="Z11" s="1">
        <v>4.4026916666672502E-8</v>
      </c>
      <c r="AA11" s="1">
        <v>2.5922533333326298E-7</v>
      </c>
      <c r="AB11" s="1">
        <v>1.05299574995841E-6</v>
      </c>
      <c r="AC11" s="1">
        <v>6.7649116666E-6</v>
      </c>
      <c r="AD11" s="1">
        <v>6.0180899999999998E-5</v>
      </c>
      <c r="AE11" s="1">
        <v>9.4303166666666696E-5</v>
      </c>
      <c r="AF11">
        <v>2.1442983333333301E-4</v>
      </c>
      <c r="AG11">
        <v>8.7526041666666698E-4</v>
      </c>
      <c r="AH11">
        <v>4.2333960833333302E-2</v>
      </c>
      <c r="AI11">
        <v>0.48758908333333301</v>
      </c>
      <c r="AJ11">
        <v>0.95355441666666696</v>
      </c>
      <c r="AK11">
        <v>0.99064166666666698</v>
      </c>
      <c r="AL11">
        <v>0.99894583333333298</v>
      </c>
      <c r="AM11">
        <v>0.99900833333333305</v>
      </c>
      <c r="AN11">
        <v>0.99975000000000003</v>
      </c>
      <c r="AO11">
        <v>0.99966250000000001</v>
      </c>
      <c r="AP11">
        <v>0.99950000000000006</v>
      </c>
      <c r="AQ11">
        <v>0.99950000000000006</v>
      </c>
      <c r="AR11">
        <v>0.99950000000000006</v>
      </c>
      <c r="AS11">
        <v>0.99950000000000006</v>
      </c>
      <c r="AT11">
        <v>0.99950000000000006</v>
      </c>
      <c r="AU11">
        <v>3.0632566666666698</v>
      </c>
      <c r="AV11">
        <v>2.9006291666666701</v>
      </c>
      <c r="AW11">
        <v>2.9233008189033201</v>
      </c>
      <c r="AX11">
        <v>2.9036575</v>
      </c>
      <c r="AY11">
        <v>3.0543133333333299</v>
      </c>
      <c r="AZ11">
        <v>3.0956488492063499</v>
      </c>
      <c r="BA11">
        <v>3.14416455988456</v>
      </c>
      <c r="BB11">
        <v>3.7101068305232801</v>
      </c>
      <c r="BC11">
        <v>3.8962951544704998</v>
      </c>
      <c r="BD11">
        <v>4.1101395762132604</v>
      </c>
      <c r="BE11">
        <v>4.5369343601874599</v>
      </c>
      <c r="BF11">
        <v>5.4593526646570396</v>
      </c>
      <c r="BG11">
        <v>8.0752759928133404</v>
      </c>
      <c r="BH11">
        <v>9.2331855247242896</v>
      </c>
      <c r="BI11">
        <v>14.7581750873396</v>
      </c>
      <c r="BJ11">
        <v>16.5627069251411</v>
      </c>
      <c r="BK11">
        <v>28.094991666666701</v>
      </c>
      <c r="BL11">
        <v>48.147891666666702</v>
      </c>
      <c r="BM11">
        <v>70.539166666666702</v>
      </c>
      <c r="BN11">
        <v>94.990741666666693</v>
      </c>
      <c r="BO11">
        <v>130.61654999999999</v>
      </c>
      <c r="BP11">
        <v>296.258041666667</v>
      </c>
      <c r="BQ11">
        <v>914.694883333333</v>
      </c>
    </row>
    <row r="12" spans="1:70" x14ac:dyDescent="0.3">
      <c r="A12" t="s">
        <v>26</v>
      </c>
      <c r="B12" t="s">
        <v>27</v>
      </c>
      <c r="C12" t="s">
        <v>6</v>
      </c>
      <c r="D12" t="s">
        <v>7</v>
      </c>
      <c r="AL12">
        <v>9.1050000000000004</v>
      </c>
      <c r="AM12">
        <v>288.65083333333303</v>
      </c>
      <c r="AN12">
        <v>405.90833333333302</v>
      </c>
      <c r="AO12">
        <v>414.04149999999998</v>
      </c>
      <c r="AP12">
        <v>490.84678574999998</v>
      </c>
      <c r="AQ12">
        <v>504.91500000000002</v>
      </c>
      <c r="AR12">
        <v>535.06183333333399</v>
      </c>
      <c r="AS12">
        <v>539.52583333333303</v>
      </c>
      <c r="AT12">
        <v>555.078258333333</v>
      </c>
      <c r="AU12">
        <v>573.35333333333301</v>
      </c>
      <c r="AV12">
        <v>578.76295454545402</v>
      </c>
      <c r="AW12">
        <v>533.450833333334</v>
      </c>
      <c r="AX12">
        <v>457.68694062915898</v>
      </c>
      <c r="AY12">
        <v>416.04036972454202</v>
      </c>
      <c r="AZ12">
        <v>342.079116208671</v>
      </c>
      <c r="BA12">
        <v>305.96940026193602</v>
      </c>
      <c r="BB12">
        <v>363.28328560606099</v>
      </c>
      <c r="BC12">
        <v>373.66046673881698</v>
      </c>
      <c r="BD12">
        <v>372.50088244871102</v>
      </c>
      <c r="BE12">
        <v>401.76397562691602</v>
      </c>
      <c r="BF12">
        <v>409.625749270293</v>
      </c>
      <c r="BG12">
        <v>415.91978920493801</v>
      </c>
      <c r="BH12">
        <v>477.91830657609898</v>
      </c>
      <c r="BI12">
        <v>480.48815077796598</v>
      </c>
      <c r="BJ12">
        <v>482.71639384912902</v>
      </c>
      <c r="BK12">
        <v>482.98794659023503</v>
      </c>
      <c r="BL12">
        <v>480.44512876712002</v>
      </c>
      <c r="BM12">
        <v>489.008858590915</v>
      </c>
      <c r="BN12">
        <v>503.76967496165202</v>
      </c>
      <c r="BO12">
        <v>435.6661796523</v>
      </c>
      <c r="BP12">
        <v>392.47630215897101</v>
      </c>
      <c r="BQ12">
        <v>392.72955139908402</v>
      </c>
    </row>
    <row r="13" spans="1:70" x14ac:dyDescent="0.3">
      <c r="A13" t="s">
        <v>28</v>
      </c>
      <c r="B13" t="s">
        <v>29</v>
      </c>
      <c r="C13" t="s">
        <v>6</v>
      </c>
      <c r="D13" t="s">
        <v>7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</row>
    <row r="14" spans="1:70" x14ac:dyDescent="0.3">
      <c r="A14" t="s">
        <v>30</v>
      </c>
      <c r="B14" t="s">
        <v>31</v>
      </c>
      <c r="C14" t="s">
        <v>6</v>
      </c>
      <c r="D14" t="s">
        <v>7</v>
      </c>
      <c r="E14">
        <v>1.7142900007142901</v>
      </c>
      <c r="F14">
        <v>1.7142900007142901</v>
      </c>
      <c r="G14">
        <v>1.7142900007142901</v>
      </c>
      <c r="H14">
        <v>1.7142900007142901</v>
      </c>
      <c r="I14">
        <v>1.7142900007142901</v>
      </c>
      <c r="J14">
        <v>1.7142900007142901</v>
      </c>
      <c r="K14">
        <v>1.7142900007142901</v>
      </c>
      <c r="L14">
        <v>1.7619083340952399</v>
      </c>
      <c r="M14">
        <v>2.0000000010000001</v>
      </c>
      <c r="N14">
        <v>2.0000000010000001</v>
      </c>
      <c r="O14">
        <v>2.0000000010000001</v>
      </c>
      <c r="P14">
        <v>1.97487273321145</v>
      </c>
      <c r="Q14">
        <v>1.9212781494760101</v>
      </c>
      <c r="R14">
        <v>1.9592192359816101</v>
      </c>
      <c r="S14">
        <v>2.0532324085176299</v>
      </c>
      <c r="T14">
        <v>2.16979583233333</v>
      </c>
      <c r="U14">
        <v>2.6146708328333301</v>
      </c>
      <c r="V14">
        <v>2.7</v>
      </c>
      <c r="W14">
        <v>2.7</v>
      </c>
      <c r="X14">
        <v>2.7</v>
      </c>
      <c r="Y14">
        <v>2.7</v>
      </c>
      <c r="Z14">
        <v>2.7</v>
      </c>
      <c r="AA14">
        <v>2.7</v>
      </c>
      <c r="AB14">
        <v>2.7</v>
      </c>
      <c r="AC14">
        <v>2.7</v>
      </c>
      <c r="AD14">
        <v>2.7</v>
      </c>
      <c r="AE14">
        <v>2.7</v>
      </c>
      <c r="AF14">
        <v>2.7</v>
      </c>
      <c r="AG14">
        <v>2.7</v>
      </c>
      <c r="AH14">
        <v>2.7</v>
      </c>
      <c r="AI14">
        <v>2.7</v>
      </c>
      <c r="AJ14">
        <v>2.7</v>
      </c>
      <c r="AK14">
        <v>2.7</v>
      </c>
      <c r="AL14">
        <v>2.7</v>
      </c>
      <c r="AM14">
        <v>2.7</v>
      </c>
      <c r="AN14">
        <v>2.7</v>
      </c>
      <c r="AO14">
        <v>2.7</v>
      </c>
      <c r="AP14">
        <v>2.7</v>
      </c>
      <c r="AQ14">
        <v>2.7</v>
      </c>
      <c r="AR14">
        <v>2.7</v>
      </c>
      <c r="AS14">
        <v>2.7</v>
      </c>
      <c r="AT14">
        <v>2.7</v>
      </c>
      <c r="AU14">
        <v>2.7</v>
      </c>
      <c r="AV14">
        <v>2.7</v>
      </c>
      <c r="AW14">
        <v>2.7</v>
      </c>
      <c r="AX14">
        <v>2.7</v>
      </c>
      <c r="AY14">
        <v>2.7</v>
      </c>
      <c r="AZ14">
        <v>2.7</v>
      </c>
      <c r="BA14">
        <v>2.7</v>
      </c>
      <c r="BB14">
        <v>2.7</v>
      </c>
      <c r="BC14">
        <v>2.7</v>
      </c>
      <c r="BD14">
        <v>2.7</v>
      </c>
      <c r="BE14">
        <v>2.7</v>
      </c>
      <c r="BF14">
        <v>2.7</v>
      </c>
      <c r="BG14">
        <v>2.7</v>
      </c>
      <c r="BH14">
        <v>2.7</v>
      </c>
      <c r="BI14">
        <v>2.7</v>
      </c>
      <c r="BJ14">
        <v>2.7</v>
      </c>
      <c r="BK14">
        <v>2.7</v>
      </c>
      <c r="BL14">
        <v>2.7</v>
      </c>
      <c r="BM14">
        <v>2.7</v>
      </c>
      <c r="BN14">
        <v>2.7</v>
      </c>
      <c r="BO14">
        <v>2.7</v>
      </c>
      <c r="BP14">
        <v>2.7</v>
      </c>
      <c r="BQ14">
        <v>2.7</v>
      </c>
    </row>
    <row r="15" spans="1:70" x14ac:dyDescent="0.3">
      <c r="A15" t="s">
        <v>32</v>
      </c>
      <c r="B15" t="s">
        <v>33</v>
      </c>
      <c r="C15" t="s">
        <v>6</v>
      </c>
      <c r="D15" t="s">
        <v>7</v>
      </c>
      <c r="E15">
        <v>0.89285699989285705</v>
      </c>
      <c r="F15">
        <v>0.89285699989285705</v>
      </c>
      <c r="G15">
        <v>0.89285699989285705</v>
      </c>
      <c r="H15">
        <v>0.89285699989285705</v>
      </c>
      <c r="I15">
        <v>0.89285699989285705</v>
      </c>
      <c r="J15">
        <v>0.89285699989285705</v>
      </c>
      <c r="K15">
        <v>0.89285699989285705</v>
      </c>
      <c r="L15">
        <v>0.89285699989285705</v>
      </c>
      <c r="M15">
        <v>0.89285699989285705</v>
      </c>
      <c r="N15">
        <v>0.89285699989285705</v>
      </c>
      <c r="O15">
        <v>0.89285699989285705</v>
      </c>
      <c r="P15">
        <v>0.88267025929554799</v>
      </c>
      <c r="Q15">
        <v>0.838697807262207</v>
      </c>
      <c r="R15">
        <v>0.70411390796665796</v>
      </c>
      <c r="S15">
        <v>0.69666586863809599</v>
      </c>
      <c r="T15">
        <v>0.76387124900000003</v>
      </c>
      <c r="U15">
        <v>0.81828408233333305</v>
      </c>
      <c r="V15">
        <v>0.90182499900000002</v>
      </c>
      <c r="W15">
        <v>0.87365924900000003</v>
      </c>
      <c r="X15">
        <v>0.89464091566666604</v>
      </c>
      <c r="Y15">
        <v>0.87824433233333299</v>
      </c>
      <c r="Z15">
        <v>0.87021458233333304</v>
      </c>
      <c r="AA15">
        <v>0.98586283233333305</v>
      </c>
      <c r="AB15">
        <v>1.1100149991666699</v>
      </c>
      <c r="AC15">
        <v>1.1395191659166699</v>
      </c>
      <c r="AD15">
        <v>1.4318949995000001</v>
      </c>
      <c r="AE15">
        <v>1.4959741664166699</v>
      </c>
      <c r="AF15">
        <v>1.42818</v>
      </c>
      <c r="AG15">
        <v>1.2799083333333301</v>
      </c>
      <c r="AH15">
        <v>1.2645966666666699</v>
      </c>
      <c r="AI15">
        <v>1.2810566666666701</v>
      </c>
      <c r="AJ15">
        <v>1.2837558333333301</v>
      </c>
      <c r="AK15">
        <v>1.36164833333333</v>
      </c>
      <c r="AL15">
        <v>1.4705600000000001</v>
      </c>
      <c r="AM15">
        <v>1.3677508333333299</v>
      </c>
      <c r="AN15">
        <v>1.3490325000000001</v>
      </c>
      <c r="AO15">
        <v>1.27786333333333</v>
      </c>
      <c r="AP15">
        <v>1.34738</v>
      </c>
      <c r="AQ15">
        <v>1.5918283333333301</v>
      </c>
      <c r="AR15">
        <v>1.5499499999999999</v>
      </c>
      <c r="AS15">
        <v>1.7248266666666701</v>
      </c>
      <c r="AT15">
        <v>1.9334425</v>
      </c>
      <c r="AU15">
        <v>1.8405625000000001</v>
      </c>
      <c r="AV15">
        <v>1.54191416666667</v>
      </c>
      <c r="AW15">
        <v>1.3597524999999999</v>
      </c>
      <c r="AX15">
        <v>1.3094733333333299</v>
      </c>
      <c r="AY15">
        <v>1.3279734405000001</v>
      </c>
      <c r="AZ15">
        <v>1.1950725</v>
      </c>
      <c r="BA15">
        <v>1.19217833333333</v>
      </c>
      <c r="BB15">
        <v>1.28218881008452</v>
      </c>
      <c r="BC15">
        <v>1.0901594863867701</v>
      </c>
      <c r="BD15">
        <v>0.96946320149673504</v>
      </c>
      <c r="BE15">
        <v>0.96580103065870804</v>
      </c>
      <c r="BF15">
        <v>1.0358430965205401</v>
      </c>
      <c r="BG15">
        <v>1.1093632928169199</v>
      </c>
      <c r="BH15">
        <v>1.33109026245502</v>
      </c>
      <c r="BI15">
        <v>1.3452139760194699</v>
      </c>
      <c r="BJ15">
        <v>1.3047580767159199</v>
      </c>
      <c r="BK15">
        <v>1.33841214646451</v>
      </c>
      <c r="BL15">
        <v>1.4385065442138201</v>
      </c>
      <c r="BM15">
        <v>1.4530851184701601</v>
      </c>
      <c r="BN15">
        <v>1.3312242595708099</v>
      </c>
      <c r="BO15">
        <v>1.4416644589652201</v>
      </c>
      <c r="BP15">
        <v>1.50519106560509</v>
      </c>
      <c r="BQ15">
        <v>1.51535803855596</v>
      </c>
    </row>
    <row r="16" spans="1:70" x14ac:dyDescent="0.3">
      <c r="A16" t="s">
        <v>34</v>
      </c>
      <c r="B16" t="s">
        <v>35</v>
      </c>
      <c r="C16" t="s">
        <v>6</v>
      </c>
      <c r="D16" t="s">
        <v>7</v>
      </c>
      <c r="E16">
        <v>26.000000024999999</v>
      </c>
      <c r="F16">
        <v>26.000000024999999</v>
      </c>
      <c r="G16">
        <v>26.000000024999999</v>
      </c>
      <c r="H16">
        <v>26.000000024999999</v>
      </c>
      <c r="I16">
        <v>26.000000024999999</v>
      </c>
      <c r="J16">
        <v>26.000000024999999</v>
      </c>
      <c r="K16">
        <v>26.000000024999999</v>
      </c>
      <c r="L16">
        <v>26.000000024999999</v>
      </c>
      <c r="M16">
        <v>26.000000024999999</v>
      </c>
      <c r="N16">
        <v>26.000000024999999</v>
      </c>
      <c r="O16">
        <v>26.000000024999999</v>
      </c>
      <c r="P16">
        <v>24.985583896139701</v>
      </c>
      <c r="Q16">
        <v>23.1153333323333</v>
      </c>
      <c r="R16">
        <v>19.579999999083299</v>
      </c>
      <c r="S16">
        <v>18.692499998999999</v>
      </c>
      <c r="T16">
        <v>17.416749999166701</v>
      </c>
      <c r="U16">
        <v>17.9396666658333</v>
      </c>
      <c r="V16">
        <v>16.526916666000002</v>
      </c>
      <c r="W16">
        <v>14.521666665750001</v>
      </c>
      <c r="X16">
        <v>13.367499999416699</v>
      </c>
      <c r="Y16">
        <v>12.937999999083299</v>
      </c>
      <c r="Z16">
        <v>15.926833332333301</v>
      </c>
      <c r="AA16">
        <v>17.059249999166699</v>
      </c>
      <c r="AB16">
        <v>17.9633333325</v>
      </c>
      <c r="AC16">
        <v>20.009083332666702</v>
      </c>
      <c r="AD16">
        <v>20.689499999833298</v>
      </c>
      <c r="AE16">
        <v>15.2671333333333</v>
      </c>
      <c r="AF16">
        <v>12.6425</v>
      </c>
      <c r="AG16">
        <v>12.347666666666701</v>
      </c>
      <c r="AH16">
        <v>13.2306666666667</v>
      </c>
      <c r="AI16">
        <v>11.3698333333333</v>
      </c>
      <c r="AJ16">
        <v>11.6759166666667</v>
      </c>
      <c r="AK16">
        <v>10.989333333333301</v>
      </c>
      <c r="AL16">
        <v>11.632182500000001</v>
      </c>
      <c r="AM16">
        <v>11.421824916666701</v>
      </c>
      <c r="AN16">
        <v>10.0814958333333</v>
      </c>
      <c r="AO16">
        <v>10.5865575</v>
      </c>
      <c r="AP16">
        <v>12.204244166666699</v>
      </c>
      <c r="AQ16">
        <v>12.379065000000001</v>
      </c>
      <c r="AR16">
        <v>0.93828307239528297</v>
      </c>
      <c r="AS16">
        <v>1.0827050813260199</v>
      </c>
      <c r="AT16">
        <v>1.1165330856446201</v>
      </c>
      <c r="AU16">
        <v>1.0575589962396501</v>
      </c>
      <c r="AV16">
        <v>0.88404792718492997</v>
      </c>
      <c r="AW16">
        <v>0.80392164774761798</v>
      </c>
      <c r="AX16">
        <v>0.80380019216144205</v>
      </c>
      <c r="AY16">
        <v>0.79643273094910205</v>
      </c>
      <c r="AZ16">
        <v>0.72967239998408295</v>
      </c>
      <c r="BA16">
        <v>0.67992268004272904</v>
      </c>
      <c r="BB16">
        <v>0.71695770201613596</v>
      </c>
      <c r="BC16">
        <v>0.75430899010596097</v>
      </c>
      <c r="BD16">
        <v>0.71841389865331695</v>
      </c>
      <c r="BE16">
        <v>0.77833812041681205</v>
      </c>
      <c r="BF16">
        <v>0.75294512270199598</v>
      </c>
      <c r="BG16">
        <v>0.75272819693260296</v>
      </c>
      <c r="BH16">
        <v>0.90129642336709603</v>
      </c>
      <c r="BI16">
        <v>0.90342143625726301</v>
      </c>
      <c r="BJ16">
        <v>0.88520550826937205</v>
      </c>
      <c r="BK16">
        <v>0.84677266710811105</v>
      </c>
      <c r="BL16">
        <v>0.89327625706740899</v>
      </c>
      <c r="BM16">
        <v>0.87550639698799804</v>
      </c>
      <c r="BN16">
        <v>0.84549413889045</v>
      </c>
      <c r="BO16">
        <v>0.94962375315694103</v>
      </c>
      <c r="BP16">
        <v>0.92483955847069799</v>
      </c>
      <c r="BQ16">
        <v>0.92388954611760699</v>
      </c>
    </row>
    <row r="17" spans="1:69" x14ac:dyDescent="0.3">
      <c r="A17" t="s">
        <v>36</v>
      </c>
      <c r="B17" t="s">
        <v>37</v>
      </c>
      <c r="C17" t="s">
        <v>6</v>
      </c>
      <c r="D17" t="s">
        <v>7</v>
      </c>
      <c r="AK17">
        <v>1.0840000000000001E-2</v>
      </c>
      <c r="AL17">
        <v>1.9994999999999999E-2</v>
      </c>
      <c r="AM17">
        <v>0.31404500000000002</v>
      </c>
      <c r="AN17">
        <v>0.88270850000000001</v>
      </c>
      <c r="AO17">
        <v>0.86025283333333302</v>
      </c>
      <c r="AP17">
        <v>0.79707499999999998</v>
      </c>
      <c r="AQ17">
        <v>0.77379968666666699</v>
      </c>
      <c r="AR17">
        <v>0.82403333333333295</v>
      </c>
      <c r="AS17">
        <v>0.89483075000000001</v>
      </c>
      <c r="AT17">
        <v>0.93131666666666701</v>
      </c>
      <c r="AU17">
        <v>0.97216416666666605</v>
      </c>
      <c r="AV17">
        <v>0.98214599999999996</v>
      </c>
      <c r="AW17">
        <v>0.98269550000000006</v>
      </c>
      <c r="AX17">
        <v>0.94542099999999996</v>
      </c>
      <c r="AY17">
        <v>0.89344500000000004</v>
      </c>
      <c r="AZ17">
        <v>0.85812380824372703</v>
      </c>
      <c r="BA17">
        <v>0.82161957885304704</v>
      </c>
      <c r="BB17">
        <v>0.80378333333333296</v>
      </c>
      <c r="BC17">
        <v>0.80264999999999997</v>
      </c>
      <c r="BD17">
        <v>0.78968638888888898</v>
      </c>
      <c r="BE17">
        <v>0.78564534946236597</v>
      </c>
      <c r="BF17">
        <v>0.784541075268817</v>
      </c>
      <c r="BG17">
        <v>0.78434749999999998</v>
      </c>
      <c r="BH17">
        <v>1.0245638185505901</v>
      </c>
      <c r="BI17">
        <v>1.59572157270424</v>
      </c>
      <c r="BJ17">
        <v>1.72115480222734</v>
      </c>
      <c r="BK17">
        <v>1.7000166666666701</v>
      </c>
      <c r="BL17">
        <v>1.7</v>
      </c>
      <c r="BM17">
        <v>1.7</v>
      </c>
      <c r="BN17">
        <v>1.7</v>
      </c>
      <c r="BO17">
        <v>1.7</v>
      </c>
      <c r="BP17">
        <v>1.7</v>
      </c>
      <c r="BQ17">
        <v>1.7</v>
      </c>
    </row>
    <row r="18" spans="1:69" x14ac:dyDescent="0.3">
      <c r="A18" t="s">
        <v>38</v>
      </c>
      <c r="B18" t="s">
        <v>39</v>
      </c>
      <c r="C18" t="s">
        <v>6</v>
      </c>
      <c r="D18" t="s">
        <v>7</v>
      </c>
      <c r="E18">
        <v>50.000000049000001</v>
      </c>
      <c r="F18">
        <v>50.000000049000001</v>
      </c>
      <c r="G18">
        <v>50.000000049000001</v>
      </c>
      <c r="H18">
        <v>50.000000049000001</v>
      </c>
      <c r="I18">
        <v>50.000000049000001</v>
      </c>
      <c r="J18">
        <v>84.375000080125005</v>
      </c>
      <c r="K18">
        <v>87.500000087499998</v>
      </c>
      <c r="L18">
        <v>87.500000087499998</v>
      </c>
      <c r="M18">
        <v>87.500000087499998</v>
      </c>
      <c r="N18">
        <v>87.500000087499998</v>
      </c>
      <c r="O18">
        <v>87.500000087499998</v>
      </c>
      <c r="P18">
        <v>87.500000080208295</v>
      </c>
      <c r="Q18">
        <v>87.5</v>
      </c>
      <c r="R18">
        <v>80.026083333333304</v>
      </c>
      <c r="S18">
        <v>78.75</v>
      </c>
      <c r="T18">
        <v>78.75</v>
      </c>
      <c r="U18">
        <v>86.25</v>
      </c>
      <c r="V18">
        <v>90</v>
      </c>
      <c r="W18">
        <v>90</v>
      </c>
      <c r="X18">
        <v>90</v>
      </c>
      <c r="Y18">
        <v>90</v>
      </c>
      <c r="Z18">
        <v>90</v>
      </c>
      <c r="AA18">
        <v>90</v>
      </c>
      <c r="AB18">
        <v>92.948333333166701</v>
      </c>
      <c r="AC18">
        <v>119.70916666616699</v>
      </c>
      <c r="AD18">
        <v>120.69074999941699</v>
      </c>
      <c r="AE18">
        <v>114.171083333167</v>
      </c>
      <c r="AF18">
        <v>123.56383333333299</v>
      </c>
      <c r="AG18">
        <v>140.39500000000001</v>
      </c>
      <c r="AH18">
        <v>158.666666666667</v>
      </c>
      <c r="AI18">
        <v>171.255416666667</v>
      </c>
      <c r="AJ18">
        <v>181.512583333333</v>
      </c>
      <c r="AK18">
        <v>208.30266666666699</v>
      </c>
      <c r="AL18">
        <v>242.78</v>
      </c>
      <c r="AM18">
        <v>252.66249999999999</v>
      </c>
      <c r="AN18">
        <v>249.75749999999999</v>
      </c>
      <c r="AO18">
        <v>302.74666666666701</v>
      </c>
      <c r="AP18">
        <v>352.35083333333301</v>
      </c>
      <c r="AQ18">
        <v>447.76583333333298</v>
      </c>
      <c r="AR18">
        <v>563.5625</v>
      </c>
      <c r="AS18">
        <v>720.67333333333295</v>
      </c>
      <c r="AT18">
        <v>830.35333333333301</v>
      </c>
      <c r="AU18">
        <v>930.74916666666604</v>
      </c>
      <c r="AV18">
        <v>1082.6199999999999</v>
      </c>
      <c r="AW18">
        <v>1100.9000000000001</v>
      </c>
      <c r="AX18">
        <v>1081.5771666666701</v>
      </c>
      <c r="AY18">
        <v>1028.6835530000001</v>
      </c>
      <c r="AZ18">
        <v>1081.8696825</v>
      </c>
      <c r="BA18">
        <v>1185.6908333333299</v>
      </c>
      <c r="BB18">
        <v>1230.17916666667</v>
      </c>
      <c r="BC18">
        <v>1230.74833333333</v>
      </c>
      <c r="BD18">
        <v>1261.0733333333301</v>
      </c>
      <c r="BE18">
        <v>1442.505625</v>
      </c>
      <c r="BF18">
        <v>1555.09083333333</v>
      </c>
      <c r="BG18">
        <v>1546.6866666666699</v>
      </c>
      <c r="BH18">
        <v>1571.8983333333299</v>
      </c>
      <c r="BI18">
        <v>1654.62666666667</v>
      </c>
      <c r="BJ18">
        <v>1729.0550000000001</v>
      </c>
      <c r="BK18">
        <v>1782.8768749999999</v>
      </c>
      <c r="BL18">
        <v>1845.62289069697</v>
      </c>
      <c r="BM18">
        <v>1915.0461758333299</v>
      </c>
      <c r="BN18">
        <v>1975.9508813876801</v>
      </c>
      <c r="BO18">
        <v>2034.3066343047201</v>
      </c>
      <c r="BP18">
        <v>2574.0517487932898</v>
      </c>
      <c r="BQ18">
        <v>2885.2454979956701</v>
      </c>
    </row>
    <row r="19" spans="1:69" x14ac:dyDescent="0.3">
      <c r="A19" t="s">
        <v>40</v>
      </c>
      <c r="B19" t="s">
        <v>41</v>
      </c>
      <c r="C19" t="s">
        <v>6</v>
      </c>
      <c r="D19" t="s">
        <v>7</v>
      </c>
      <c r="E19">
        <v>50.000000049000001</v>
      </c>
      <c r="F19">
        <v>50.000000049000001</v>
      </c>
      <c r="G19">
        <v>50.000000049000001</v>
      </c>
      <c r="H19">
        <v>50.000000049000001</v>
      </c>
      <c r="I19">
        <v>50.000000049000001</v>
      </c>
      <c r="J19">
        <v>50.000000049000001</v>
      </c>
      <c r="K19">
        <v>50.000000049000001</v>
      </c>
      <c r="L19">
        <v>50.000000049000001</v>
      </c>
      <c r="M19">
        <v>50.000000049000001</v>
      </c>
      <c r="N19">
        <v>50.000000049000001</v>
      </c>
      <c r="O19">
        <v>50.000000049000001</v>
      </c>
      <c r="P19">
        <v>49.056977421689901</v>
      </c>
      <c r="Q19">
        <v>44.014583332333302</v>
      </c>
      <c r="R19">
        <v>38.976499998999998</v>
      </c>
      <c r="S19">
        <v>38.951499998999999</v>
      </c>
      <c r="T19">
        <v>36.778916665666699</v>
      </c>
      <c r="U19">
        <v>38.605166665666701</v>
      </c>
      <c r="V19">
        <v>35.842749998999999</v>
      </c>
      <c r="W19">
        <v>31.492083332333301</v>
      </c>
      <c r="X19">
        <v>29.318666665666701</v>
      </c>
      <c r="Y19">
        <v>29.24166666575</v>
      </c>
      <c r="Z19">
        <v>37.129249999166703</v>
      </c>
      <c r="AA19">
        <v>45.690583332333297</v>
      </c>
      <c r="AB19">
        <v>51.131666665833301</v>
      </c>
      <c r="AC19">
        <v>57.783916666416701</v>
      </c>
      <c r="AD19">
        <v>59.378</v>
      </c>
      <c r="AE19">
        <v>44.671916666666696</v>
      </c>
      <c r="AF19">
        <v>37.334083333333297</v>
      </c>
      <c r="AG19">
        <v>36.768333333333302</v>
      </c>
      <c r="AH19">
        <v>39.404000000000003</v>
      </c>
      <c r="AI19">
        <v>33.417916666666699</v>
      </c>
      <c r="AJ19">
        <v>34.148249999999997</v>
      </c>
      <c r="AK19">
        <v>32.149500000000003</v>
      </c>
      <c r="AL19">
        <v>34.596520833333301</v>
      </c>
      <c r="AM19">
        <v>33.456497499999998</v>
      </c>
      <c r="AN19">
        <v>29.4800166666667</v>
      </c>
      <c r="AO19">
        <v>30.961513333333301</v>
      </c>
      <c r="AP19">
        <v>35.773890833333297</v>
      </c>
      <c r="AQ19">
        <v>36.298640833333302</v>
      </c>
      <c r="AR19">
        <v>0.93828307239528297</v>
      </c>
      <c r="AS19">
        <v>1.0827050813260199</v>
      </c>
      <c r="AT19">
        <v>1.1165330856446201</v>
      </c>
      <c r="AU19">
        <v>1.0575589962396501</v>
      </c>
      <c r="AV19">
        <v>0.88404792718492997</v>
      </c>
      <c r="AW19">
        <v>0.80392164774761798</v>
      </c>
      <c r="AX19">
        <v>0.80380019216144205</v>
      </c>
      <c r="AY19">
        <v>0.79643273094910205</v>
      </c>
      <c r="AZ19">
        <v>0.72967239998408295</v>
      </c>
      <c r="BA19">
        <v>0.67992268004272904</v>
      </c>
      <c r="BB19">
        <v>0.71695770201613596</v>
      </c>
      <c r="BC19">
        <v>0.75430899010596097</v>
      </c>
      <c r="BD19">
        <v>0.71841389865331695</v>
      </c>
      <c r="BE19">
        <v>0.77833812041681205</v>
      </c>
      <c r="BF19">
        <v>0.75294512270199598</v>
      </c>
      <c r="BG19">
        <v>0.75272819693260296</v>
      </c>
      <c r="BH19">
        <v>0.90129642336709603</v>
      </c>
      <c r="BI19">
        <v>0.90342143625726301</v>
      </c>
      <c r="BJ19">
        <v>0.88520550826937205</v>
      </c>
      <c r="BK19">
        <v>0.84677266710811105</v>
      </c>
      <c r="BL19">
        <v>0.89327625706740899</v>
      </c>
      <c r="BM19">
        <v>0.87550639698799804</v>
      </c>
      <c r="BN19">
        <v>0.84549413889045</v>
      </c>
      <c r="BO19">
        <v>0.94962375315694103</v>
      </c>
      <c r="BP19">
        <v>0.92483955847069799</v>
      </c>
      <c r="BQ19">
        <v>0.92388954611760699</v>
      </c>
    </row>
    <row r="20" spans="1:69" x14ac:dyDescent="0.3">
      <c r="A20" t="s">
        <v>42</v>
      </c>
      <c r="B20" t="s">
        <v>43</v>
      </c>
      <c r="C20" t="s">
        <v>6</v>
      </c>
      <c r="D20" t="s">
        <v>7</v>
      </c>
      <c r="E20">
        <v>245.19510139835899</v>
      </c>
      <c r="F20">
        <v>245.26010162116</v>
      </c>
      <c r="G20">
        <v>245.013850686544</v>
      </c>
      <c r="H20">
        <v>245.01635069607499</v>
      </c>
      <c r="I20">
        <v>245.027184079042</v>
      </c>
      <c r="J20">
        <v>245.06093420770799</v>
      </c>
      <c r="K20">
        <v>245.67843655764401</v>
      </c>
      <c r="L20">
        <v>246.00093779128099</v>
      </c>
      <c r="M20">
        <v>247.56469375695099</v>
      </c>
      <c r="N20">
        <v>259.960574351236</v>
      </c>
      <c r="O20">
        <v>276.403137026845</v>
      </c>
      <c r="P20">
        <v>275.35645668533198</v>
      </c>
      <c r="Q20">
        <v>252.02762746264901</v>
      </c>
      <c r="R20">
        <v>222.88918305322699</v>
      </c>
      <c r="S20">
        <v>240.70466763782301</v>
      </c>
      <c r="T20">
        <v>214.31290034121901</v>
      </c>
      <c r="U20">
        <v>238.95049426705901</v>
      </c>
      <c r="V20">
        <v>245.67968656657601</v>
      </c>
      <c r="W20">
        <v>225.65586023395699</v>
      </c>
      <c r="X20">
        <v>212.721644262377</v>
      </c>
      <c r="Y20">
        <v>211.27955541470499</v>
      </c>
      <c r="Z20">
        <v>271.73145255032699</v>
      </c>
      <c r="AA20">
        <v>328.60625269898998</v>
      </c>
      <c r="AB20">
        <v>381.06603602462798</v>
      </c>
      <c r="AC20">
        <v>436.95666578800802</v>
      </c>
      <c r="AD20">
        <v>449.26296271160697</v>
      </c>
      <c r="AE20">
        <v>346.305903554493</v>
      </c>
      <c r="AF20">
        <v>300.53656240147802</v>
      </c>
      <c r="AG20">
        <v>297.84821881937802</v>
      </c>
      <c r="AH20">
        <v>319.008299487903</v>
      </c>
      <c r="AI20">
        <v>272.264787954393</v>
      </c>
      <c r="AJ20">
        <v>282.10690880881998</v>
      </c>
      <c r="AK20">
        <v>264.69180075057898</v>
      </c>
      <c r="AL20">
        <v>283.16257950001801</v>
      </c>
      <c r="AM20">
        <v>555.20469565569704</v>
      </c>
      <c r="AN20">
        <v>499.14842590131002</v>
      </c>
      <c r="AO20">
        <v>511.55243027251601</v>
      </c>
      <c r="AP20">
        <v>583.66937235339606</v>
      </c>
      <c r="AQ20">
        <v>589.951774567332</v>
      </c>
      <c r="AR20">
        <v>615.47334931919295</v>
      </c>
      <c r="AS20">
        <v>710.20797703137305</v>
      </c>
      <c r="AT20">
        <v>732.397693260192</v>
      </c>
      <c r="AU20">
        <v>693.71322649637102</v>
      </c>
      <c r="AV20">
        <v>579.89742617244497</v>
      </c>
      <c r="AW20">
        <v>527.338032291584</v>
      </c>
      <c r="AX20">
        <v>527.258362649643</v>
      </c>
      <c r="AY20">
        <v>522.42562489518002</v>
      </c>
      <c r="AZ20">
        <v>478.63371847635898</v>
      </c>
      <c r="BA20">
        <v>446.00004143278801</v>
      </c>
      <c r="BB20">
        <v>470.29342334139801</v>
      </c>
      <c r="BC20">
        <v>494.79426222293603</v>
      </c>
      <c r="BD20">
        <v>471.24862571893402</v>
      </c>
      <c r="BE20">
        <v>510.55633845425098</v>
      </c>
      <c r="BF20">
        <v>493.89962385223299</v>
      </c>
      <c r="BG20">
        <v>493.75732987531899</v>
      </c>
      <c r="BH20">
        <v>591.21169798260996</v>
      </c>
      <c r="BI20">
        <v>592.60561506300598</v>
      </c>
      <c r="BJ20">
        <v>580.65674958785303</v>
      </c>
      <c r="BK20">
        <v>555.446458398235</v>
      </c>
      <c r="BL20">
        <v>585.95081375716597</v>
      </c>
      <c r="BM20">
        <v>574.29454964905597</v>
      </c>
      <c r="BN20">
        <v>554.60779886416299</v>
      </c>
      <c r="BO20">
        <v>622.912348249567</v>
      </c>
      <c r="BP20">
        <v>606.654982255763</v>
      </c>
      <c r="BQ20">
        <v>606.34529760906298</v>
      </c>
    </row>
    <row r="21" spans="1:69" x14ac:dyDescent="0.3">
      <c r="A21" t="s">
        <v>44</v>
      </c>
      <c r="B21" t="s">
        <v>45</v>
      </c>
      <c r="C21" t="s">
        <v>6</v>
      </c>
      <c r="D21" t="s">
        <v>7</v>
      </c>
      <c r="E21">
        <v>245.19510139835899</v>
      </c>
      <c r="F21">
        <v>245.26010162116</v>
      </c>
      <c r="G21">
        <v>245.013850686544</v>
      </c>
      <c r="H21">
        <v>245.01635069607499</v>
      </c>
      <c r="I21">
        <v>245.027184079042</v>
      </c>
      <c r="J21">
        <v>245.06093420770799</v>
      </c>
      <c r="K21">
        <v>245.67843655764401</v>
      </c>
      <c r="L21">
        <v>246.00093779128099</v>
      </c>
      <c r="M21">
        <v>247.56469375695099</v>
      </c>
      <c r="N21">
        <v>259.960574351236</v>
      </c>
      <c r="O21">
        <v>276.403137026845</v>
      </c>
      <c r="P21">
        <v>275.35645668533198</v>
      </c>
      <c r="Q21">
        <v>252.02762746264901</v>
      </c>
      <c r="R21">
        <v>222.88918305322699</v>
      </c>
      <c r="S21">
        <v>240.70466763782301</v>
      </c>
      <c r="T21">
        <v>214.31290034121901</v>
      </c>
      <c r="U21">
        <v>238.95049426705901</v>
      </c>
      <c r="V21">
        <v>245.67968656657601</v>
      </c>
      <c r="W21">
        <v>225.65586023395699</v>
      </c>
      <c r="X21">
        <v>212.721644262377</v>
      </c>
      <c r="Y21">
        <v>211.27955541470499</v>
      </c>
      <c r="Z21">
        <v>271.73145255032699</v>
      </c>
      <c r="AA21">
        <v>328.60625269898998</v>
      </c>
      <c r="AB21">
        <v>381.06603602462798</v>
      </c>
      <c r="AC21">
        <v>436.95666578800802</v>
      </c>
      <c r="AD21">
        <v>449.26296271160697</v>
      </c>
      <c r="AE21">
        <v>346.305903554493</v>
      </c>
      <c r="AF21">
        <v>300.53656240147802</v>
      </c>
      <c r="AG21">
        <v>297.84821881937802</v>
      </c>
      <c r="AH21">
        <v>319.008299487903</v>
      </c>
      <c r="AI21">
        <v>272.264787954393</v>
      </c>
      <c r="AJ21">
        <v>282.10690880881998</v>
      </c>
      <c r="AK21">
        <v>264.69180075057898</v>
      </c>
      <c r="AL21">
        <v>283.16257950001801</v>
      </c>
      <c r="AM21">
        <v>555.20469565569704</v>
      </c>
      <c r="AN21">
        <v>499.14842590131002</v>
      </c>
      <c r="AO21">
        <v>511.55243027251601</v>
      </c>
      <c r="AP21">
        <v>583.66937235339606</v>
      </c>
      <c r="AQ21">
        <v>589.951774567332</v>
      </c>
      <c r="AR21">
        <v>615.47334931916396</v>
      </c>
      <c r="AS21">
        <v>710.20797703136702</v>
      </c>
      <c r="AT21">
        <v>732.39769326022804</v>
      </c>
      <c r="AU21">
        <v>693.71322649637398</v>
      </c>
      <c r="AV21">
        <v>579.897426172466</v>
      </c>
      <c r="AW21">
        <v>527.33803229157604</v>
      </c>
      <c r="AX21">
        <v>527.25836264962595</v>
      </c>
      <c r="AY21">
        <v>522.42562489517604</v>
      </c>
      <c r="AZ21">
        <v>478.63371847636301</v>
      </c>
      <c r="BA21">
        <v>446.00004143278801</v>
      </c>
      <c r="BB21">
        <v>470.29342334139801</v>
      </c>
      <c r="BC21">
        <v>494.794262222947</v>
      </c>
      <c r="BD21">
        <v>471.24862571893698</v>
      </c>
      <c r="BE21">
        <v>510.55633845425098</v>
      </c>
      <c r="BF21">
        <v>493.89962385223703</v>
      </c>
      <c r="BG21">
        <v>493.757329875312</v>
      </c>
      <c r="BH21">
        <v>591.21169798260996</v>
      </c>
      <c r="BI21">
        <v>592.60561506302201</v>
      </c>
      <c r="BJ21">
        <v>580.65674958785803</v>
      </c>
      <c r="BK21">
        <v>555.44645839822601</v>
      </c>
      <c r="BL21">
        <v>585.91101318036897</v>
      </c>
      <c r="BM21">
        <v>575.58600451094503</v>
      </c>
      <c r="BN21">
        <v>554.53067503310399</v>
      </c>
      <c r="BO21">
        <v>623.75970091118199</v>
      </c>
      <c r="BP21">
        <v>606.56975016591696</v>
      </c>
      <c r="BQ21">
        <v>606.34529760906298</v>
      </c>
    </row>
    <row r="22" spans="1:69" x14ac:dyDescent="0.3">
      <c r="A22" t="s">
        <v>46</v>
      </c>
      <c r="B22" t="s">
        <v>47</v>
      </c>
      <c r="C22" t="s">
        <v>6</v>
      </c>
      <c r="D22" t="s">
        <v>7</v>
      </c>
      <c r="P22">
        <v>7.8688425850291202</v>
      </c>
      <c r="Q22">
        <v>7.7001841681494998</v>
      </c>
      <c r="R22">
        <v>7.8498159993174204</v>
      </c>
      <c r="S22">
        <v>8.2260022412153795</v>
      </c>
      <c r="T22">
        <v>12.186180036989001</v>
      </c>
      <c r="U22">
        <v>15.3991686037548</v>
      </c>
      <c r="V22">
        <v>15.375099999416699</v>
      </c>
      <c r="W22">
        <v>15.016116665749999</v>
      </c>
      <c r="X22">
        <v>15.5519249993333</v>
      </c>
      <c r="Y22">
        <v>15.454058332500001</v>
      </c>
      <c r="Z22">
        <v>17.986691665833298</v>
      </c>
      <c r="AA22">
        <v>22.1178833323333</v>
      </c>
      <c r="AB22">
        <v>24.6154249995</v>
      </c>
      <c r="AC22">
        <v>25.353933385083302</v>
      </c>
      <c r="AD22">
        <v>27.9945916666667</v>
      </c>
      <c r="AE22">
        <v>30.4069</v>
      </c>
      <c r="AF22">
        <v>30.949833333333299</v>
      </c>
      <c r="AG22">
        <v>31.7332485981559</v>
      </c>
      <c r="AH22">
        <v>32.270000000000003</v>
      </c>
      <c r="AI22">
        <v>34.568808333333301</v>
      </c>
      <c r="AJ22">
        <v>36.5961833333333</v>
      </c>
      <c r="AK22">
        <v>38.950758333333297</v>
      </c>
      <c r="AL22">
        <v>39.567257499999997</v>
      </c>
      <c r="AM22">
        <v>40.211739166666703</v>
      </c>
      <c r="AN22">
        <v>40.278318333333303</v>
      </c>
      <c r="AO22">
        <v>41.794168333333303</v>
      </c>
      <c r="AP22">
        <v>43.8921158333333</v>
      </c>
      <c r="AQ22">
        <v>46.9056516666666</v>
      </c>
      <c r="AR22">
        <v>49.0854</v>
      </c>
      <c r="AS22">
        <v>52.141666666666701</v>
      </c>
      <c r="AT22">
        <v>55.8066666666667</v>
      </c>
      <c r="AU22">
        <v>57.887999999999998</v>
      </c>
      <c r="AV22">
        <v>58.150039999999997</v>
      </c>
      <c r="AW22">
        <v>59.512658333333299</v>
      </c>
      <c r="AX22">
        <v>64.327475000000007</v>
      </c>
      <c r="AY22">
        <v>68.933233333333305</v>
      </c>
      <c r="AZ22">
        <v>68.874875000000003</v>
      </c>
      <c r="BA22">
        <v>68.598275000000001</v>
      </c>
      <c r="BB22">
        <v>69.039066666666699</v>
      </c>
      <c r="BC22">
        <v>69.649291666666699</v>
      </c>
      <c r="BD22">
        <v>74.1524</v>
      </c>
      <c r="BE22">
        <v>81.8626583333333</v>
      </c>
      <c r="BF22">
        <v>78.103234999999998</v>
      </c>
      <c r="BG22">
        <v>77.641408333333302</v>
      </c>
      <c r="BH22">
        <v>77.946908333333297</v>
      </c>
      <c r="BI22">
        <v>78.468091666666695</v>
      </c>
      <c r="BJ22">
        <v>80.437541666666704</v>
      </c>
      <c r="BK22">
        <v>83.466201916666606</v>
      </c>
      <c r="BL22">
        <v>84.453522500000005</v>
      </c>
      <c r="BM22">
        <v>84.871391666666696</v>
      </c>
      <c r="BN22">
        <v>85.083763250000004</v>
      </c>
      <c r="BO22">
        <v>91.745454439696104</v>
      </c>
      <c r="BP22">
        <v>106.309484297483</v>
      </c>
      <c r="BQ22">
        <v>115.603653796648</v>
      </c>
    </row>
    <row r="23" spans="1:69" x14ac:dyDescent="0.3">
      <c r="A23" t="s">
        <v>48</v>
      </c>
      <c r="B23" t="s">
        <v>49</v>
      </c>
      <c r="C23" t="s">
        <v>6</v>
      </c>
      <c r="D23" t="s">
        <v>7</v>
      </c>
      <c r="E23">
        <v>1.169999999E-3</v>
      </c>
      <c r="F23">
        <v>1.169999999E-3</v>
      </c>
      <c r="G23">
        <v>1.169999999E-3</v>
      </c>
      <c r="H23">
        <v>1.169999999E-3</v>
      </c>
      <c r="I23">
        <v>1.169999999E-3</v>
      </c>
      <c r="J23">
        <v>1.169999999E-3</v>
      </c>
      <c r="K23">
        <v>1.169999999E-3</v>
      </c>
      <c r="L23">
        <v>1.169999999E-3</v>
      </c>
      <c r="M23">
        <v>1.169999999E-3</v>
      </c>
      <c r="N23">
        <v>1.169999999E-3</v>
      </c>
      <c r="O23">
        <v>1.169999999E-3</v>
      </c>
      <c r="P23">
        <v>1.169999999E-3</v>
      </c>
      <c r="Q23">
        <v>1.08E-3</v>
      </c>
      <c r="R23">
        <v>9.791666657499999E-4</v>
      </c>
      <c r="S23">
        <v>9.6999999899999995E-4</v>
      </c>
      <c r="AJ23">
        <v>1.7788249999999999E-2</v>
      </c>
      <c r="AK23">
        <v>2.3341166666666701E-2</v>
      </c>
      <c r="AL23">
        <v>2.75935833333333E-2</v>
      </c>
      <c r="AM23">
        <v>5.4133666666666601E-2</v>
      </c>
      <c r="AN23">
        <v>6.7170833333333305E-2</v>
      </c>
      <c r="AO23">
        <v>0.177888666666667</v>
      </c>
      <c r="AP23">
        <v>1.6818791666666699</v>
      </c>
      <c r="AQ23">
        <v>1.7603583333333299</v>
      </c>
      <c r="AR23">
        <v>1.8363833333333299</v>
      </c>
      <c r="AS23">
        <v>2.123275</v>
      </c>
      <c r="AT23">
        <v>2.1847083333333299</v>
      </c>
      <c r="AU23">
        <v>2.076975</v>
      </c>
      <c r="AV23">
        <v>1.7327016666666699</v>
      </c>
      <c r="AW23">
        <v>1.5751089166666701</v>
      </c>
      <c r="AX23">
        <v>1.5741333333333301</v>
      </c>
      <c r="AY23">
        <v>1.5592666666666699</v>
      </c>
      <c r="AZ23">
        <v>1.4290499999999999</v>
      </c>
      <c r="BA23">
        <v>1.3371166666666701</v>
      </c>
      <c r="BB23">
        <v>1.40669166666667</v>
      </c>
      <c r="BC23">
        <v>1.47739166666667</v>
      </c>
      <c r="BD23">
        <v>1.40645833333333</v>
      </c>
      <c r="BE23">
        <v>1.5220499999999999</v>
      </c>
      <c r="BF23">
        <v>1.47356666666667</v>
      </c>
      <c r="BG23">
        <v>1.4741833333333301</v>
      </c>
      <c r="BH23">
        <v>1.7644</v>
      </c>
      <c r="BI23">
        <v>1.7680416666666701</v>
      </c>
      <c r="BJ23">
        <v>1.73545833333333</v>
      </c>
      <c r="BK23">
        <v>1.6570416666666701</v>
      </c>
      <c r="BL23">
        <v>1.7470416666666699</v>
      </c>
      <c r="BM23">
        <v>1.7163333333333299</v>
      </c>
      <c r="BN23">
        <v>1.653775</v>
      </c>
      <c r="BO23">
        <v>1.8601416666666699</v>
      </c>
      <c r="BP23">
        <v>1.8089666666666699</v>
      </c>
      <c r="BQ23">
        <v>1.8078416666666699</v>
      </c>
    </row>
    <row r="24" spans="1:69" x14ac:dyDescent="0.3">
      <c r="A24" t="s">
        <v>50</v>
      </c>
      <c r="B24" t="s">
        <v>51</v>
      </c>
      <c r="C24" t="s">
        <v>6</v>
      </c>
      <c r="D24" t="s">
        <v>7</v>
      </c>
      <c r="K24">
        <v>0.47618999947619001</v>
      </c>
      <c r="L24">
        <v>0.47618999947619001</v>
      </c>
      <c r="M24">
        <v>0.47618999947619001</v>
      </c>
      <c r="N24">
        <v>0.47618999947619001</v>
      </c>
      <c r="O24">
        <v>0.47618999947619001</v>
      </c>
      <c r="P24">
        <v>0.47479628758907599</v>
      </c>
      <c r="Q24">
        <v>0.43859778342153799</v>
      </c>
      <c r="R24">
        <v>0.399630307154623</v>
      </c>
      <c r="S24">
        <v>0.39473999900000001</v>
      </c>
      <c r="T24">
        <v>0.39549999899999999</v>
      </c>
      <c r="U24">
        <v>0.39559916566666697</v>
      </c>
      <c r="V24">
        <v>0.39564999899999997</v>
      </c>
      <c r="W24">
        <v>0.38745333233333301</v>
      </c>
      <c r="X24">
        <v>0.38161749924999999</v>
      </c>
      <c r="Y24">
        <v>0.37700023471010102</v>
      </c>
      <c r="Z24">
        <v>0.37599999899999997</v>
      </c>
      <c r="AA24">
        <v>0.37599999899999997</v>
      </c>
      <c r="AB24">
        <v>0.37599999899999997</v>
      </c>
      <c r="AC24">
        <v>0.37599999958333302</v>
      </c>
      <c r="AD24">
        <v>0.376</v>
      </c>
      <c r="AE24">
        <v>0.376</v>
      </c>
      <c r="AF24">
        <v>0.376</v>
      </c>
      <c r="AG24">
        <v>0.376</v>
      </c>
      <c r="AH24">
        <v>0.376</v>
      </c>
      <c r="AI24">
        <v>0.376</v>
      </c>
      <c r="AJ24">
        <v>0.376</v>
      </c>
      <c r="AK24">
        <v>0.376</v>
      </c>
      <c r="AL24">
        <v>0.37599998916666699</v>
      </c>
      <c r="AM24">
        <v>0.37599996499999999</v>
      </c>
      <c r="AN24">
        <v>0.37599997083333297</v>
      </c>
      <c r="AO24">
        <v>0.37599996749999998</v>
      </c>
      <c r="AP24">
        <v>0.37599996499999999</v>
      </c>
      <c r="AQ24">
        <v>0.37599996250000001</v>
      </c>
      <c r="AR24">
        <v>0.375999979166667</v>
      </c>
      <c r="AS24">
        <v>0.376</v>
      </c>
      <c r="AT24">
        <v>0.376</v>
      </c>
      <c r="AU24">
        <v>0.376</v>
      </c>
      <c r="AV24">
        <v>0.376</v>
      </c>
      <c r="AW24">
        <v>0.376</v>
      </c>
      <c r="AX24">
        <v>0.376</v>
      </c>
      <c r="AY24">
        <v>0.376</v>
      </c>
      <c r="AZ24">
        <v>0.376</v>
      </c>
      <c r="BA24">
        <v>0.376</v>
      </c>
      <c r="BB24">
        <v>0.376</v>
      </c>
      <c r="BC24">
        <v>0.376</v>
      </c>
      <c r="BD24">
        <v>0.376</v>
      </c>
      <c r="BE24">
        <v>0.376</v>
      </c>
      <c r="BF24">
        <v>0.376</v>
      </c>
      <c r="BG24">
        <v>0.376</v>
      </c>
      <c r="BH24">
        <v>0.376</v>
      </c>
      <c r="BI24">
        <v>0.376</v>
      </c>
      <c r="BJ24">
        <v>0.376</v>
      </c>
      <c r="BK24">
        <v>0.376</v>
      </c>
      <c r="BL24">
        <v>0.376</v>
      </c>
      <c r="BM24">
        <v>0.376</v>
      </c>
      <c r="BN24">
        <v>0.376</v>
      </c>
      <c r="BO24">
        <v>0.376</v>
      </c>
      <c r="BP24">
        <v>0.376</v>
      </c>
      <c r="BQ24">
        <v>0.376</v>
      </c>
    </row>
    <row r="25" spans="1:69" x14ac:dyDescent="0.3">
      <c r="A25" t="s">
        <v>52</v>
      </c>
      <c r="B25" t="s">
        <v>53</v>
      </c>
      <c r="C25" t="s">
        <v>6</v>
      </c>
      <c r="D25" t="s">
        <v>7</v>
      </c>
      <c r="E25">
        <v>1.02041</v>
      </c>
      <c r="F25">
        <v>1.02041</v>
      </c>
      <c r="G25">
        <v>1.02041</v>
      </c>
      <c r="H25">
        <v>1.02041</v>
      </c>
      <c r="I25">
        <v>1.02041</v>
      </c>
      <c r="J25">
        <v>1.02041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</row>
    <row r="26" spans="1:69" x14ac:dyDescent="0.3">
      <c r="A26" t="s">
        <v>54</v>
      </c>
      <c r="B26" t="s">
        <v>55</v>
      </c>
      <c r="C26" t="s">
        <v>6</v>
      </c>
      <c r="D26" t="s">
        <v>7</v>
      </c>
      <c r="AP26">
        <v>1.73405583333333</v>
      </c>
      <c r="AQ26">
        <v>1.75966758333333</v>
      </c>
      <c r="AR26">
        <v>1.8357953848931099</v>
      </c>
      <c r="AS26">
        <v>2.12285951185833</v>
      </c>
      <c r="AT26">
        <v>2.1856595833000001</v>
      </c>
      <c r="AU26">
        <v>2.07817042621667</v>
      </c>
      <c r="AV26">
        <v>1.7329322041916699</v>
      </c>
      <c r="AW26">
        <v>1.57515702795</v>
      </c>
      <c r="AX26">
        <v>1.5727220196</v>
      </c>
      <c r="AY26">
        <v>1.5590719560583299</v>
      </c>
      <c r="AZ26">
        <v>1.429002741625</v>
      </c>
      <c r="BA26">
        <v>1.3351956804842799</v>
      </c>
      <c r="BB26">
        <v>1.4078912383694999</v>
      </c>
      <c r="BC26">
        <v>1.47673956845028</v>
      </c>
      <c r="BD26">
        <v>1.40693658566639</v>
      </c>
      <c r="BE26">
        <v>1.5222099744513</v>
      </c>
      <c r="BF26">
        <v>1.4730513226323501</v>
      </c>
      <c r="BG26">
        <v>1.4741691867940001</v>
      </c>
      <c r="BH26">
        <v>1.76349164694686</v>
      </c>
      <c r="BI26">
        <v>1.7681390242991499</v>
      </c>
      <c r="BJ26">
        <v>1.73535271327691</v>
      </c>
      <c r="BK26">
        <v>1.6569854411354299</v>
      </c>
      <c r="BL26">
        <v>1.74708646136073</v>
      </c>
      <c r="BM26">
        <v>1.71697049519219</v>
      </c>
      <c r="BN26">
        <v>1.65360615435868</v>
      </c>
      <c r="BO26">
        <v>1.85932587706093</v>
      </c>
      <c r="BP26">
        <v>1.80920280030082</v>
      </c>
      <c r="BQ26">
        <v>1.80756356165183</v>
      </c>
    </row>
    <row r="27" spans="1:69" x14ac:dyDescent="0.3">
      <c r="A27" t="s">
        <v>56</v>
      </c>
      <c r="B27" t="s">
        <v>57</v>
      </c>
      <c r="C27" t="s">
        <v>6</v>
      </c>
      <c r="D27" t="s">
        <v>7</v>
      </c>
      <c r="AM27">
        <v>3.6411125E-4</v>
      </c>
      <c r="AN27">
        <v>1.15209666666667E-3</v>
      </c>
      <c r="AO27">
        <v>1.3229876666666701E-3</v>
      </c>
      <c r="AP27">
        <v>2.6020549583333301E-3</v>
      </c>
      <c r="AQ27">
        <v>4.6127620000000003E-3</v>
      </c>
      <c r="AR27">
        <v>2.4929532916666702E-2</v>
      </c>
      <c r="AS27">
        <v>8.7675000000000003E-2</v>
      </c>
      <c r="AT27">
        <v>0.13900000000000001</v>
      </c>
      <c r="AU27">
        <v>0.17909166666666701</v>
      </c>
      <c r="AV27">
        <v>0.20512708333333299</v>
      </c>
      <c r="AW27">
        <v>0.21602574999999999</v>
      </c>
      <c r="AX27">
        <v>0.21538199999999999</v>
      </c>
      <c r="AY27">
        <v>0.21445641666666701</v>
      </c>
      <c r="AZ27">
        <v>0.214607833333333</v>
      </c>
      <c r="BA27">
        <v>0.21363974999999999</v>
      </c>
      <c r="BB27">
        <v>0.279304921788469</v>
      </c>
      <c r="BC27">
        <v>0.29785099999999998</v>
      </c>
      <c r="BD27">
        <v>0.49746333333333298</v>
      </c>
      <c r="BE27">
        <v>0.83368983333333302</v>
      </c>
      <c r="BF27">
        <v>0.88800524999999997</v>
      </c>
      <c r="BG27">
        <v>1.0224102500000001</v>
      </c>
      <c r="BH27">
        <v>1.5925988333333301</v>
      </c>
      <c r="BI27">
        <v>1.9895628333333299</v>
      </c>
      <c r="BJ27">
        <v>1.93234166666667</v>
      </c>
      <c r="BK27">
        <v>2.0376083333333299</v>
      </c>
      <c r="BL27">
        <v>2.0917833333333302</v>
      </c>
      <c r="BM27">
        <v>2.439575</v>
      </c>
      <c r="BN27">
        <v>2.538675</v>
      </c>
      <c r="BO27">
        <v>2.6261000000000001</v>
      </c>
      <c r="BP27">
        <v>3.0073500000000002</v>
      </c>
      <c r="BQ27">
        <v>3.2461916666666699</v>
      </c>
    </row>
    <row r="28" spans="1:69" x14ac:dyDescent="0.3">
      <c r="A28" t="s">
        <v>58</v>
      </c>
      <c r="B28" t="s">
        <v>59</v>
      </c>
      <c r="C28" t="s">
        <v>6</v>
      </c>
      <c r="D28" t="s">
        <v>7</v>
      </c>
      <c r="E28">
        <v>1.42857000042857</v>
      </c>
      <c r="F28">
        <v>1.42857000042857</v>
      </c>
      <c r="G28">
        <v>1.42857000042857</v>
      </c>
      <c r="H28">
        <v>1.42857000042857</v>
      </c>
      <c r="I28">
        <v>1.42857000042857</v>
      </c>
      <c r="J28">
        <v>1.42857000042857</v>
      </c>
      <c r="K28">
        <v>1.42857000042857</v>
      </c>
      <c r="L28">
        <v>1.4484116669960301</v>
      </c>
      <c r="M28">
        <v>1.6666700006666699</v>
      </c>
      <c r="N28">
        <v>1.6666700006666699</v>
      </c>
      <c r="O28">
        <v>1.6666700006666699</v>
      </c>
      <c r="P28">
        <v>1.6436821181343699</v>
      </c>
      <c r="Q28">
        <v>1.6015618461200301</v>
      </c>
      <c r="R28">
        <v>1.6326837811972299</v>
      </c>
      <c r="S28">
        <v>1.7109267840790501</v>
      </c>
      <c r="T28">
        <v>1.80804370464356</v>
      </c>
      <c r="U28">
        <v>2.2256731316515599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</row>
    <row r="29" spans="1:69" x14ac:dyDescent="0.3">
      <c r="A29" t="s">
        <v>60</v>
      </c>
      <c r="B29" t="s">
        <v>61</v>
      </c>
      <c r="C29" t="s">
        <v>6</v>
      </c>
      <c r="D29" t="s">
        <v>7</v>
      </c>
      <c r="E29">
        <v>0.85714000000000001</v>
      </c>
      <c r="F29">
        <v>0.85714000000000001</v>
      </c>
      <c r="G29">
        <v>0.85714000000000001</v>
      </c>
      <c r="H29">
        <v>0.85714000000000001</v>
      </c>
      <c r="I29">
        <v>0.85714000000000001</v>
      </c>
      <c r="J29">
        <v>0.85714000000000001</v>
      </c>
      <c r="K29">
        <v>0.85714000000000001</v>
      </c>
      <c r="L29">
        <v>0.86904499999999996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</row>
    <row r="30" spans="1:69" x14ac:dyDescent="0.3">
      <c r="A30" t="s">
        <v>62</v>
      </c>
      <c r="B30" t="s">
        <v>63</v>
      </c>
      <c r="C30" t="s">
        <v>6</v>
      </c>
      <c r="D30" t="s">
        <v>7</v>
      </c>
      <c r="E30" s="1">
        <v>1.188E-5</v>
      </c>
      <c r="F30" s="1">
        <v>1.188E-5</v>
      </c>
      <c r="G30" s="1">
        <v>1.188E-5</v>
      </c>
      <c r="H30" s="1">
        <v>1.188E-5</v>
      </c>
      <c r="I30" s="1">
        <v>1.188E-5</v>
      </c>
      <c r="J30" s="1">
        <v>1.188E-5</v>
      </c>
      <c r="K30" s="1">
        <v>1.188E-5</v>
      </c>
      <c r="L30" s="1">
        <v>1.188E-5</v>
      </c>
      <c r="M30" s="1">
        <v>1.188E-5</v>
      </c>
      <c r="N30" s="1">
        <v>1.188E-5</v>
      </c>
      <c r="O30" s="1">
        <v>1.188E-5</v>
      </c>
      <c r="P30" s="1">
        <v>1.188E-5</v>
      </c>
      <c r="Q30" s="1">
        <v>1.3295000000000001E-5</v>
      </c>
      <c r="R30" s="1">
        <v>2.001E-5</v>
      </c>
      <c r="S30" s="1">
        <v>2.001E-5</v>
      </c>
      <c r="T30" s="1">
        <v>2.001E-5</v>
      </c>
      <c r="U30" s="1">
        <v>2.001E-5</v>
      </c>
      <c r="V30" s="1">
        <v>2.001E-5</v>
      </c>
      <c r="W30" s="1">
        <v>2.001E-5</v>
      </c>
      <c r="X30" s="1">
        <v>2.0403333333333301E-5</v>
      </c>
      <c r="Y30" s="1">
        <v>2.4519999999999999E-5</v>
      </c>
      <c r="Z30" s="1">
        <v>2.4519999999999999E-5</v>
      </c>
      <c r="AA30" s="1">
        <v>6.4071666666666699E-5</v>
      </c>
      <c r="AB30">
        <v>2.3163E-4</v>
      </c>
      <c r="AC30">
        <v>3.1359091666666701E-3</v>
      </c>
      <c r="AD30">
        <v>0.44002900833333303</v>
      </c>
      <c r="AE30">
        <v>1.9219583333333301</v>
      </c>
      <c r="AF30">
        <v>2.0548500000000001</v>
      </c>
      <c r="AG30">
        <v>2.3502416666666699</v>
      </c>
      <c r="AH30">
        <v>2.6916833333333301</v>
      </c>
      <c r="AI30">
        <v>3.17265</v>
      </c>
      <c r="AJ30">
        <v>3.5806083333333301</v>
      </c>
      <c r="AK30">
        <v>3.90051666666667</v>
      </c>
      <c r="AL30">
        <v>4.2650833333333296</v>
      </c>
      <c r="AM30">
        <v>4.6205166666666697</v>
      </c>
      <c r="AN30">
        <v>4.8003416666666698</v>
      </c>
      <c r="AO30">
        <v>5.0746124999999997</v>
      </c>
      <c r="AP30">
        <v>5.2542583333333299</v>
      </c>
      <c r="AQ30">
        <v>5.5101333333333304</v>
      </c>
      <c r="AR30">
        <v>5.8124083333333303</v>
      </c>
      <c r="AS30">
        <v>6.1835416666666703</v>
      </c>
      <c r="AT30">
        <v>6.6069166666666703</v>
      </c>
      <c r="AU30">
        <v>7.17</v>
      </c>
      <c r="AV30">
        <v>7.6591666666666702</v>
      </c>
      <c r="AW30">
        <v>7.9362666666666604</v>
      </c>
      <c r="AX30">
        <v>8.0660624999999992</v>
      </c>
      <c r="AY30">
        <v>8.0116166666666704</v>
      </c>
      <c r="AZ30">
        <v>7.8512451612499996</v>
      </c>
      <c r="BA30">
        <v>7.2383206989166604</v>
      </c>
      <c r="BB30">
        <v>7.02</v>
      </c>
      <c r="BC30">
        <v>7.0166666666666702</v>
      </c>
      <c r="BD30">
        <v>6.9369624999999999</v>
      </c>
      <c r="BE30">
        <v>6.91</v>
      </c>
      <c r="BF30">
        <v>6.91</v>
      </c>
      <c r="BG30">
        <v>6.91</v>
      </c>
      <c r="BH30">
        <v>6.91</v>
      </c>
      <c r="BI30">
        <v>6.91</v>
      </c>
      <c r="BJ30">
        <v>6.91</v>
      </c>
      <c r="BK30">
        <v>6.91</v>
      </c>
      <c r="BL30">
        <v>6.91</v>
      </c>
      <c r="BM30">
        <v>6.91</v>
      </c>
      <c r="BN30">
        <v>6.91</v>
      </c>
      <c r="BO30">
        <v>6.91</v>
      </c>
      <c r="BP30">
        <v>6.91</v>
      </c>
      <c r="BQ30">
        <v>6.91</v>
      </c>
    </row>
    <row r="31" spans="1:69" x14ac:dyDescent="0.3">
      <c r="A31" t="s">
        <v>64</v>
      </c>
      <c r="B31" t="s">
        <v>65</v>
      </c>
      <c r="C31" t="s">
        <v>6</v>
      </c>
      <c r="D31" t="s">
        <v>7</v>
      </c>
      <c r="E31" s="1">
        <v>8.0997053349699505E-14</v>
      </c>
      <c r="F31" s="1">
        <v>1.1684347882688201E-13</v>
      </c>
      <c r="G31" s="1">
        <v>1.6776415548709099E-13</v>
      </c>
      <c r="H31" s="1">
        <v>2.4886939767619999E-13</v>
      </c>
      <c r="I31" s="1">
        <v>5.4202391705355898E-13</v>
      </c>
      <c r="J31" s="1">
        <v>8.2165488534659101E-13</v>
      </c>
      <c r="K31" s="1">
        <v>9.6071305109730698E-13</v>
      </c>
      <c r="L31" s="1">
        <v>1.15260322134062E-12</v>
      </c>
      <c r="M31" s="1">
        <v>1.4695952527679299E-12</v>
      </c>
      <c r="N31" s="1">
        <v>1.7633628396387501E-12</v>
      </c>
      <c r="O31" s="1">
        <v>1.9878537834480901E-12</v>
      </c>
      <c r="P31" s="1">
        <v>2.2882208631248701E-12</v>
      </c>
      <c r="Q31" s="1">
        <v>2.56796001993275E-12</v>
      </c>
      <c r="R31" s="1">
        <v>2.65094052783721E-12</v>
      </c>
      <c r="S31" s="1">
        <v>2.9383610615176001E-12</v>
      </c>
      <c r="T31" s="1">
        <v>3.5168444719384999E-12</v>
      </c>
      <c r="U31" s="1">
        <v>4.61870733099062E-12</v>
      </c>
      <c r="V31" s="1">
        <v>6.1208672945584299E-12</v>
      </c>
      <c r="W31" s="1">
        <v>7.8197498441913693E-12</v>
      </c>
      <c r="X31" s="1">
        <v>1.1660690720063E-11</v>
      </c>
      <c r="Y31" s="1">
        <v>2.2812318924444299E-11</v>
      </c>
      <c r="Z31" s="1">
        <v>4.0300109353132597E-11</v>
      </c>
      <c r="AA31" s="1">
        <v>7.7685442717109896E-11</v>
      </c>
      <c r="AB31" s="1">
        <v>2.49718172221135E-10</v>
      </c>
      <c r="AC31" s="1">
        <v>7.9974132397413803E-10</v>
      </c>
      <c r="AD31" s="1">
        <v>2.68324234084592E-9</v>
      </c>
      <c r="AE31" s="1">
        <v>5.9096822674925101E-9</v>
      </c>
      <c r="AF31" s="1">
        <v>1.6976307824584001E-8</v>
      </c>
      <c r="AG31" s="1">
        <v>1.1354767374037E-7</v>
      </c>
      <c r="AH31" s="1">
        <v>1.22638743473744E-6</v>
      </c>
      <c r="AI31" s="1">
        <v>2.95572678942699E-5</v>
      </c>
      <c r="AJ31">
        <v>1.7596144308602401E-4</v>
      </c>
      <c r="AK31">
        <v>1.95302352248811E-3</v>
      </c>
      <c r="AL31">
        <v>3.8276610926672998E-2</v>
      </c>
      <c r="AM31">
        <v>0.66468351407057702</v>
      </c>
      <c r="AN31">
        <v>0.91766666666666696</v>
      </c>
      <c r="AO31">
        <v>1.0051000000000001</v>
      </c>
      <c r="AP31">
        <v>1.07799166666667</v>
      </c>
      <c r="AQ31">
        <v>1.16051666666667</v>
      </c>
      <c r="AR31">
        <v>1.8139328465721301</v>
      </c>
      <c r="AS31">
        <v>1.8294231220756101</v>
      </c>
      <c r="AT31">
        <v>2.3496317093224399</v>
      </c>
      <c r="AU31">
        <v>2.9203630177551898</v>
      </c>
      <c r="AV31">
        <v>3.07747511847802</v>
      </c>
      <c r="AW31">
        <v>2.9251194495158601</v>
      </c>
      <c r="AX31">
        <v>2.4343900362318802</v>
      </c>
      <c r="AY31">
        <v>2.17532666666667</v>
      </c>
      <c r="AZ31">
        <v>1.94705833333333</v>
      </c>
      <c r="BA31">
        <v>1.8337666666666701</v>
      </c>
      <c r="BB31">
        <v>1.99942817314426</v>
      </c>
      <c r="BC31">
        <v>1.7592267105871799</v>
      </c>
      <c r="BD31">
        <v>1.6728287552565899</v>
      </c>
      <c r="BE31">
        <v>1.9530686111248701</v>
      </c>
      <c r="BF31">
        <v>2.1560891512631102</v>
      </c>
      <c r="BG31">
        <v>2.3529519627666899</v>
      </c>
      <c r="BH31">
        <v>3.3269043827687899</v>
      </c>
      <c r="BI31">
        <v>3.49131342157271</v>
      </c>
      <c r="BJ31">
        <v>3.1913894463004802</v>
      </c>
      <c r="BK31">
        <v>3.65382536145755</v>
      </c>
      <c r="BL31">
        <v>3.9444710972507</v>
      </c>
      <c r="BM31">
        <v>5.1551787875128099</v>
      </c>
      <c r="BN31">
        <v>5.3944007896250303</v>
      </c>
      <c r="BO31">
        <v>5.1639702910211103</v>
      </c>
      <c r="BP31">
        <v>4.9943797628719899</v>
      </c>
      <c r="BQ31">
        <v>5.3889349057095997</v>
      </c>
    </row>
    <row r="32" spans="1:69" x14ac:dyDescent="0.3">
      <c r="A32" t="s">
        <v>66</v>
      </c>
      <c r="B32" t="s">
        <v>67</v>
      </c>
      <c r="C32" t="s">
        <v>6</v>
      </c>
      <c r="D32" t="s">
        <v>7</v>
      </c>
      <c r="E32">
        <v>1.7142900007142901</v>
      </c>
      <c r="F32">
        <v>1.7142900007142901</v>
      </c>
      <c r="G32">
        <v>1.7142900007142901</v>
      </c>
      <c r="H32">
        <v>1.7142900007142901</v>
      </c>
      <c r="I32">
        <v>1.7142900007142901</v>
      </c>
      <c r="J32">
        <v>1.7142900007142901</v>
      </c>
      <c r="K32">
        <v>1.7142900007142901</v>
      </c>
      <c r="L32">
        <v>1.7380991672619099</v>
      </c>
      <c r="M32">
        <v>2.0000000010000001</v>
      </c>
      <c r="N32">
        <v>2.0000000010000001</v>
      </c>
      <c r="O32">
        <v>2.0000000010000001</v>
      </c>
      <c r="P32">
        <v>1.9748761519687701</v>
      </c>
      <c r="Q32">
        <v>1.92128071035725</v>
      </c>
      <c r="R32">
        <v>1.95922053743668</v>
      </c>
      <c r="S32">
        <v>2.0532309107887801</v>
      </c>
      <c r="T32">
        <v>2.0188665976000002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</row>
    <row r="33" spans="1:69" x14ac:dyDescent="0.3">
      <c r="A33" t="s">
        <v>68</v>
      </c>
      <c r="B33" t="s">
        <v>69</v>
      </c>
      <c r="C33" t="s">
        <v>6</v>
      </c>
      <c r="D33" t="s">
        <v>7</v>
      </c>
      <c r="E33">
        <v>3.0612200020612201</v>
      </c>
      <c r="F33">
        <v>3.0612200020612201</v>
      </c>
      <c r="G33">
        <v>3.0612200020612201</v>
      </c>
      <c r="H33">
        <v>3.0612200020612201</v>
      </c>
      <c r="I33">
        <v>3.0612200020612201</v>
      </c>
      <c r="J33">
        <v>3.0612200020612201</v>
      </c>
      <c r="K33">
        <v>3.0612200020612201</v>
      </c>
      <c r="L33">
        <v>3.0612200020612201</v>
      </c>
      <c r="M33">
        <v>3.0612200020612201</v>
      </c>
      <c r="N33">
        <v>3.0612200020612201</v>
      </c>
      <c r="O33">
        <v>3.0612200020612201</v>
      </c>
      <c r="P33">
        <v>3.0522604298093099</v>
      </c>
      <c r="Q33">
        <v>2.81955586834381</v>
      </c>
      <c r="R33">
        <v>2.45857965494532</v>
      </c>
      <c r="S33">
        <v>2.43686666583333</v>
      </c>
      <c r="T33">
        <v>2.3712999990833299</v>
      </c>
      <c r="U33">
        <v>2.4708416659166699</v>
      </c>
      <c r="V33">
        <v>2.43939999925</v>
      </c>
      <c r="W33">
        <v>2.2740249991666701</v>
      </c>
      <c r="X33">
        <v>2.1745583325000002</v>
      </c>
      <c r="Y33">
        <v>2.14120833258333</v>
      </c>
      <c r="Z33">
        <v>2.1126916659999999</v>
      </c>
      <c r="AA33">
        <v>2.1400249991666702</v>
      </c>
      <c r="AB33">
        <v>2.1130499989999998</v>
      </c>
      <c r="AC33">
        <v>2.1330833330000001</v>
      </c>
      <c r="AD33">
        <v>2.20014999966667</v>
      </c>
      <c r="AE33">
        <v>2.1774166665000001</v>
      </c>
      <c r="AF33">
        <v>2.10598333333333</v>
      </c>
      <c r="AG33">
        <v>2.0124249999999999</v>
      </c>
      <c r="AH33">
        <v>1.9502583333333301</v>
      </c>
      <c r="AI33">
        <v>1.81253333333333</v>
      </c>
      <c r="AJ33">
        <v>1.7275499999999999</v>
      </c>
      <c r="AK33">
        <v>1.62896666666667</v>
      </c>
      <c r="AL33">
        <v>1.61579083333333</v>
      </c>
      <c r="AM33">
        <v>1.52744416666667</v>
      </c>
      <c r="AN33">
        <v>1.4173750000000001</v>
      </c>
      <c r="AO33">
        <v>1.4100408333333301</v>
      </c>
      <c r="AP33">
        <v>1.48480583333333</v>
      </c>
      <c r="AQ33">
        <v>1.67360166666667</v>
      </c>
      <c r="AR33">
        <v>1.69495666666667</v>
      </c>
      <c r="AS33">
        <v>1.72396333333333</v>
      </c>
      <c r="AT33">
        <v>1.7917225000000001</v>
      </c>
      <c r="AU33">
        <v>1.7905883333333299</v>
      </c>
      <c r="AV33">
        <v>1.7421833333333301</v>
      </c>
      <c r="AW33">
        <v>1.6902283333333299</v>
      </c>
      <c r="AX33">
        <v>1.6643975</v>
      </c>
      <c r="AY33">
        <v>1.58893333333333</v>
      </c>
      <c r="AZ33">
        <v>1.5071016666666699</v>
      </c>
      <c r="BA33">
        <v>1.41716666666667</v>
      </c>
      <c r="BB33">
        <v>1.4545692733233</v>
      </c>
      <c r="BC33">
        <v>1.3635094736842099</v>
      </c>
      <c r="BD33">
        <v>1.25791302014692</v>
      </c>
      <c r="BE33">
        <v>1.24956701649958</v>
      </c>
      <c r="BF33">
        <v>1.25116566976059</v>
      </c>
      <c r="BG33">
        <v>1.2670401230813999</v>
      </c>
      <c r="BH33">
        <v>1.37491084459887</v>
      </c>
      <c r="BI33">
        <v>1.3813468768828601</v>
      </c>
      <c r="BJ33">
        <v>1.3808911640528101</v>
      </c>
      <c r="BK33">
        <v>1.3489185654253699</v>
      </c>
      <c r="BL33">
        <v>1.36421851405475</v>
      </c>
      <c r="BM33">
        <v>1.3797034297139901</v>
      </c>
      <c r="BN33">
        <v>1.34380696297339</v>
      </c>
      <c r="BO33">
        <v>1.3789563965221601</v>
      </c>
      <c r="BP33">
        <v>1.34307960114934</v>
      </c>
      <c r="BQ33">
        <v>1.33603327650724</v>
      </c>
    </row>
    <row r="34" spans="1:69" x14ac:dyDescent="0.3">
      <c r="A34" t="s">
        <v>70</v>
      </c>
      <c r="B34" t="s">
        <v>71</v>
      </c>
      <c r="C34" t="s">
        <v>6</v>
      </c>
      <c r="D34" t="s">
        <v>7</v>
      </c>
      <c r="E34">
        <v>4.7619000037618999</v>
      </c>
      <c r="F34">
        <v>4.7619000037618999</v>
      </c>
      <c r="G34">
        <v>4.7619000037618999</v>
      </c>
      <c r="H34">
        <v>4.7619000037618999</v>
      </c>
      <c r="I34">
        <v>4.7619000037618999</v>
      </c>
      <c r="J34">
        <v>4.7619000037618999</v>
      </c>
      <c r="K34">
        <v>6.3591250053591297</v>
      </c>
      <c r="L34">
        <v>7.5000000064999996</v>
      </c>
      <c r="M34">
        <v>7.5000000064999996</v>
      </c>
      <c r="N34">
        <v>7.5000000064999996</v>
      </c>
      <c r="O34">
        <v>7.5000000064999996</v>
      </c>
      <c r="P34">
        <v>7.4919352309682399</v>
      </c>
      <c r="Q34">
        <v>7.5944683739493604</v>
      </c>
      <c r="R34">
        <v>7.7420385621496797</v>
      </c>
      <c r="S34">
        <v>8.1016032272183001</v>
      </c>
      <c r="T34">
        <v>8.3758919456538603</v>
      </c>
      <c r="U34">
        <v>8.9604127281239201</v>
      </c>
      <c r="V34">
        <v>8.7385761713145804</v>
      </c>
      <c r="W34">
        <v>8.1928403484039301</v>
      </c>
      <c r="X34">
        <v>8.12579094635689</v>
      </c>
      <c r="Y34">
        <v>7.8629447011379803</v>
      </c>
      <c r="Z34">
        <v>8.6585228170931696</v>
      </c>
      <c r="AA34">
        <v>9.4551319334863901</v>
      </c>
      <c r="AB34">
        <v>10.098898244046101</v>
      </c>
      <c r="AC34">
        <v>11.3625833326667</v>
      </c>
      <c r="AD34">
        <v>12.368749999583301</v>
      </c>
      <c r="AE34">
        <v>12.61083333325</v>
      </c>
      <c r="AF34">
        <v>12.961499999999999</v>
      </c>
      <c r="AG34">
        <v>13.9170833333333</v>
      </c>
      <c r="AH34">
        <v>16.2255</v>
      </c>
      <c r="AI34">
        <v>17.503499999999999</v>
      </c>
      <c r="AJ34">
        <v>22.742433333333299</v>
      </c>
      <c r="AK34">
        <v>25.9180833333333</v>
      </c>
      <c r="AL34">
        <v>30.4932916666667</v>
      </c>
      <c r="AM34">
        <v>31.373742499999999</v>
      </c>
      <c r="AN34">
        <v>32.4270766666667</v>
      </c>
      <c r="AO34">
        <v>35.433173333333301</v>
      </c>
      <c r="AP34">
        <v>36.313285833333303</v>
      </c>
      <c r="AQ34">
        <v>41.259365000000003</v>
      </c>
      <c r="AR34">
        <v>43.055428333333403</v>
      </c>
      <c r="AS34">
        <v>44.941605000000003</v>
      </c>
      <c r="AT34">
        <v>47.186414166666701</v>
      </c>
      <c r="AU34">
        <v>48.610319166666699</v>
      </c>
      <c r="AV34">
        <v>46.583284166666701</v>
      </c>
      <c r="AW34">
        <v>45.316466666666599</v>
      </c>
      <c r="AX34">
        <v>44.099975000000001</v>
      </c>
      <c r="AY34">
        <v>45.3070083333333</v>
      </c>
      <c r="AZ34">
        <v>41.3485333333333</v>
      </c>
      <c r="BA34">
        <v>43.505183333333299</v>
      </c>
      <c r="BB34">
        <v>48.405266666666598</v>
      </c>
      <c r="BC34">
        <v>45.725812121212101</v>
      </c>
      <c r="BD34">
        <v>46.670466666666698</v>
      </c>
      <c r="BE34">
        <v>53.437233333333303</v>
      </c>
      <c r="BF34">
        <v>58.597845416666701</v>
      </c>
      <c r="BG34">
        <v>61.029514460784299</v>
      </c>
      <c r="BH34">
        <v>64.151944463278596</v>
      </c>
      <c r="BI34">
        <v>67.195312807389399</v>
      </c>
      <c r="BJ34">
        <v>65.121568645065906</v>
      </c>
      <c r="BK34">
        <v>68.389467093542194</v>
      </c>
      <c r="BL34">
        <v>70.420340535955106</v>
      </c>
      <c r="BM34">
        <v>74.099566883605206</v>
      </c>
      <c r="BN34">
        <v>73.918012815435105</v>
      </c>
      <c r="BO34">
        <v>78.604490582991602</v>
      </c>
      <c r="BP34">
        <v>82.599276446078406</v>
      </c>
      <c r="BQ34">
        <v>83.669281580941004</v>
      </c>
    </row>
    <row r="35" spans="1:69" x14ac:dyDescent="0.3">
      <c r="A35" t="s">
        <v>72</v>
      </c>
      <c r="B35" t="s">
        <v>73</v>
      </c>
      <c r="C35" t="s">
        <v>6</v>
      </c>
      <c r="D35" t="s">
        <v>7</v>
      </c>
      <c r="E35">
        <v>0.71332088216921496</v>
      </c>
      <c r="F35">
        <v>0.71469443508617803</v>
      </c>
      <c r="G35">
        <v>0.71326549427167696</v>
      </c>
      <c r="H35">
        <v>0.71528718525026103</v>
      </c>
      <c r="I35">
        <v>0.71725864624589497</v>
      </c>
      <c r="J35">
        <v>0.71633440114267999</v>
      </c>
      <c r="K35">
        <v>0.71698343163387301</v>
      </c>
      <c r="L35">
        <v>0.71704961913768805</v>
      </c>
      <c r="M35">
        <v>0.71699815611019702</v>
      </c>
      <c r="N35">
        <v>0.71805712542767897</v>
      </c>
      <c r="O35">
        <v>0.71641352003693604</v>
      </c>
      <c r="P35">
        <v>0.71244376174914903</v>
      </c>
      <c r="Q35">
        <v>0.772828411038462</v>
      </c>
      <c r="R35">
        <v>0.69411413758375096</v>
      </c>
      <c r="S35">
        <v>0.67947700357025098</v>
      </c>
      <c r="T35">
        <v>0.73950770050947401</v>
      </c>
      <c r="U35">
        <v>0.86956499899999995</v>
      </c>
      <c r="V35">
        <v>0.84195966566666702</v>
      </c>
      <c r="W35">
        <v>0.82815699899999995</v>
      </c>
      <c r="X35">
        <v>0.81500666566666702</v>
      </c>
      <c r="Y35">
        <v>0.77722499899999997</v>
      </c>
      <c r="Z35">
        <v>0.83673833233333295</v>
      </c>
      <c r="AA35">
        <v>1.0296608325000001</v>
      </c>
      <c r="AB35">
        <v>1.0969258325</v>
      </c>
      <c r="AC35">
        <v>1.29837333291667</v>
      </c>
      <c r="AD35">
        <v>1.90256666641667</v>
      </c>
      <c r="AE35">
        <v>1.8791441664999999</v>
      </c>
      <c r="AF35">
        <v>1.67894083333333</v>
      </c>
      <c r="AG35">
        <v>1.8285875</v>
      </c>
      <c r="AH35">
        <v>2.0148858333333299</v>
      </c>
      <c r="AI35">
        <v>1.8604658333333299</v>
      </c>
      <c r="AJ35">
        <v>2.0215566666666702</v>
      </c>
      <c r="AK35">
        <v>2.1097250000000001</v>
      </c>
      <c r="AL35">
        <v>2.4230749999999999</v>
      </c>
      <c r="AM35">
        <v>2.6846454999999998</v>
      </c>
      <c r="AN35">
        <v>2.77220666666667</v>
      </c>
      <c r="AO35">
        <v>3.32419666666667</v>
      </c>
      <c r="AP35">
        <v>3.6507633333333298</v>
      </c>
      <c r="AQ35">
        <v>4.2258800000000001</v>
      </c>
      <c r="AR35">
        <v>4.6243952500000001</v>
      </c>
      <c r="AS35">
        <v>5.1022416666666697</v>
      </c>
      <c r="AT35">
        <v>5.84141666666667</v>
      </c>
      <c r="AU35">
        <v>6.3277916666666698</v>
      </c>
      <c r="AV35">
        <v>4.94966666666667</v>
      </c>
      <c r="AW35">
        <v>4.6938333333333304</v>
      </c>
      <c r="AX35">
        <v>5.1167499999999997</v>
      </c>
      <c r="AY35">
        <v>5.8303000000000003</v>
      </c>
      <c r="AZ35">
        <v>6.1394083333333302</v>
      </c>
      <c r="BA35">
        <v>6.8268583333333304</v>
      </c>
      <c r="BB35">
        <v>7.1551416666666698</v>
      </c>
      <c r="BC35">
        <v>6.7936249999999996</v>
      </c>
      <c r="BD35">
        <v>6.8382333333333296</v>
      </c>
      <c r="BE35">
        <v>7.6405250000000002</v>
      </c>
      <c r="BF35">
        <v>8.3989083333333294</v>
      </c>
      <c r="BG35">
        <v>8.9760833333333299</v>
      </c>
      <c r="BH35">
        <v>10.1289916666667</v>
      </c>
      <c r="BI35">
        <v>10.901158333333299</v>
      </c>
      <c r="BJ35">
        <v>10.3474166666667</v>
      </c>
      <c r="BK35">
        <v>10.199975</v>
      </c>
      <c r="BL35">
        <v>10.7558666666667</v>
      </c>
      <c r="BM35">
        <v>11.456241666666701</v>
      </c>
      <c r="BN35">
        <v>11.087258333333301</v>
      </c>
      <c r="BO35">
        <v>12.3688083333333</v>
      </c>
      <c r="BP35">
        <v>13.5963833333333</v>
      </c>
      <c r="BQ35">
        <v>13.563133333333299</v>
      </c>
    </row>
    <row r="36" spans="1:69" x14ac:dyDescent="0.3">
      <c r="A36" t="s">
        <v>74</v>
      </c>
      <c r="B36" t="s">
        <v>75</v>
      </c>
      <c r="C36" t="s">
        <v>6</v>
      </c>
      <c r="D36" t="s">
        <v>7</v>
      </c>
      <c r="E36">
        <v>245.19510139835899</v>
      </c>
      <c r="F36">
        <v>245.26010162116</v>
      </c>
      <c r="G36">
        <v>245.013850686544</v>
      </c>
      <c r="H36">
        <v>245.01635069607499</v>
      </c>
      <c r="I36">
        <v>245.027184079042</v>
      </c>
      <c r="J36">
        <v>245.06093420770799</v>
      </c>
      <c r="K36">
        <v>245.67843655764401</v>
      </c>
      <c r="L36">
        <v>246.00093779128099</v>
      </c>
      <c r="M36">
        <v>247.56469375695099</v>
      </c>
      <c r="N36">
        <v>259.960574351236</v>
      </c>
      <c r="O36">
        <v>276.403137026845</v>
      </c>
      <c r="P36">
        <v>275.35645668533198</v>
      </c>
      <c r="Q36">
        <v>252.02762746264901</v>
      </c>
      <c r="R36">
        <v>222.88918305322699</v>
      </c>
      <c r="S36">
        <v>240.70466763782301</v>
      </c>
      <c r="T36">
        <v>214.31290034121901</v>
      </c>
      <c r="U36">
        <v>238.95049426705901</v>
      </c>
      <c r="V36">
        <v>245.67968656657601</v>
      </c>
      <c r="W36">
        <v>225.65586023395699</v>
      </c>
      <c r="X36">
        <v>212.721644262377</v>
      </c>
      <c r="Y36">
        <v>211.27955541470499</v>
      </c>
      <c r="Z36">
        <v>271.73145255032699</v>
      </c>
      <c r="AA36">
        <v>328.60625269898998</v>
      </c>
      <c r="AB36">
        <v>381.06603602462798</v>
      </c>
      <c r="AC36">
        <v>436.95666578800802</v>
      </c>
      <c r="AD36">
        <v>449.26296271160697</v>
      </c>
      <c r="AE36">
        <v>346.305903554493</v>
      </c>
      <c r="AF36">
        <v>300.53656240147802</v>
      </c>
      <c r="AG36">
        <v>297.84821881937802</v>
      </c>
      <c r="AH36">
        <v>319.008299487903</v>
      </c>
      <c r="AI36">
        <v>272.264787954393</v>
      </c>
      <c r="AJ36">
        <v>282.10690880881998</v>
      </c>
      <c r="AK36">
        <v>264.69180075057898</v>
      </c>
      <c r="AL36">
        <v>283.16257950001801</v>
      </c>
      <c r="AM36">
        <v>555.20469565569704</v>
      </c>
      <c r="AN36">
        <v>499.14842590131002</v>
      </c>
      <c r="AO36">
        <v>511.55243027251601</v>
      </c>
      <c r="AP36">
        <v>583.66937235339606</v>
      </c>
      <c r="AQ36">
        <v>589.951774567332</v>
      </c>
      <c r="AR36">
        <v>615.47334931916396</v>
      </c>
      <c r="AS36">
        <v>710.20797703136702</v>
      </c>
      <c r="AT36">
        <v>732.39769326022804</v>
      </c>
      <c r="AU36">
        <v>693.71322649637398</v>
      </c>
      <c r="AV36">
        <v>579.897426172466</v>
      </c>
      <c r="AW36">
        <v>527.33803229157604</v>
      </c>
      <c r="AX36">
        <v>527.25836264962595</v>
      </c>
      <c r="AY36">
        <v>522.42562489517604</v>
      </c>
      <c r="AZ36">
        <v>478.63371847636301</v>
      </c>
      <c r="BA36">
        <v>446.00004143278801</v>
      </c>
      <c r="BB36">
        <v>470.29342334139801</v>
      </c>
      <c r="BC36">
        <v>494.794262222947</v>
      </c>
      <c r="BD36">
        <v>471.24862571893698</v>
      </c>
      <c r="BE36">
        <v>510.55633845425098</v>
      </c>
      <c r="BF36">
        <v>493.89962385223703</v>
      </c>
      <c r="BG36">
        <v>493.757329875312</v>
      </c>
      <c r="BH36">
        <v>591.21169798260996</v>
      </c>
      <c r="BI36">
        <v>592.60561506302201</v>
      </c>
      <c r="BJ36">
        <v>580.65674958785803</v>
      </c>
      <c r="BK36">
        <v>555.44645839822601</v>
      </c>
      <c r="BL36">
        <v>585.91101318036897</v>
      </c>
      <c r="BM36">
        <v>575.58600451094503</v>
      </c>
      <c r="BN36">
        <v>554.53067503310399</v>
      </c>
      <c r="BO36">
        <v>623.75970091118199</v>
      </c>
      <c r="BP36">
        <v>606.56975016591696</v>
      </c>
      <c r="BQ36">
        <v>606.34529760906298</v>
      </c>
    </row>
    <row r="37" spans="1:69" x14ac:dyDescent="0.3">
      <c r="A37" t="s">
        <v>76</v>
      </c>
      <c r="B37" t="s">
        <v>77</v>
      </c>
      <c r="C37" t="s">
        <v>6</v>
      </c>
      <c r="D37" t="s">
        <v>7</v>
      </c>
      <c r="E37">
        <v>0.96976678666666705</v>
      </c>
      <c r="F37">
        <v>1.01306251583333</v>
      </c>
      <c r="G37">
        <v>1.06876922408333</v>
      </c>
      <c r="H37">
        <v>1.07851434416667</v>
      </c>
      <c r="I37">
        <v>1.07859841916667</v>
      </c>
      <c r="J37">
        <v>1.07798428416667</v>
      </c>
      <c r="K37">
        <v>1.0773415666666699</v>
      </c>
      <c r="L37">
        <v>1.0787104241666701</v>
      </c>
      <c r="M37">
        <v>1.0774714008333299</v>
      </c>
      <c r="N37">
        <v>1.0767805125000001</v>
      </c>
      <c r="O37">
        <v>1.0442187441666699</v>
      </c>
      <c r="P37">
        <v>1.00981054416667</v>
      </c>
      <c r="Q37">
        <v>0.99066255583333396</v>
      </c>
      <c r="R37">
        <v>1.00009014</v>
      </c>
      <c r="S37">
        <v>0.97801752558333399</v>
      </c>
      <c r="T37">
        <v>1.01715926333333</v>
      </c>
      <c r="U37">
        <v>0.98602830408333297</v>
      </c>
      <c r="V37">
        <v>1.06344161083333</v>
      </c>
      <c r="W37">
        <v>1.14065917075</v>
      </c>
      <c r="X37">
        <v>1.17142449583333</v>
      </c>
      <c r="Y37">
        <v>1.1692268666666701</v>
      </c>
      <c r="Z37">
        <v>1.1989031208333301</v>
      </c>
      <c r="AA37">
        <v>1.23373491166667</v>
      </c>
      <c r="AB37">
        <v>1.23241182741667</v>
      </c>
      <c r="AC37">
        <v>1.29506561083333</v>
      </c>
      <c r="AD37">
        <v>1.36550739166667</v>
      </c>
      <c r="AE37">
        <v>1.3894710591666699</v>
      </c>
      <c r="AF37">
        <v>1.3259825816666699</v>
      </c>
      <c r="AG37">
        <v>1.23070084666667</v>
      </c>
      <c r="AH37">
        <v>1.1839720841666701</v>
      </c>
      <c r="AI37">
        <v>1.1667736266666699</v>
      </c>
      <c r="AJ37">
        <v>1.14572584416667</v>
      </c>
      <c r="AK37">
        <v>1.20872292</v>
      </c>
      <c r="AL37">
        <v>1.2900878816666701</v>
      </c>
      <c r="AM37">
        <v>1.3656734475000001</v>
      </c>
      <c r="AN37">
        <v>1.3724454183333299</v>
      </c>
      <c r="AO37">
        <v>1.36352163583333</v>
      </c>
      <c r="AP37">
        <v>1.3845980283333299</v>
      </c>
      <c r="AQ37">
        <v>1.4835053016666699</v>
      </c>
      <c r="AR37">
        <v>1.48570481916667</v>
      </c>
      <c r="AS37">
        <v>1.485394095</v>
      </c>
      <c r="AT37">
        <v>1.548839955</v>
      </c>
      <c r="AU37">
        <v>1.5703428341666701</v>
      </c>
      <c r="AV37">
        <v>1.4010145475</v>
      </c>
      <c r="AW37">
        <v>1.3012815950000001</v>
      </c>
      <c r="AX37">
        <v>1.2114051341666701</v>
      </c>
      <c r="AY37">
        <v>1.1343447258333299</v>
      </c>
      <c r="AZ37">
        <v>1.0740456216666701</v>
      </c>
      <c r="BA37">
        <v>1.06708691833333</v>
      </c>
      <c r="BB37">
        <v>1.1415354059127001</v>
      </c>
      <c r="BC37">
        <v>1.03011273517598</v>
      </c>
      <c r="BD37">
        <v>0.98925815863636402</v>
      </c>
      <c r="BE37">
        <v>0.99936474359307403</v>
      </c>
      <c r="BF37">
        <v>1.0301373637301601</v>
      </c>
      <c r="BG37">
        <v>1.10474713237886</v>
      </c>
      <c r="BH37">
        <v>1.27878620362554</v>
      </c>
      <c r="BI37">
        <v>1.3256151637482001</v>
      </c>
      <c r="BJ37">
        <v>1.2979358464603901</v>
      </c>
      <c r="BK37">
        <v>1.2958179281353399</v>
      </c>
      <c r="BL37">
        <v>1.32679336266012</v>
      </c>
      <c r="BM37">
        <v>1.34115267222386</v>
      </c>
      <c r="BN37">
        <v>1.2538769021267999</v>
      </c>
      <c r="BO37">
        <v>1.3015547747435501</v>
      </c>
      <c r="BP37">
        <v>1.3499086407939</v>
      </c>
      <c r="BQ37">
        <v>1.36935976604092</v>
      </c>
    </row>
    <row r="38" spans="1:69" x14ac:dyDescent="0.3">
      <c r="A38" t="s">
        <v>78</v>
      </c>
      <c r="B38" t="s">
        <v>79</v>
      </c>
      <c r="C38" t="s">
        <v>6</v>
      </c>
      <c r="D38" t="s">
        <v>7</v>
      </c>
    </row>
    <row r="39" spans="1:69" x14ac:dyDescent="0.3">
      <c r="A39" t="s">
        <v>80</v>
      </c>
      <c r="B39" t="s">
        <v>81</v>
      </c>
      <c r="C39" t="s">
        <v>6</v>
      </c>
      <c r="D39" t="s">
        <v>7</v>
      </c>
      <c r="E39">
        <v>4.3729500033729503</v>
      </c>
      <c r="F39">
        <v>4.3729500033729503</v>
      </c>
      <c r="G39">
        <v>4.3729500033729503</v>
      </c>
      <c r="H39">
        <v>4.3729500033729503</v>
      </c>
      <c r="I39">
        <v>4.3729500033729503</v>
      </c>
      <c r="J39">
        <v>4.3729500033729503</v>
      </c>
      <c r="K39">
        <v>4.3729500033729503</v>
      </c>
      <c r="L39">
        <v>4.3729500033729503</v>
      </c>
      <c r="M39">
        <v>4.3729500033729503</v>
      </c>
      <c r="N39">
        <v>4.3729500033729503</v>
      </c>
      <c r="O39">
        <v>4.3729500033729503</v>
      </c>
      <c r="P39">
        <v>4.1338541683120198</v>
      </c>
      <c r="Q39">
        <v>3.8192499990000002</v>
      </c>
      <c r="R39">
        <v>3.16483333241667</v>
      </c>
      <c r="S39">
        <v>2.9792499989999999</v>
      </c>
      <c r="T39">
        <v>2.5812833324166702</v>
      </c>
      <c r="U39">
        <v>2.49964166575</v>
      </c>
      <c r="V39">
        <v>2.4035249993333299</v>
      </c>
      <c r="W39">
        <v>1.7880249992499999</v>
      </c>
      <c r="X39">
        <v>1.6627249990833299</v>
      </c>
      <c r="Y39">
        <v>1.67570833258333</v>
      </c>
      <c r="Z39">
        <v>1.9642416659166699</v>
      </c>
      <c r="AA39">
        <v>2.0302749990833302</v>
      </c>
      <c r="AB39">
        <v>2.0991416657499999</v>
      </c>
      <c r="AC39">
        <v>2.34968333283333</v>
      </c>
      <c r="AD39">
        <v>2.457125</v>
      </c>
      <c r="AE39">
        <v>1.7989166665</v>
      </c>
      <c r="AF39">
        <v>1.49119166666667</v>
      </c>
      <c r="AG39">
        <v>1.4633</v>
      </c>
      <c r="AH39">
        <v>1.6359250000000001</v>
      </c>
      <c r="AI39">
        <v>1.3891583333333299</v>
      </c>
      <c r="AJ39">
        <v>1.4339916666666701</v>
      </c>
      <c r="AK39">
        <v>1.40621833333333</v>
      </c>
      <c r="AL39">
        <v>1.4776166666666699</v>
      </c>
      <c r="AM39">
        <v>1.3676925</v>
      </c>
      <c r="AN39">
        <v>1.18246916666667</v>
      </c>
      <c r="AO39">
        <v>1.2360100000000001</v>
      </c>
      <c r="AP39">
        <v>1.4513125</v>
      </c>
      <c r="AQ39">
        <v>1.44981330833333</v>
      </c>
      <c r="AR39">
        <v>1.5021549999999999</v>
      </c>
      <c r="AS39">
        <v>1.6888425</v>
      </c>
      <c r="AT39">
        <v>1.6876150000000001</v>
      </c>
      <c r="AU39">
        <v>1.5586074999999999</v>
      </c>
      <c r="AV39">
        <v>1.34665083333333</v>
      </c>
      <c r="AW39">
        <v>1.2434958333333299</v>
      </c>
      <c r="AX39">
        <v>1.2451766666666699</v>
      </c>
      <c r="AY39">
        <v>1.2538433333333301</v>
      </c>
      <c r="AZ39">
        <v>1.20036583333333</v>
      </c>
      <c r="BA39">
        <v>1.0830900000000001</v>
      </c>
      <c r="BB39">
        <v>1.08814169630268</v>
      </c>
      <c r="BC39">
        <v>1.04290564573352</v>
      </c>
      <c r="BD39">
        <v>0.88804202822328104</v>
      </c>
      <c r="BE39">
        <v>0.93768448070934896</v>
      </c>
      <c r="BF39">
        <v>0.92690354775828498</v>
      </c>
      <c r="BG39">
        <v>0.91615104728361296</v>
      </c>
      <c r="BH39">
        <v>0.96238132800435405</v>
      </c>
      <c r="BI39">
        <v>0.98539439424483499</v>
      </c>
      <c r="BJ39">
        <v>0.98469166666666696</v>
      </c>
      <c r="BK39">
        <v>0.97789166666666705</v>
      </c>
      <c r="BL39">
        <v>0.99370916666666698</v>
      </c>
      <c r="BM39">
        <v>0.93896500000000005</v>
      </c>
      <c r="BN39">
        <v>0.91384583333333302</v>
      </c>
      <c r="BO39">
        <v>0.95483249999999997</v>
      </c>
      <c r="BP39">
        <v>0.89849000000000001</v>
      </c>
      <c r="BQ39">
        <v>0.88044083333333301</v>
      </c>
    </row>
    <row r="40" spans="1:69" x14ac:dyDescent="0.3">
      <c r="A40" t="s">
        <v>82</v>
      </c>
      <c r="B40" t="s">
        <v>83</v>
      </c>
      <c r="C40" t="s">
        <v>6</v>
      </c>
      <c r="D40" t="s">
        <v>7</v>
      </c>
      <c r="E40">
        <v>0.357142999357143</v>
      </c>
      <c r="F40">
        <v>0.357142999357143</v>
      </c>
      <c r="G40">
        <v>0.357142999357143</v>
      </c>
      <c r="H40">
        <v>0.357142999357143</v>
      </c>
      <c r="I40">
        <v>0.357142999357143</v>
      </c>
      <c r="J40">
        <v>0.357142999357143</v>
      </c>
      <c r="K40">
        <v>0.357142999357143</v>
      </c>
      <c r="L40">
        <v>0.36210333266567502</v>
      </c>
      <c r="M40">
        <v>0.41666699941666702</v>
      </c>
      <c r="N40">
        <v>0.41666699941666702</v>
      </c>
      <c r="O40">
        <v>0.41666699941666702</v>
      </c>
      <c r="P40">
        <v>0.41092023742942502</v>
      </c>
      <c r="Q40">
        <v>0.40039046153000801</v>
      </c>
      <c r="R40">
        <v>0.40817094529930698</v>
      </c>
      <c r="S40">
        <v>0.42775643974766298</v>
      </c>
      <c r="T40">
        <v>0.45204116566666702</v>
      </c>
      <c r="U40">
        <v>0.55650983233333395</v>
      </c>
      <c r="V40">
        <v>0.57327199900000003</v>
      </c>
      <c r="W40">
        <v>0.52150458233333397</v>
      </c>
      <c r="X40">
        <v>0.47218116566666701</v>
      </c>
      <c r="Y40">
        <v>0.43029499900000001</v>
      </c>
      <c r="Z40">
        <v>0.49764133233333402</v>
      </c>
      <c r="AA40">
        <v>0.57244683233333304</v>
      </c>
      <c r="AB40">
        <v>0.65972458233333398</v>
      </c>
      <c r="AC40">
        <v>0.75180666625000003</v>
      </c>
      <c r="AD40">
        <v>0.77924599974999997</v>
      </c>
      <c r="AE40">
        <v>0.68219733333333299</v>
      </c>
      <c r="AF40">
        <v>0.61192650000000004</v>
      </c>
      <c r="AG40">
        <v>0.56217016666666697</v>
      </c>
      <c r="AH40">
        <v>0.61117275000000004</v>
      </c>
      <c r="AI40">
        <v>0.56317716666666695</v>
      </c>
      <c r="AJ40">
        <v>0.56701533333333298</v>
      </c>
      <c r="AK40">
        <v>0.56977416666666703</v>
      </c>
      <c r="AL40">
        <v>0.66675655333333295</v>
      </c>
      <c r="AM40">
        <v>0.65342660416666698</v>
      </c>
      <c r="AN40">
        <v>0.63366811999999995</v>
      </c>
      <c r="AO40">
        <v>0.64095825500000003</v>
      </c>
      <c r="AP40">
        <v>0.61083611416666705</v>
      </c>
      <c r="AQ40">
        <v>0.60382359416666698</v>
      </c>
      <c r="AR40">
        <v>0.61805684500000002</v>
      </c>
      <c r="AS40">
        <v>0.66093083333333302</v>
      </c>
      <c r="AT40">
        <v>0.69465500000000002</v>
      </c>
      <c r="AU40">
        <v>0.66722333333333295</v>
      </c>
      <c r="AV40">
        <v>0.61247249999999998</v>
      </c>
      <c r="AW40">
        <v>0.54618</v>
      </c>
      <c r="AX40">
        <v>0.54999833333333303</v>
      </c>
      <c r="AY40">
        <v>0.54348666666666701</v>
      </c>
      <c r="AZ40">
        <v>0.499771666666667</v>
      </c>
      <c r="BA40">
        <v>0.54396624999999998</v>
      </c>
      <c r="BB40">
        <v>0.64191926349599604</v>
      </c>
      <c r="BC40">
        <v>0.64717934556016499</v>
      </c>
      <c r="BD40">
        <v>0.62414083574049495</v>
      </c>
      <c r="BE40">
        <v>0.63304698885732702</v>
      </c>
      <c r="BF40">
        <v>0.63966057761347705</v>
      </c>
      <c r="BG40">
        <v>0.60772962687825505</v>
      </c>
      <c r="BH40">
        <v>0.65454547893142601</v>
      </c>
      <c r="BI40">
        <v>0.74063446369708397</v>
      </c>
      <c r="BJ40">
        <v>0.77697668234412298</v>
      </c>
      <c r="BK40">
        <v>0.74953154025984703</v>
      </c>
      <c r="BL40">
        <v>0.78344511001192896</v>
      </c>
      <c r="BM40">
        <v>0.77999957669715303</v>
      </c>
      <c r="BN40">
        <v>0.72706494468832294</v>
      </c>
      <c r="BO40">
        <v>0.811301715827773</v>
      </c>
      <c r="BP40">
        <v>0.80453890673435302</v>
      </c>
      <c r="BQ40">
        <v>0.78241458098626204</v>
      </c>
    </row>
    <row r="41" spans="1:69" x14ac:dyDescent="0.3">
      <c r="A41" t="s">
        <v>84</v>
      </c>
      <c r="B41" t="s">
        <v>85</v>
      </c>
      <c r="C41" t="s">
        <v>6</v>
      </c>
      <c r="D41" t="s">
        <v>7</v>
      </c>
      <c r="E41">
        <v>1.0489693750843499E-3</v>
      </c>
      <c r="F41">
        <v>1.05013600777515E-3</v>
      </c>
      <c r="G41">
        <v>1.05763578898984E-3</v>
      </c>
      <c r="H41">
        <v>1.6217859852693699E-3</v>
      </c>
      <c r="I41">
        <v>2.3074326347769501E-3</v>
      </c>
      <c r="J41">
        <v>3.1566578421154401E-3</v>
      </c>
      <c r="K41">
        <v>3.8511375671629201E-3</v>
      </c>
      <c r="L41">
        <v>5.0682687003574898E-3</v>
      </c>
      <c r="M41">
        <v>6.8764659110372899E-3</v>
      </c>
      <c r="N41">
        <v>8.6175817471208106E-3</v>
      </c>
      <c r="O41">
        <v>1.12775040919884E-2</v>
      </c>
      <c r="P41">
        <v>1.22086435743848E-2</v>
      </c>
      <c r="Q41">
        <v>2.0835225059596601E-2</v>
      </c>
      <c r="R41">
        <v>7.1641908452915404E-2</v>
      </c>
      <c r="S41">
        <v>0.59282626128923499</v>
      </c>
      <c r="T41">
        <v>4.91041666666667</v>
      </c>
      <c r="U41">
        <v>13.054166666666699</v>
      </c>
      <c r="V41">
        <v>21.535833333333301</v>
      </c>
      <c r="W41">
        <v>31.655833333333302</v>
      </c>
      <c r="X41">
        <v>37.245833333333302</v>
      </c>
      <c r="Y41">
        <v>39</v>
      </c>
      <c r="Z41">
        <v>39</v>
      </c>
      <c r="AA41">
        <v>50.908333333333303</v>
      </c>
      <c r="AB41">
        <v>78.788333333333298</v>
      </c>
      <c r="AC41">
        <v>98.477500000000006</v>
      </c>
      <c r="AD41">
        <v>160.85999999991699</v>
      </c>
      <c r="AE41">
        <v>192.92999999966699</v>
      </c>
      <c r="AF41">
        <v>219.40666666666701</v>
      </c>
      <c r="AG41">
        <v>245.011666666667</v>
      </c>
      <c r="AH41">
        <v>266.95416666666699</v>
      </c>
      <c r="AI41">
        <v>304.90333333333302</v>
      </c>
      <c r="AJ41">
        <v>349.21583333333302</v>
      </c>
      <c r="AK41">
        <v>362.57583333333298</v>
      </c>
      <c r="AL41">
        <v>404.16583333333301</v>
      </c>
      <c r="AM41">
        <v>420.17666666666702</v>
      </c>
      <c r="AN41">
        <v>396.77333333333303</v>
      </c>
      <c r="AO41">
        <v>412.26666666666699</v>
      </c>
      <c r="AP41">
        <v>419.29500000000002</v>
      </c>
      <c r="AQ41">
        <v>460.28750000000002</v>
      </c>
      <c r="AR41">
        <v>508.77666666666698</v>
      </c>
      <c r="AS41">
        <v>539.58749999999998</v>
      </c>
      <c r="AT41">
        <v>634.93833333333396</v>
      </c>
      <c r="AU41">
        <v>688.93666666666695</v>
      </c>
      <c r="AV41">
        <v>691.39750000000004</v>
      </c>
      <c r="AW41">
        <v>609.52916666666704</v>
      </c>
      <c r="AX41">
        <v>559.76750000000004</v>
      </c>
      <c r="AY41">
        <v>530.27499999999998</v>
      </c>
      <c r="AZ41">
        <v>522.46416666666698</v>
      </c>
      <c r="BA41">
        <v>522.46103583333399</v>
      </c>
      <c r="BB41">
        <v>560.85989484127003</v>
      </c>
      <c r="BC41">
        <v>510.24916666666701</v>
      </c>
      <c r="BD41">
        <v>483.66750000000002</v>
      </c>
      <c r="BE41">
        <v>486.47130339105303</v>
      </c>
      <c r="BF41">
        <v>495.272877645503</v>
      </c>
      <c r="BG41">
        <v>570.34821612743997</v>
      </c>
      <c r="BH41">
        <v>654.12408425419596</v>
      </c>
      <c r="BI41">
        <v>676.95773604465705</v>
      </c>
      <c r="BJ41">
        <v>648.83379259826097</v>
      </c>
      <c r="BK41">
        <v>641.27681306639499</v>
      </c>
      <c r="BL41">
        <v>702.89742256152897</v>
      </c>
      <c r="BM41">
        <v>792.72720610316901</v>
      </c>
      <c r="BN41">
        <v>758.955378658977</v>
      </c>
      <c r="BO41">
        <v>873.31418954301398</v>
      </c>
      <c r="BP41">
        <v>840.06652665149898</v>
      </c>
      <c r="BQ41">
        <v>943.57216742148796</v>
      </c>
    </row>
    <row r="42" spans="1:69" x14ac:dyDescent="0.3">
      <c r="A42" t="s">
        <v>86</v>
      </c>
      <c r="B42" t="s">
        <v>87</v>
      </c>
      <c r="C42" t="s">
        <v>6</v>
      </c>
      <c r="D42" t="s">
        <v>7</v>
      </c>
      <c r="E42">
        <v>2.46180889882528</v>
      </c>
      <c r="F42">
        <v>2.46180889882528</v>
      </c>
      <c r="G42">
        <v>2.46180889882528</v>
      </c>
      <c r="H42">
        <v>2.46180889882528</v>
      </c>
      <c r="I42">
        <v>2.46180889882528</v>
      </c>
      <c r="J42">
        <v>2.46180889882528</v>
      </c>
      <c r="K42">
        <v>2.46180889882528</v>
      </c>
      <c r="L42">
        <v>2.46180889882528</v>
      </c>
      <c r="M42">
        <v>2.46180889882528</v>
      </c>
      <c r="N42">
        <v>2.46180889882528</v>
      </c>
      <c r="O42">
        <v>2.46180889882528</v>
      </c>
      <c r="P42">
        <v>2.46180889882528</v>
      </c>
      <c r="Q42">
        <v>2.2450664486006602</v>
      </c>
      <c r="R42">
        <v>1.9894155246324701</v>
      </c>
      <c r="S42">
        <v>1.96110708887637</v>
      </c>
      <c r="T42">
        <v>1.8598233893865801</v>
      </c>
      <c r="U42">
        <v>1.9414153510209899</v>
      </c>
      <c r="V42">
        <v>1.85782338223958</v>
      </c>
      <c r="W42">
        <v>1.68358941885647</v>
      </c>
      <c r="X42">
        <v>1.5549389540148599</v>
      </c>
      <c r="Y42">
        <v>1.49838605814132</v>
      </c>
      <c r="Z42">
        <v>1.7045416658333301</v>
      </c>
      <c r="AA42">
        <v>1.8925416658333301</v>
      </c>
      <c r="AB42">
        <v>1.97567499916667</v>
      </c>
      <c r="AC42">
        <v>2.3200416662499999</v>
      </c>
      <c r="AD42">
        <v>2.93665833325</v>
      </c>
      <c r="AE42">
        <v>3.4527916665833298</v>
      </c>
      <c r="AF42">
        <v>3.7221000000000002</v>
      </c>
      <c r="AG42">
        <v>3.7221000000000002</v>
      </c>
      <c r="AH42">
        <v>3.7651083333333299</v>
      </c>
      <c r="AI42">
        <v>4.78320833333333</v>
      </c>
      <c r="AJ42">
        <v>5.3233916666666703</v>
      </c>
      <c r="AK42">
        <v>5.5145916666666697</v>
      </c>
      <c r="AL42">
        <v>5.7619583333333404</v>
      </c>
      <c r="AM42">
        <v>8.6187426666666607</v>
      </c>
      <c r="AN42">
        <v>8.3514166666666707</v>
      </c>
      <c r="AO42">
        <v>8.3141750000000005</v>
      </c>
      <c r="AP42">
        <v>8.2898166666666704</v>
      </c>
      <c r="AQ42">
        <v>8.2789583333333301</v>
      </c>
      <c r="AR42">
        <v>8.2782499999999999</v>
      </c>
      <c r="AS42">
        <v>8.2785041666666608</v>
      </c>
      <c r="AT42">
        <v>8.2770683333333306</v>
      </c>
      <c r="AU42">
        <v>8.2769575</v>
      </c>
      <c r="AV42">
        <v>8.2770366666666693</v>
      </c>
      <c r="AW42">
        <v>8.2768008333333292</v>
      </c>
      <c r="AX42">
        <v>8.1943166666666691</v>
      </c>
      <c r="AY42">
        <v>7.9734383333333296</v>
      </c>
      <c r="AZ42">
        <v>7.6075324999999996</v>
      </c>
      <c r="BA42">
        <v>6.9486549999999996</v>
      </c>
      <c r="BB42">
        <v>6.8314160517666602</v>
      </c>
      <c r="BC42">
        <v>6.7702690287093903</v>
      </c>
      <c r="BD42">
        <v>6.4614613265500704</v>
      </c>
      <c r="BE42">
        <v>6.3123328268318604</v>
      </c>
      <c r="BF42">
        <v>6.19575834608231</v>
      </c>
      <c r="BG42">
        <v>6.1434340944886703</v>
      </c>
      <c r="BH42">
        <v>6.22748867298455</v>
      </c>
      <c r="BI42">
        <v>6.6444778294468003</v>
      </c>
      <c r="BJ42">
        <v>6.7587550863359702</v>
      </c>
      <c r="BK42">
        <v>6.6159571773543897</v>
      </c>
      <c r="BL42">
        <v>6.9083850099290096</v>
      </c>
      <c r="BM42">
        <v>6.9007672694492497</v>
      </c>
      <c r="BN42">
        <v>6.4489751802431599</v>
      </c>
      <c r="BO42">
        <v>6.7371581123711897</v>
      </c>
      <c r="BP42">
        <v>7.0839984234363103</v>
      </c>
      <c r="BQ42">
        <v>7.1974911078991699</v>
      </c>
    </row>
    <row r="43" spans="1:69" x14ac:dyDescent="0.3">
      <c r="A43" t="s">
        <v>88</v>
      </c>
      <c r="B43" t="s">
        <v>89</v>
      </c>
      <c r="C43" t="s">
        <v>6</v>
      </c>
      <c r="D43" t="s">
        <v>7</v>
      </c>
      <c r="E43">
        <v>245.19510139835899</v>
      </c>
      <c r="F43">
        <v>245.26010162116</v>
      </c>
      <c r="G43">
        <v>245.013850686544</v>
      </c>
      <c r="H43">
        <v>245.01635069607499</v>
      </c>
      <c r="I43">
        <v>245.027184079042</v>
      </c>
      <c r="J43">
        <v>245.06093420770799</v>
      </c>
      <c r="K43">
        <v>245.67843655764401</v>
      </c>
      <c r="L43">
        <v>246.00093779128099</v>
      </c>
      <c r="M43">
        <v>247.56469375695099</v>
      </c>
      <c r="N43">
        <v>259.960574351236</v>
      </c>
      <c r="O43">
        <v>276.403137026845</v>
      </c>
      <c r="P43">
        <v>275.35645668533198</v>
      </c>
      <c r="Q43">
        <v>252.02762746264901</v>
      </c>
      <c r="R43">
        <v>222.88918305322699</v>
      </c>
      <c r="S43">
        <v>240.70466763782301</v>
      </c>
      <c r="T43">
        <v>214.31290034121901</v>
      </c>
      <c r="U43">
        <v>238.95049426705901</v>
      </c>
      <c r="V43">
        <v>245.67968656657601</v>
      </c>
      <c r="W43">
        <v>225.65586023395699</v>
      </c>
      <c r="X43">
        <v>212.721644262377</v>
      </c>
      <c r="Y43">
        <v>211.27955541470499</v>
      </c>
      <c r="Z43">
        <v>271.73145255032699</v>
      </c>
      <c r="AA43">
        <v>328.60625269898998</v>
      </c>
      <c r="AB43">
        <v>381.06603602462798</v>
      </c>
      <c r="AC43">
        <v>436.95666578800802</v>
      </c>
      <c r="AD43">
        <v>449.26296271160697</v>
      </c>
      <c r="AE43">
        <v>346.305903554493</v>
      </c>
      <c r="AF43">
        <v>300.53656240147802</v>
      </c>
      <c r="AG43">
        <v>297.84821881937802</v>
      </c>
      <c r="AH43">
        <v>319.008299487903</v>
      </c>
      <c r="AI43">
        <v>272.264787954393</v>
      </c>
      <c r="AJ43">
        <v>282.10690880881998</v>
      </c>
      <c r="AK43">
        <v>264.69180075057898</v>
      </c>
      <c r="AL43">
        <v>283.16257950001801</v>
      </c>
      <c r="AM43">
        <v>555.20469565569704</v>
      </c>
      <c r="AN43">
        <v>499.14842590131002</v>
      </c>
      <c r="AO43">
        <v>511.55243027251601</v>
      </c>
      <c r="AP43">
        <v>583.66937235339606</v>
      </c>
      <c r="AQ43">
        <v>589.951774567332</v>
      </c>
      <c r="AR43">
        <v>615.47334931916396</v>
      </c>
      <c r="AS43">
        <v>710.20797703136702</v>
      </c>
      <c r="AT43">
        <v>732.39769326022804</v>
      </c>
      <c r="AU43">
        <v>693.71322649637398</v>
      </c>
      <c r="AV43">
        <v>579.897426172466</v>
      </c>
      <c r="AW43">
        <v>527.33803229157604</v>
      </c>
      <c r="AX43">
        <v>527.25836264962595</v>
      </c>
      <c r="AY43">
        <v>522.42562489517604</v>
      </c>
      <c r="AZ43">
        <v>478.63371847636301</v>
      </c>
      <c r="BA43">
        <v>446.00004143278801</v>
      </c>
      <c r="BB43">
        <v>470.29342334139801</v>
      </c>
      <c r="BC43">
        <v>494.794262222947</v>
      </c>
      <c r="BD43">
        <v>471.24862571893698</v>
      </c>
      <c r="BE43">
        <v>510.55633845425098</v>
      </c>
      <c r="BF43">
        <v>493.89962385223703</v>
      </c>
      <c r="BG43">
        <v>493.757329875312</v>
      </c>
      <c r="BH43">
        <v>591.21169798260996</v>
      </c>
      <c r="BI43">
        <v>592.60561506302201</v>
      </c>
      <c r="BJ43">
        <v>580.65674958785803</v>
      </c>
      <c r="BK43">
        <v>555.44645839822601</v>
      </c>
      <c r="BL43">
        <v>585.91101318036897</v>
      </c>
      <c r="BM43">
        <v>575.58600451094503</v>
      </c>
      <c r="BN43">
        <v>554.53067503310399</v>
      </c>
      <c r="BO43">
        <v>623.75970091118199</v>
      </c>
      <c r="BP43">
        <v>606.56975016591696</v>
      </c>
      <c r="BQ43">
        <v>606.34529760906298</v>
      </c>
    </row>
    <row r="44" spans="1:69" x14ac:dyDescent="0.3">
      <c r="A44" t="s">
        <v>90</v>
      </c>
      <c r="B44" t="s">
        <v>91</v>
      </c>
      <c r="C44" t="s">
        <v>6</v>
      </c>
      <c r="D44" t="s">
        <v>7</v>
      </c>
      <c r="E44">
        <v>245.19510139835899</v>
      </c>
      <c r="F44">
        <v>245.26010162116</v>
      </c>
      <c r="G44">
        <v>245.013850686544</v>
      </c>
      <c r="H44">
        <v>245.01635069607499</v>
      </c>
      <c r="I44">
        <v>245.027184079042</v>
      </c>
      <c r="J44">
        <v>245.06093420770799</v>
      </c>
      <c r="K44">
        <v>245.67843655764401</v>
      </c>
      <c r="L44">
        <v>246.00093779128099</v>
      </c>
      <c r="M44">
        <v>247.56469375695099</v>
      </c>
      <c r="N44">
        <v>259.960574351236</v>
      </c>
      <c r="O44">
        <v>276.403137026845</v>
      </c>
      <c r="P44">
        <v>275.35645668533198</v>
      </c>
      <c r="Q44">
        <v>252.02762746264901</v>
      </c>
      <c r="R44">
        <v>222.88918305322699</v>
      </c>
      <c r="S44">
        <v>240.70466763782301</v>
      </c>
      <c r="T44">
        <v>214.31290034121901</v>
      </c>
      <c r="U44">
        <v>238.95049426705901</v>
      </c>
      <c r="V44">
        <v>245.67968656657601</v>
      </c>
      <c r="W44">
        <v>225.65586023395699</v>
      </c>
      <c r="X44">
        <v>212.721644262377</v>
      </c>
      <c r="Y44">
        <v>211.27955541470499</v>
      </c>
      <c r="Z44">
        <v>271.73145255032699</v>
      </c>
      <c r="AA44">
        <v>328.60625269898998</v>
      </c>
      <c r="AB44">
        <v>381.06603602462798</v>
      </c>
      <c r="AC44">
        <v>436.95666578800802</v>
      </c>
      <c r="AD44">
        <v>449.26296271160697</v>
      </c>
      <c r="AE44">
        <v>346.305903554493</v>
      </c>
      <c r="AF44">
        <v>300.53656240147802</v>
      </c>
      <c r="AG44">
        <v>297.84821881937802</v>
      </c>
      <c r="AH44">
        <v>319.008299487903</v>
      </c>
      <c r="AI44">
        <v>272.264787954393</v>
      </c>
      <c r="AJ44">
        <v>282.10690880881998</v>
      </c>
      <c r="AK44">
        <v>264.69180075057898</v>
      </c>
      <c r="AL44">
        <v>283.16257950001801</v>
      </c>
      <c r="AM44">
        <v>555.20469565569704</v>
      </c>
      <c r="AN44">
        <v>499.14842590131002</v>
      </c>
      <c r="AO44">
        <v>511.55243027251601</v>
      </c>
      <c r="AP44">
        <v>583.66937235339606</v>
      </c>
      <c r="AQ44">
        <v>589.951774567332</v>
      </c>
      <c r="AR44">
        <v>615.47334931916396</v>
      </c>
      <c r="AS44">
        <v>710.20797703136702</v>
      </c>
      <c r="AT44">
        <v>732.39769326022804</v>
      </c>
      <c r="AU44">
        <v>693.71322649637398</v>
      </c>
      <c r="AV44">
        <v>579.897426172466</v>
      </c>
      <c r="AW44">
        <v>527.33803229157604</v>
      </c>
      <c r="AX44">
        <v>527.25836264962595</v>
      </c>
      <c r="AY44">
        <v>522.42562489517604</v>
      </c>
      <c r="AZ44">
        <v>478.63371847636301</v>
      </c>
      <c r="BA44">
        <v>446.00004143278801</v>
      </c>
      <c r="BB44">
        <v>470.29342334139801</v>
      </c>
      <c r="BC44">
        <v>494.794262222947</v>
      </c>
      <c r="BD44">
        <v>471.24862571893698</v>
      </c>
      <c r="BE44">
        <v>510.55633845425098</v>
      </c>
      <c r="BF44">
        <v>493.89962385223703</v>
      </c>
      <c r="BG44">
        <v>493.757329875312</v>
      </c>
      <c r="BH44">
        <v>591.21169798260996</v>
      </c>
      <c r="BI44">
        <v>592.60561506302201</v>
      </c>
      <c r="BJ44">
        <v>580.65674958785803</v>
      </c>
      <c r="BK44">
        <v>555.44645839822601</v>
      </c>
      <c r="BL44">
        <v>585.91101318036897</v>
      </c>
      <c r="BM44">
        <v>575.58600451094503</v>
      </c>
      <c r="BN44">
        <v>554.53067503310399</v>
      </c>
      <c r="BO44">
        <v>623.75970091118199</v>
      </c>
      <c r="BP44">
        <v>606.56975016591696</v>
      </c>
      <c r="BQ44">
        <v>606.34529760906298</v>
      </c>
    </row>
    <row r="45" spans="1:69" x14ac:dyDescent="0.3">
      <c r="A45" t="s">
        <v>92</v>
      </c>
      <c r="B45" t="s">
        <v>93</v>
      </c>
      <c r="C45" t="s">
        <v>6</v>
      </c>
      <c r="D45" t="s">
        <v>7</v>
      </c>
      <c r="E45" s="1">
        <v>1.7000000000000001E-13</v>
      </c>
      <c r="F45" s="1">
        <v>1.7500000000000001E-13</v>
      </c>
      <c r="G45" s="1">
        <v>2.0999999999999999E-13</v>
      </c>
      <c r="H45" s="1">
        <v>2.5249999999999998E-13</v>
      </c>
      <c r="I45" s="1">
        <v>5.4999999999999998E-13</v>
      </c>
      <c r="J45" s="1">
        <v>5.4999999999999998E-13</v>
      </c>
      <c r="K45" s="1">
        <v>5.4999999999999998E-13</v>
      </c>
      <c r="L45" s="1">
        <v>1.15666666666667E-12</v>
      </c>
      <c r="M45" s="1">
        <v>1.67E-12</v>
      </c>
      <c r="N45" s="1">
        <v>1.67E-12</v>
      </c>
      <c r="O45" s="1">
        <v>1.67E-12</v>
      </c>
      <c r="P45" s="1">
        <v>1.67E-12</v>
      </c>
      <c r="Q45" s="1">
        <v>1.67E-12</v>
      </c>
      <c r="R45" s="1">
        <v>1.67E-12</v>
      </c>
      <c r="S45" s="1">
        <v>1.67E-12</v>
      </c>
      <c r="T45" s="1">
        <v>1.67E-12</v>
      </c>
      <c r="U45" s="1">
        <v>2.6408333333333302E-12</v>
      </c>
      <c r="V45" s="1">
        <v>2.8549999999999999E-12</v>
      </c>
      <c r="W45" s="1">
        <v>2.7866666666666699E-12</v>
      </c>
      <c r="X45" s="1">
        <v>5.7608333333333302E-12</v>
      </c>
      <c r="Y45" s="1">
        <v>9.3308333333333297E-12</v>
      </c>
      <c r="Z45" s="1">
        <v>1.46083333333333E-11</v>
      </c>
      <c r="AA45" s="1">
        <v>1.91625E-11</v>
      </c>
      <c r="AB45" s="1">
        <v>4.2955000000000002E-11</v>
      </c>
      <c r="AC45" s="1">
        <v>1.20404166666667E-10</v>
      </c>
      <c r="AD45" s="1">
        <v>1.6620749999999999E-10</v>
      </c>
      <c r="AE45" s="1">
        <v>1.98705833333333E-10</v>
      </c>
      <c r="AF45" s="1">
        <v>3.7459499999999999E-10</v>
      </c>
      <c r="AG45" s="1">
        <v>6.2342999999999999E-10</v>
      </c>
      <c r="AH45" s="1">
        <v>1.27120833333333E-9</v>
      </c>
      <c r="AI45" s="1">
        <v>2.3947483333333299E-9</v>
      </c>
      <c r="AJ45" s="1">
        <v>5.1945694166666698E-8</v>
      </c>
      <c r="AK45" s="1">
        <v>2.1513626025000001E-6</v>
      </c>
      <c r="AL45" s="1">
        <v>2.5144168139999999E-5</v>
      </c>
      <c r="AM45">
        <v>1.19411916666667E-2</v>
      </c>
      <c r="AN45">
        <v>7.0244716666666707E-2</v>
      </c>
      <c r="AO45">
        <v>0.50184917500000004</v>
      </c>
      <c r="AP45">
        <v>1.3134475999999999</v>
      </c>
      <c r="AQ45">
        <v>1.6066598830652601</v>
      </c>
      <c r="AR45">
        <v>4.0183333322313999</v>
      </c>
      <c r="AS45">
        <v>21.8183333273501</v>
      </c>
      <c r="AT45">
        <v>206.61749994333999</v>
      </c>
      <c r="AU45">
        <v>346.48499990498402</v>
      </c>
      <c r="AV45">
        <v>405.17818323067002</v>
      </c>
      <c r="AW45">
        <v>399.47579166666702</v>
      </c>
      <c r="AX45">
        <v>473.90800833333299</v>
      </c>
      <c r="AY45">
        <v>468.27882499999998</v>
      </c>
      <c r="AZ45">
        <v>516.74989166666603</v>
      </c>
      <c r="BA45">
        <v>559.29250833333299</v>
      </c>
      <c r="BB45">
        <v>809.78583333333302</v>
      </c>
      <c r="BC45">
        <v>905.91345833333298</v>
      </c>
      <c r="BD45">
        <v>919.49130000000002</v>
      </c>
      <c r="BE45">
        <v>919.75501666666696</v>
      </c>
      <c r="BF45">
        <v>919.56590735488101</v>
      </c>
      <c r="BG45">
        <v>925.22628253199696</v>
      </c>
      <c r="BH45">
        <v>925.98496128039301</v>
      </c>
      <c r="BI45">
        <v>1010.30275716866</v>
      </c>
      <c r="BJ45">
        <v>1464.41793163743</v>
      </c>
      <c r="BK45">
        <v>1622.5235016229201</v>
      </c>
      <c r="BL45">
        <v>1647.76012727639</v>
      </c>
      <c r="BM45">
        <v>1851.1221618326099</v>
      </c>
      <c r="BN45">
        <v>1989.3914712282799</v>
      </c>
      <c r="BO45">
        <v>2006.70821944055</v>
      </c>
      <c r="BP45">
        <v>2340.0357043614499</v>
      </c>
    </row>
    <row r="46" spans="1:69" x14ac:dyDescent="0.3">
      <c r="A46" t="s">
        <v>94</v>
      </c>
      <c r="B46" t="s">
        <v>95</v>
      </c>
      <c r="C46" t="s">
        <v>6</v>
      </c>
      <c r="D46" t="s">
        <v>7</v>
      </c>
      <c r="E46">
        <v>245.19510139835899</v>
      </c>
      <c r="F46">
        <v>245.26010162116</v>
      </c>
      <c r="G46">
        <v>245.013850686544</v>
      </c>
      <c r="H46">
        <v>245.01635069607499</v>
      </c>
      <c r="I46">
        <v>245.027184079042</v>
      </c>
      <c r="J46">
        <v>245.06093420770799</v>
      </c>
      <c r="K46">
        <v>245.67843655764401</v>
      </c>
      <c r="L46">
        <v>246.00093779128099</v>
      </c>
      <c r="M46">
        <v>247.56469375695099</v>
      </c>
      <c r="N46">
        <v>259.960574351236</v>
      </c>
      <c r="O46">
        <v>276.403137026845</v>
      </c>
      <c r="P46">
        <v>275.35645668533198</v>
      </c>
      <c r="Q46">
        <v>252.02762746264901</v>
      </c>
      <c r="R46">
        <v>222.88918305322699</v>
      </c>
      <c r="S46">
        <v>240.70466763782301</v>
      </c>
      <c r="T46">
        <v>214.31290034121901</v>
      </c>
      <c r="U46">
        <v>238.95049426705901</v>
      </c>
      <c r="V46">
        <v>245.67968656657601</v>
      </c>
      <c r="W46">
        <v>225.65586023395699</v>
      </c>
      <c r="X46">
        <v>212.721644262377</v>
      </c>
      <c r="Y46">
        <v>211.27955541470499</v>
      </c>
      <c r="Z46">
        <v>271.73145255032699</v>
      </c>
      <c r="AA46">
        <v>328.60625269898998</v>
      </c>
      <c r="AB46">
        <v>381.06603602462798</v>
      </c>
      <c r="AC46">
        <v>436.95666578800802</v>
      </c>
      <c r="AD46">
        <v>449.26296271160697</v>
      </c>
      <c r="AE46">
        <v>346.305903554493</v>
      </c>
      <c r="AF46">
        <v>300.53656240147802</v>
      </c>
      <c r="AG46">
        <v>297.84821881937802</v>
      </c>
      <c r="AH46">
        <v>319.008299487903</v>
      </c>
      <c r="AI46">
        <v>272.264787954393</v>
      </c>
      <c r="AJ46">
        <v>282.10690880881998</v>
      </c>
      <c r="AK46">
        <v>264.69180075057898</v>
      </c>
      <c r="AL46">
        <v>283.16257950001801</v>
      </c>
      <c r="AM46">
        <v>555.20469565569704</v>
      </c>
      <c r="AN46">
        <v>499.14842590131002</v>
      </c>
      <c r="AO46">
        <v>511.55243027251601</v>
      </c>
      <c r="AP46">
        <v>583.66937235339606</v>
      </c>
      <c r="AQ46">
        <v>589.951774567332</v>
      </c>
      <c r="AR46">
        <v>615.47334931916396</v>
      </c>
      <c r="AS46">
        <v>710.20797703136702</v>
      </c>
      <c r="AT46">
        <v>732.39769326022804</v>
      </c>
      <c r="AU46">
        <v>693.71322649637398</v>
      </c>
      <c r="AV46">
        <v>579.897426172466</v>
      </c>
      <c r="AW46">
        <v>527.33803229157604</v>
      </c>
      <c r="AX46">
        <v>527.25836264962595</v>
      </c>
      <c r="AY46">
        <v>522.42562489517604</v>
      </c>
      <c r="AZ46">
        <v>478.63371847636301</v>
      </c>
      <c r="BA46">
        <v>446.00004143278801</v>
      </c>
      <c r="BB46">
        <v>470.29342334139801</v>
      </c>
      <c r="BC46">
        <v>494.794262222947</v>
      </c>
      <c r="BD46">
        <v>471.24862571893698</v>
      </c>
      <c r="BE46">
        <v>510.55633845425098</v>
      </c>
      <c r="BF46">
        <v>493.89962385223703</v>
      </c>
      <c r="BG46">
        <v>493.757329875312</v>
      </c>
      <c r="BH46">
        <v>591.21169798260996</v>
      </c>
      <c r="BI46">
        <v>592.60561506302201</v>
      </c>
      <c r="BJ46">
        <v>580.65674958785803</v>
      </c>
      <c r="BK46">
        <v>555.44645839822601</v>
      </c>
      <c r="BL46">
        <v>585.91101318036897</v>
      </c>
      <c r="BM46">
        <v>575.58600451094503</v>
      </c>
      <c r="BN46">
        <v>554.53067503310399</v>
      </c>
      <c r="BO46">
        <v>623.75970091118199</v>
      </c>
      <c r="BP46">
        <v>606.56975016591696</v>
      </c>
      <c r="BQ46">
        <v>606.34529760906298</v>
      </c>
    </row>
    <row r="47" spans="1:69" x14ac:dyDescent="0.3">
      <c r="A47" t="s">
        <v>96</v>
      </c>
      <c r="B47" t="s">
        <v>97</v>
      </c>
      <c r="C47" t="s">
        <v>6</v>
      </c>
      <c r="D47" t="s">
        <v>7</v>
      </c>
      <c r="E47">
        <v>6.6349999999999998</v>
      </c>
      <c r="F47">
        <v>6.7</v>
      </c>
      <c r="G47">
        <v>6.9616666666666696</v>
      </c>
      <c r="H47">
        <v>9</v>
      </c>
      <c r="I47">
        <v>9</v>
      </c>
      <c r="J47">
        <v>10.5</v>
      </c>
      <c r="K47">
        <v>13.5</v>
      </c>
      <c r="L47">
        <v>14.5066666666667</v>
      </c>
      <c r="M47">
        <v>16.2916666666667</v>
      </c>
      <c r="N47">
        <v>17.321666666666701</v>
      </c>
      <c r="O47">
        <v>18.4441666666667</v>
      </c>
      <c r="P47">
        <v>19.933333333333302</v>
      </c>
      <c r="Q47">
        <v>21.866666666666699</v>
      </c>
      <c r="R47">
        <v>23.571666666666701</v>
      </c>
      <c r="S47">
        <v>26.061666666666699</v>
      </c>
      <c r="T47">
        <v>30.927499999999998</v>
      </c>
      <c r="U47">
        <v>34.695</v>
      </c>
      <c r="V47">
        <v>36.774166666666702</v>
      </c>
      <c r="W47">
        <v>39.094999999999999</v>
      </c>
      <c r="X47">
        <v>42.548333333333403</v>
      </c>
      <c r="Y47">
        <v>47.2783333333334</v>
      </c>
      <c r="Z47">
        <v>54.489166666666698</v>
      </c>
      <c r="AA47">
        <v>64.085833333333397</v>
      </c>
      <c r="AB47">
        <v>78.857500000000002</v>
      </c>
      <c r="AC47">
        <v>100.8175</v>
      </c>
      <c r="AD47">
        <v>142.31166666666701</v>
      </c>
      <c r="AE47">
        <v>194.26083333333301</v>
      </c>
      <c r="AF47">
        <v>242.606666666667</v>
      </c>
      <c r="AG47">
        <v>299.17333333333301</v>
      </c>
      <c r="AH47">
        <v>382.566666666667</v>
      </c>
      <c r="AI47">
        <v>502.26</v>
      </c>
      <c r="AJ47">
        <v>627.15250000000003</v>
      </c>
      <c r="AK47">
        <v>680.38583333333304</v>
      </c>
      <c r="AL47">
        <v>786.34666666666703</v>
      </c>
      <c r="AM47">
        <v>826.54</v>
      </c>
      <c r="AN47">
        <v>912.89499999999998</v>
      </c>
      <c r="AO47">
        <v>1036.6224999999999</v>
      </c>
      <c r="AP47">
        <v>1141.11666666667</v>
      </c>
      <c r="AQ47">
        <v>1426.4241666666701</v>
      </c>
      <c r="AR47">
        <v>1756.68583333333</v>
      </c>
      <c r="AS47">
        <v>2087.9183333333299</v>
      </c>
      <c r="AT47">
        <v>2299.8933333333298</v>
      </c>
      <c r="AU47">
        <v>2504.6808333333302</v>
      </c>
      <c r="AV47">
        <v>2877.5433333333299</v>
      </c>
      <c r="AW47">
        <v>2628.3683333333302</v>
      </c>
      <c r="AX47">
        <v>2321.1316666666698</v>
      </c>
      <c r="AY47">
        <v>2358.5946052631598</v>
      </c>
      <c r="AZ47">
        <v>2077.8109583333298</v>
      </c>
      <c r="BA47">
        <v>1965.1375</v>
      </c>
      <c r="BB47">
        <v>2157.5983333333302</v>
      </c>
      <c r="BC47">
        <v>1898.9974999999999</v>
      </c>
      <c r="BD47">
        <v>1848.0166666666701</v>
      </c>
      <c r="BE47">
        <v>1798.01166666667</v>
      </c>
      <c r="BF47">
        <v>1868.895</v>
      </c>
      <c r="BG47">
        <v>2001.105</v>
      </c>
      <c r="BH47">
        <v>2741.7816666666699</v>
      </c>
      <c r="BI47">
        <v>3055.2550000000001</v>
      </c>
      <c r="BJ47">
        <v>2951.4869112016099</v>
      </c>
      <c r="BK47">
        <v>2955.70396997842</v>
      </c>
      <c r="BL47">
        <v>3281.6221938178801</v>
      </c>
      <c r="BM47">
        <v>3693.27583333333</v>
      </c>
      <c r="BN47">
        <v>3744.24416666667</v>
      </c>
      <c r="BO47">
        <v>4256.1941666666698</v>
      </c>
      <c r="BP47">
        <v>4325.9549999999999</v>
      </c>
      <c r="BQ47">
        <v>4074.4341666666701</v>
      </c>
    </row>
    <row r="48" spans="1:69" x14ac:dyDescent="0.3">
      <c r="A48" t="s">
        <v>98</v>
      </c>
      <c r="B48" t="s">
        <v>99</v>
      </c>
      <c r="C48" t="s">
        <v>6</v>
      </c>
      <c r="D48" t="s">
        <v>7</v>
      </c>
      <c r="E48">
        <v>245.193023629328</v>
      </c>
      <c r="F48">
        <v>245.25802330132001</v>
      </c>
      <c r="G48">
        <v>245.011774453421</v>
      </c>
      <c r="H48">
        <v>245.01427444176699</v>
      </c>
      <c r="I48">
        <v>245.02510773293201</v>
      </c>
      <c r="J48">
        <v>245.058857575601</v>
      </c>
      <c r="K48">
        <v>245.67635469285801</v>
      </c>
      <c r="L48">
        <v>245.99885319363801</v>
      </c>
      <c r="M48">
        <v>247.56259590813099</v>
      </c>
      <c r="N48">
        <v>259.95837146044499</v>
      </c>
      <c r="O48">
        <v>276.40079480273403</v>
      </c>
      <c r="P48">
        <v>275.35431255095898</v>
      </c>
      <c r="Q48">
        <v>252.025491795188</v>
      </c>
      <c r="R48">
        <v>222.887294303251</v>
      </c>
      <c r="S48">
        <v>240.702627920466</v>
      </c>
      <c r="T48">
        <v>214.31108426616299</v>
      </c>
      <c r="U48">
        <v>238.94846941446499</v>
      </c>
      <c r="V48">
        <v>245.67760469119699</v>
      </c>
      <c r="W48">
        <v>225.653948039319</v>
      </c>
      <c r="X48">
        <v>212.719841671533</v>
      </c>
      <c r="Y48">
        <v>211.27776504403801</v>
      </c>
      <c r="Z48">
        <v>271.72914991379798</v>
      </c>
      <c r="AA48">
        <v>328.60346810871198</v>
      </c>
      <c r="AB48">
        <v>381.06280689319698</v>
      </c>
      <c r="AC48">
        <v>436.95296304263002</v>
      </c>
      <c r="AD48">
        <v>449.25915568338502</v>
      </c>
      <c r="AE48">
        <v>346.30296897840299</v>
      </c>
      <c r="AF48">
        <v>300.53401567212302</v>
      </c>
      <c r="AG48">
        <v>297.84569487089101</v>
      </c>
      <c r="AH48">
        <v>319.00559623012202</v>
      </c>
      <c r="AI48">
        <v>272.26248079841201</v>
      </c>
      <c r="AJ48">
        <v>282.10451825127899</v>
      </c>
      <c r="AK48">
        <v>264.68955776765102</v>
      </c>
      <c r="AL48">
        <v>283.16017999678502</v>
      </c>
      <c r="AM48">
        <v>416.39882095182298</v>
      </c>
      <c r="AN48">
        <v>374.35709325152402</v>
      </c>
      <c r="AO48">
        <v>383.65999150808801</v>
      </c>
      <c r="AP48">
        <v>437.747087471253</v>
      </c>
      <c r="AQ48">
        <v>442.45883594005699</v>
      </c>
      <c r="AR48">
        <v>461.79299846316502</v>
      </c>
      <c r="AS48">
        <v>532.65598277353001</v>
      </c>
      <c r="AT48">
        <v>549.29826994514303</v>
      </c>
      <c r="AU48">
        <v>520.28491987227801</v>
      </c>
      <c r="AV48">
        <v>434.92306962933401</v>
      </c>
      <c r="AW48">
        <v>395.50352421868803</v>
      </c>
      <c r="AX48">
        <v>395.44377198723203</v>
      </c>
      <c r="AY48">
        <v>391.81921867138499</v>
      </c>
      <c r="AZ48">
        <v>358.97528885726899</v>
      </c>
      <c r="BA48">
        <v>334.50003107459099</v>
      </c>
      <c r="BB48">
        <v>352.72006750604902</v>
      </c>
      <c r="BC48">
        <v>371.09569666720199</v>
      </c>
      <c r="BD48">
        <v>353.43646928919998</v>
      </c>
      <c r="BE48">
        <v>382.91725384068798</v>
      </c>
      <c r="BF48">
        <v>370.42471788917499</v>
      </c>
      <c r="BG48">
        <v>370.31799740648898</v>
      </c>
      <c r="BH48">
        <v>443.40877348695699</v>
      </c>
      <c r="BI48">
        <v>444.45421129725401</v>
      </c>
      <c r="BJ48">
        <v>435.49256219088898</v>
      </c>
      <c r="BK48">
        <v>416.58484379867599</v>
      </c>
      <c r="BL48">
        <v>439.46311031787502</v>
      </c>
      <c r="BM48">
        <v>430.720912236792</v>
      </c>
      <c r="BN48">
        <v>415.95584914812201</v>
      </c>
      <c r="BO48">
        <v>467.18426118717599</v>
      </c>
      <c r="BP48">
        <v>454.99123669182302</v>
      </c>
      <c r="BQ48">
        <v>454.52386125200002</v>
      </c>
    </row>
    <row r="49" spans="1:69" x14ac:dyDescent="0.3">
      <c r="A49" t="s">
        <v>100</v>
      </c>
      <c r="B49" t="s">
        <v>101</v>
      </c>
      <c r="C49" t="s">
        <v>6</v>
      </c>
      <c r="D49" t="s">
        <v>7</v>
      </c>
      <c r="E49">
        <v>28.750000028750001</v>
      </c>
      <c r="F49">
        <v>28.750000028750001</v>
      </c>
      <c r="G49">
        <v>28.750000028750001</v>
      </c>
      <c r="H49">
        <v>28.750000028750001</v>
      </c>
      <c r="I49">
        <v>28.750000028750001</v>
      </c>
      <c r="J49">
        <v>28.750000028750001</v>
      </c>
      <c r="K49">
        <v>28.750000028750001</v>
      </c>
      <c r="L49">
        <v>28.750000028750001</v>
      </c>
      <c r="M49">
        <v>28.750000028750001</v>
      </c>
      <c r="N49">
        <v>28.750000028750001</v>
      </c>
      <c r="O49">
        <v>28.750000028750001</v>
      </c>
      <c r="P49">
        <v>28.360170287822701</v>
      </c>
      <c r="Q49">
        <v>27.053416666666699</v>
      </c>
      <c r="R49">
        <v>24.515166666583301</v>
      </c>
      <c r="S49">
        <v>25.408166666583298</v>
      </c>
      <c r="T49">
        <v>25.5432499999167</v>
      </c>
      <c r="U49">
        <v>30.2290833333333</v>
      </c>
      <c r="V49">
        <v>34.0464916658334</v>
      </c>
      <c r="W49">
        <v>35.500749999</v>
      </c>
      <c r="X49">
        <v>37.432999999000003</v>
      </c>
      <c r="Y49">
        <v>40.1749166656667</v>
      </c>
      <c r="Z49">
        <v>48.694666665666702</v>
      </c>
      <c r="AA49">
        <v>58.293333332416701</v>
      </c>
      <c r="AB49">
        <v>71.685833332499996</v>
      </c>
      <c r="AC49">
        <v>84.877916666166698</v>
      </c>
      <c r="AD49">
        <v>91.631666666333302</v>
      </c>
      <c r="AE49">
        <v>80.144916666666603</v>
      </c>
      <c r="AF49">
        <v>72.465833333333407</v>
      </c>
      <c r="AG49">
        <v>72.067499999999995</v>
      </c>
      <c r="AH49">
        <v>77.978083333333302</v>
      </c>
      <c r="AI49">
        <v>70.031333333333293</v>
      </c>
      <c r="AJ49">
        <v>71.408333333333303</v>
      </c>
      <c r="AK49">
        <v>68.017583333333306</v>
      </c>
      <c r="AL49">
        <v>80.426597362500004</v>
      </c>
      <c r="AM49">
        <v>81.890833333333305</v>
      </c>
      <c r="AN49">
        <v>76.853333333333396</v>
      </c>
      <c r="AO49">
        <v>82.591466666666705</v>
      </c>
      <c r="AP49">
        <v>93.176666666666705</v>
      </c>
      <c r="AQ49">
        <v>98.157499999999999</v>
      </c>
      <c r="AR49">
        <v>102.7</v>
      </c>
      <c r="AS49">
        <v>115.876551583333</v>
      </c>
      <c r="AT49">
        <v>123.213333333333</v>
      </c>
      <c r="AU49">
        <v>117.255833333333</v>
      </c>
      <c r="AV49">
        <v>97.787499999999994</v>
      </c>
      <c r="AW49">
        <v>88.7479249022727</v>
      </c>
      <c r="AX49">
        <v>88.646168526140798</v>
      </c>
      <c r="AY49">
        <v>87.926064911331395</v>
      </c>
      <c r="AZ49">
        <v>80.615027157526598</v>
      </c>
      <c r="BA49">
        <v>75.336003838854396</v>
      </c>
      <c r="BB49">
        <v>80.035417727784505</v>
      </c>
      <c r="BC49">
        <v>83.278689375901905</v>
      </c>
      <c r="BD49">
        <v>79.276881476118305</v>
      </c>
      <c r="BE49">
        <v>86.318954184704197</v>
      </c>
      <c r="BF49">
        <v>83.072500000000005</v>
      </c>
      <c r="BG49">
        <v>83.034499999999994</v>
      </c>
      <c r="BH49">
        <v>99.385693542568504</v>
      </c>
      <c r="BI49">
        <v>99.688113636363596</v>
      </c>
      <c r="BJ49">
        <v>97.806937771512096</v>
      </c>
      <c r="BK49">
        <v>93.413578908527896</v>
      </c>
      <c r="BL49">
        <v>98.495178587897598</v>
      </c>
      <c r="BM49">
        <v>96.795742786988498</v>
      </c>
      <c r="BN49">
        <v>93.218092411610897</v>
      </c>
      <c r="BO49">
        <v>104.86306584636699</v>
      </c>
      <c r="BP49">
        <v>101.804812544702</v>
      </c>
      <c r="BQ49">
        <v>101.922010798199</v>
      </c>
    </row>
    <row r="50" spans="1:69" x14ac:dyDescent="0.3">
      <c r="A50" t="s">
        <v>102</v>
      </c>
      <c r="B50" t="s">
        <v>103</v>
      </c>
      <c r="C50" t="s">
        <v>6</v>
      </c>
      <c r="D50" t="s">
        <v>7</v>
      </c>
      <c r="E50">
        <v>5.6150000046150002</v>
      </c>
      <c r="F50">
        <v>5.9516666716183302</v>
      </c>
      <c r="G50">
        <v>6.625000005625</v>
      </c>
      <c r="H50">
        <v>6.625000005625</v>
      </c>
      <c r="I50">
        <v>6.625000005625</v>
      </c>
      <c r="J50">
        <v>6.625000005625</v>
      </c>
      <c r="K50">
        <v>6.625000005625</v>
      </c>
      <c r="L50">
        <v>6.625000005625</v>
      </c>
      <c r="M50">
        <v>6.625000005625</v>
      </c>
      <c r="N50">
        <v>6.625000005625</v>
      </c>
      <c r="O50">
        <v>6.625000005625</v>
      </c>
      <c r="P50">
        <v>6.6258333384062498</v>
      </c>
      <c r="Q50">
        <v>6.6349999989999997</v>
      </c>
      <c r="R50">
        <v>6.6467583323333299</v>
      </c>
      <c r="S50">
        <v>7.9299999989999996</v>
      </c>
      <c r="T50">
        <v>8.5699999990000002</v>
      </c>
      <c r="U50">
        <v>8.5699999990000002</v>
      </c>
      <c r="V50">
        <v>8.5699999990000002</v>
      </c>
      <c r="W50">
        <v>8.5699999990000002</v>
      </c>
      <c r="X50">
        <v>8.5699999990000002</v>
      </c>
      <c r="Y50">
        <v>8.5699999990833309</v>
      </c>
      <c r="Z50">
        <v>21.7633333325</v>
      </c>
      <c r="AA50">
        <v>37.406666665750002</v>
      </c>
      <c r="AB50">
        <v>41.094166665666698</v>
      </c>
      <c r="AC50">
        <v>44.532683333000001</v>
      </c>
      <c r="AD50">
        <v>50.45335</v>
      </c>
      <c r="AE50">
        <v>55.985891666666703</v>
      </c>
      <c r="AF50">
        <v>62.776200000000003</v>
      </c>
      <c r="AG50">
        <v>75.804733333333303</v>
      </c>
      <c r="AH50">
        <v>81.504208333333395</v>
      </c>
      <c r="AI50">
        <v>91.579291666666606</v>
      </c>
      <c r="AJ50">
        <v>122.432416666667</v>
      </c>
      <c r="AK50">
        <v>134.506333333333</v>
      </c>
      <c r="AL50">
        <v>142.17166666666699</v>
      </c>
      <c r="AM50">
        <v>157.066666666667</v>
      </c>
      <c r="AN50">
        <v>179.729166666667</v>
      </c>
      <c r="AO50">
        <v>207.68916666666701</v>
      </c>
      <c r="AP50">
        <v>232.5975</v>
      </c>
      <c r="AQ50">
        <v>257.22916666666703</v>
      </c>
      <c r="AR50">
        <v>285.68469483333303</v>
      </c>
      <c r="AS50">
        <v>308.18666666666701</v>
      </c>
      <c r="AT50">
        <v>328.870833333333</v>
      </c>
      <c r="AU50">
        <v>359.81752688172003</v>
      </c>
      <c r="AV50">
        <v>398.662222222222</v>
      </c>
      <c r="AW50">
        <v>437.935</v>
      </c>
      <c r="AX50">
        <v>477.786741487455</v>
      </c>
      <c r="AY50">
        <v>511.30181794034797</v>
      </c>
      <c r="AZ50">
        <v>516.61739023297503</v>
      </c>
      <c r="BA50">
        <v>526.23551344086002</v>
      </c>
      <c r="BB50">
        <v>573.287956733231</v>
      </c>
      <c r="BC50">
        <v>525.829200716846</v>
      </c>
      <c r="BD50">
        <v>505.664239919355</v>
      </c>
      <c r="BE50">
        <v>502.90146198156702</v>
      </c>
      <c r="BF50">
        <v>499.76683256528401</v>
      </c>
      <c r="BG50">
        <v>538.31720027905806</v>
      </c>
      <c r="BH50">
        <v>534.56576996927799</v>
      </c>
      <c r="BI50">
        <v>544.73936722901999</v>
      </c>
      <c r="BJ50">
        <v>567.51309030977995</v>
      </c>
      <c r="BK50">
        <v>576.97250124807999</v>
      </c>
      <c r="BL50">
        <v>587.29459568612401</v>
      </c>
      <c r="BM50">
        <v>584.90085496230404</v>
      </c>
      <c r="BN50">
        <v>620.78472001408102</v>
      </c>
      <c r="BO50">
        <v>647.13581763136301</v>
      </c>
      <c r="BP50">
        <v>544.05077550563203</v>
      </c>
      <c r="BQ50">
        <v>515.10977192140297</v>
      </c>
    </row>
    <row r="51" spans="1:69" x14ac:dyDescent="0.3">
      <c r="A51" t="s">
        <v>104</v>
      </c>
      <c r="B51" t="s">
        <v>105</v>
      </c>
      <c r="C51" t="s">
        <v>6</v>
      </c>
      <c r="D51" t="s">
        <v>7</v>
      </c>
    </row>
    <row r="52" spans="1:69" x14ac:dyDescent="0.3">
      <c r="A52" t="s">
        <v>106</v>
      </c>
      <c r="B52" t="s">
        <v>107</v>
      </c>
      <c r="C52" t="s">
        <v>6</v>
      </c>
      <c r="D52" t="s">
        <v>7</v>
      </c>
      <c r="E52">
        <v>0.99999999900000003</v>
      </c>
      <c r="F52">
        <v>0.99999999900000003</v>
      </c>
      <c r="G52">
        <v>0.99999999900000003</v>
      </c>
      <c r="H52">
        <v>0.99999999900000003</v>
      </c>
      <c r="I52">
        <v>0.99999999900000003</v>
      </c>
      <c r="J52">
        <v>0.99999999900000003</v>
      </c>
      <c r="K52">
        <v>0.99999999900000003</v>
      </c>
      <c r="L52">
        <v>0.99999999900000003</v>
      </c>
      <c r="M52">
        <v>0.99999999900000003</v>
      </c>
      <c r="N52">
        <v>0.99999999900000003</v>
      </c>
      <c r="O52">
        <v>0.99999999900000003</v>
      </c>
      <c r="P52">
        <v>0.99999999900000003</v>
      </c>
      <c r="Q52">
        <v>0.92099999899999996</v>
      </c>
      <c r="R52">
        <v>0.83666666566666703</v>
      </c>
      <c r="S52">
        <v>0.82199999899999998</v>
      </c>
    </row>
    <row r="53" spans="1:69" x14ac:dyDescent="0.3">
      <c r="A53" t="s">
        <v>108</v>
      </c>
      <c r="B53" t="s">
        <v>109</v>
      </c>
      <c r="C53" t="s">
        <v>6</v>
      </c>
      <c r="D53" t="s">
        <v>7</v>
      </c>
      <c r="BD53">
        <v>1.79</v>
      </c>
      <c r="BE53">
        <v>1.79</v>
      </c>
      <c r="BF53">
        <v>1.79</v>
      </c>
      <c r="BG53">
        <v>1.79</v>
      </c>
      <c r="BH53">
        <v>1.79</v>
      </c>
      <c r="BI53">
        <v>1.79</v>
      </c>
      <c r="BJ53">
        <v>1.79</v>
      </c>
      <c r="BK53">
        <v>1.79</v>
      </c>
      <c r="BL53">
        <v>1.79</v>
      </c>
      <c r="BM53">
        <v>1.79</v>
      </c>
      <c r="BN53">
        <v>1.79</v>
      </c>
      <c r="BO53">
        <v>1.79</v>
      </c>
      <c r="BP53">
        <v>1.79</v>
      </c>
      <c r="BQ53">
        <v>1.79</v>
      </c>
    </row>
    <row r="54" spans="1:69" x14ac:dyDescent="0.3">
      <c r="A54" t="s">
        <v>110</v>
      </c>
      <c r="B54" t="s">
        <v>111</v>
      </c>
      <c r="C54" t="s">
        <v>6</v>
      </c>
      <c r="D54" t="s">
        <v>7</v>
      </c>
      <c r="E54">
        <v>0.71428571479591796</v>
      </c>
      <c r="F54">
        <v>0.71428571479591796</v>
      </c>
      <c r="G54">
        <v>0.71428571479591796</v>
      </c>
      <c r="H54">
        <v>0.71428571479591796</v>
      </c>
      <c r="I54">
        <v>0.71428571479591796</v>
      </c>
      <c r="J54">
        <v>0.71428571479591796</v>
      </c>
      <c r="K54">
        <v>0.71428571479591796</v>
      </c>
      <c r="L54">
        <v>0.72746699535686898</v>
      </c>
      <c r="M54">
        <v>0.83333333402777798</v>
      </c>
      <c r="N54">
        <v>0.83333333402777798</v>
      </c>
      <c r="O54">
        <v>0.82784386527165499</v>
      </c>
      <c r="P54">
        <v>0.83275941294144096</v>
      </c>
      <c r="Q54">
        <v>0.80049730397871</v>
      </c>
      <c r="R54">
        <v>0.81634189059861495</v>
      </c>
      <c r="S54">
        <v>0.83882588132865998</v>
      </c>
      <c r="T54">
        <v>0.83333000000000002</v>
      </c>
      <c r="U54">
        <v>0.83333000000000002</v>
      </c>
      <c r="V54">
        <v>0.83333000000000002</v>
      </c>
      <c r="W54">
        <v>0.83333000000000002</v>
      </c>
      <c r="X54">
        <v>0.83333000000000002</v>
      </c>
      <c r="Y54">
        <v>0.83333000000000002</v>
      </c>
      <c r="Z54">
        <v>0.83333000000000002</v>
      </c>
      <c r="AA54">
        <v>0.83333000000000002</v>
      </c>
      <c r="AB54">
        <v>0.83333000000000002</v>
      </c>
      <c r="AC54">
        <v>0.83333000000000002</v>
      </c>
      <c r="AD54">
        <v>0.83333000000000002</v>
      </c>
      <c r="AE54">
        <v>0.83333000000000002</v>
      </c>
      <c r="AF54">
        <v>0.83333000000000002</v>
      </c>
      <c r="AG54">
        <v>0.83333000000000002</v>
      </c>
      <c r="AH54">
        <v>0.83333000000000002</v>
      </c>
      <c r="AI54">
        <v>0.83333000000000002</v>
      </c>
      <c r="AJ54">
        <v>0.83333000000000002</v>
      </c>
      <c r="AK54">
        <v>0.83333000000000002</v>
      </c>
      <c r="AL54">
        <v>0.83333000000000002</v>
      </c>
      <c r="AM54">
        <v>0.83333000000000002</v>
      </c>
      <c r="AN54">
        <v>0.83333000000000002</v>
      </c>
      <c r="AO54">
        <v>0.83333000000000002</v>
      </c>
      <c r="AP54">
        <v>0.83333000000000002</v>
      </c>
      <c r="AQ54">
        <v>0.83333000000000002</v>
      </c>
      <c r="AR54">
        <v>0.83333000000000002</v>
      </c>
      <c r="AS54">
        <v>0.83333000000000002</v>
      </c>
      <c r="AT54">
        <v>0.83333000000000002</v>
      </c>
      <c r="AU54">
        <v>0.83333000000000002</v>
      </c>
      <c r="AV54">
        <v>0.83333000000000002</v>
      </c>
      <c r="AW54">
        <v>0.83333000000000002</v>
      </c>
      <c r="AX54">
        <v>0.83333000000000002</v>
      </c>
      <c r="AY54">
        <v>0.83333000000000002</v>
      </c>
      <c r="AZ54">
        <v>0.83333000000000002</v>
      </c>
      <c r="BA54">
        <v>0.83333000000000002</v>
      </c>
      <c r="BB54">
        <v>0.83333000000000002</v>
      </c>
      <c r="BC54">
        <v>0.83333000000000002</v>
      </c>
      <c r="BD54">
        <v>0.83333000000000002</v>
      </c>
      <c r="BE54">
        <v>0.83333000000000002</v>
      </c>
      <c r="BF54">
        <v>0.83333000000000002</v>
      </c>
      <c r="BG54">
        <v>0.83333000000000002</v>
      </c>
      <c r="BH54">
        <v>0.83333000000000002</v>
      </c>
      <c r="BI54">
        <v>0.83333000000000002</v>
      </c>
      <c r="BJ54">
        <v>0.83333000000000002</v>
      </c>
      <c r="BK54">
        <v>0.83333000000000002</v>
      </c>
      <c r="BL54">
        <v>0.83333000000000002</v>
      </c>
      <c r="BM54">
        <v>0.83333000000000002</v>
      </c>
      <c r="BN54">
        <v>0.83333000000000002</v>
      </c>
      <c r="BO54">
        <v>0.83333000000000002</v>
      </c>
      <c r="BP54">
        <v>0.83333000000000002</v>
      </c>
      <c r="BQ54">
        <v>0.83333000000000002</v>
      </c>
    </row>
    <row r="55" spans="1:69" x14ac:dyDescent="0.3">
      <c r="A55" t="s">
        <v>112</v>
      </c>
      <c r="B55" t="s">
        <v>113</v>
      </c>
      <c r="C55" t="s">
        <v>6</v>
      </c>
      <c r="D55" t="s">
        <v>7</v>
      </c>
      <c r="E55">
        <v>0.357142999357143</v>
      </c>
      <c r="F55">
        <v>0.357142999357143</v>
      </c>
      <c r="G55">
        <v>0.357142999357143</v>
      </c>
      <c r="H55">
        <v>0.357142999357143</v>
      </c>
      <c r="I55">
        <v>0.357142999357143</v>
      </c>
      <c r="J55">
        <v>0.357142999357143</v>
      </c>
      <c r="K55">
        <v>0.357142999357143</v>
      </c>
      <c r="L55">
        <v>0.36210333266567502</v>
      </c>
      <c r="M55">
        <v>0.41666699941666702</v>
      </c>
      <c r="N55">
        <v>0.41666699941666702</v>
      </c>
      <c r="O55">
        <v>0.41666699941666702</v>
      </c>
      <c r="P55">
        <v>0.41073059842855703</v>
      </c>
      <c r="Q55">
        <v>0.38357236917017301</v>
      </c>
      <c r="R55">
        <v>0.349950502818348</v>
      </c>
      <c r="S55">
        <v>0.36469271072513199</v>
      </c>
      <c r="T55">
        <v>0.36890724310711598</v>
      </c>
      <c r="U55">
        <v>0.41049569197003999</v>
      </c>
      <c r="V55">
        <v>0.40812157726554699</v>
      </c>
      <c r="W55">
        <v>0.37351258326468401</v>
      </c>
      <c r="X55">
        <v>0.35444386394817601</v>
      </c>
      <c r="Y55">
        <v>0.353051686694203</v>
      </c>
      <c r="Z55">
        <v>0.42143075903061999</v>
      </c>
      <c r="AA55">
        <v>0.47538589573342899</v>
      </c>
      <c r="AB55">
        <v>0.52664077116050401</v>
      </c>
      <c r="AC55">
        <v>0.58838586009280902</v>
      </c>
      <c r="AD55">
        <v>0.61255231616374495</v>
      </c>
      <c r="AE55">
        <v>0.51814308333333303</v>
      </c>
      <c r="AF55">
        <v>0.48109658333333299</v>
      </c>
      <c r="AG55">
        <v>0.46662883333333299</v>
      </c>
      <c r="AH55">
        <v>0.49462491666666702</v>
      </c>
      <c r="AI55">
        <v>0.45807991666666698</v>
      </c>
      <c r="AJ55">
        <v>0.46442850000000002</v>
      </c>
      <c r="AK55">
        <v>0.44954858333333297</v>
      </c>
      <c r="AL55">
        <v>0.49740516666666701</v>
      </c>
      <c r="AM55">
        <v>0.49219099999999999</v>
      </c>
      <c r="AN55">
        <v>0.45242016666666701</v>
      </c>
      <c r="AO55">
        <v>0.46631125000000001</v>
      </c>
      <c r="AP55">
        <v>0.51389733333333298</v>
      </c>
      <c r="AQ55">
        <v>0.51782558333333295</v>
      </c>
      <c r="AR55">
        <v>0.54294774999999995</v>
      </c>
      <c r="AS55">
        <v>0.62240911666666698</v>
      </c>
      <c r="AT55">
        <v>0.64310702615833304</v>
      </c>
      <c r="AU55">
        <v>0.61065998966666701</v>
      </c>
      <c r="AV55">
        <v>0.51744326166666699</v>
      </c>
      <c r="AW55">
        <v>0.46860055225000002</v>
      </c>
      <c r="AX55">
        <v>0.46407050716166698</v>
      </c>
      <c r="AY55">
        <v>0.45891594691666698</v>
      </c>
      <c r="AZ55">
        <v>0.42612499999999998</v>
      </c>
      <c r="BA55">
        <v>0.67992268004272904</v>
      </c>
      <c r="BB55">
        <v>0.71695770201613596</v>
      </c>
      <c r="BC55">
        <v>0.75430899010596097</v>
      </c>
      <c r="BD55">
        <v>0.71841389865331695</v>
      </c>
      <c r="BE55">
        <v>0.77833812041681205</v>
      </c>
      <c r="BF55">
        <v>0.75294512270199598</v>
      </c>
      <c r="BG55">
        <v>0.75272819693260296</v>
      </c>
      <c r="BH55">
        <v>0.90129642336709603</v>
      </c>
      <c r="BI55">
        <v>0.90342143625726301</v>
      </c>
      <c r="BJ55">
        <v>0.88520550826937205</v>
      </c>
      <c r="BK55">
        <v>0.84677266710811105</v>
      </c>
      <c r="BL55">
        <v>0.89327625706740899</v>
      </c>
      <c r="BM55">
        <v>0.87550639698799804</v>
      </c>
      <c r="BN55">
        <v>0.84549413889045</v>
      </c>
      <c r="BO55">
        <v>0.94962375315694103</v>
      </c>
      <c r="BP55">
        <v>0.92483955847069799</v>
      </c>
      <c r="BQ55">
        <v>0.92388954611760699</v>
      </c>
    </row>
    <row r="56" spans="1:69" x14ac:dyDescent="0.3">
      <c r="A56" t="s">
        <v>114</v>
      </c>
      <c r="B56" t="s">
        <v>115</v>
      </c>
      <c r="C56" t="s">
        <v>6</v>
      </c>
      <c r="D56" t="s">
        <v>7</v>
      </c>
      <c r="AL56">
        <v>29.152833333333302</v>
      </c>
      <c r="AM56">
        <v>28.785083333333301</v>
      </c>
      <c r="AN56">
        <v>26.540666666666699</v>
      </c>
      <c r="AO56">
        <v>27.144916666666699</v>
      </c>
      <c r="AP56">
        <v>31.698416666666699</v>
      </c>
      <c r="AQ56">
        <v>32.281166666666699</v>
      </c>
      <c r="AR56">
        <v>34.569249999999997</v>
      </c>
      <c r="AS56">
        <v>38.598416666666701</v>
      </c>
      <c r="AT56">
        <v>38.035328333333297</v>
      </c>
      <c r="AU56">
        <v>32.738518333333303</v>
      </c>
      <c r="AV56">
        <v>28.209</v>
      </c>
      <c r="AW56">
        <v>25.699750000000002</v>
      </c>
      <c r="AX56">
        <v>23.957416666666699</v>
      </c>
      <c r="AY56">
        <v>22.595583333333298</v>
      </c>
      <c r="AZ56">
        <v>20.293666666666699</v>
      </c>
      <c r="BA56">
        <v>17.071666666666701</v>
      </c>
      <c r="BB56">
        <v>19.062999999999999</v>
      </c>
      <c r="BC56">
        <v>19.09825</v>
      </c>
      <c r="BD56">
        <v>17.695916666666701</v>
      </c>
      <c r="BE56">
        <v>19.577500000000001</v>
      </c>
      <c r="BF56">
        <v>19.5705833333333</v>
      </c>
      <c r="BG56">
        <v>20.7575</v>
      </c>
      <c r="BH56">
        <v>24.598749999999999</v>
      </c>
      <c r="BI56">
        <v>24.439916666666701</v>
      </c>
      <c r="BJ56">
        <v>23.376333333333299</v>
      </c>
      <c r="BK56">
        <v>21.7299166666667</v>
      </c>
      <c r="BL56">
        <v>22.93225</v>
      </c>
      <c r="BM56">
        <v>23.210249999999998</v>
      </c>
      <c r="BN56">
        <v>21.678166666666701</v>
      </c>
      <c r="BO56">
        <v>23.356999999999999</v>
      </c>
      <c r="BP56">
        <v>22.198083333333301</v>
      </c>
      <c r="BQ56">
        <v>23.216833333333302</v>
      </c>
    </row>
    <row r="57" spans="1:69" x14ac:dyDescent="0.3">
      <c r="A57" t="s">
        <v>116</v>
      </c>
      <c r="B57" t="s">
        <v>117</v>
      </c>
      <c r="C57" t="s">
        <v>6</v>
      </c>
      <c r="D57" t="s">
        <v>7</v>
      </c>
      <c r="E57">
        <v>4.2000000032000004</v>
      </c>
      <c r="F57">
        <v>4.0333333363666704</v>
      </c>
      <c r="G57">
        <v>4.0000000030000002</v>
      </c>
      <c r="H57">
        <v>4.0000000030000002</v>
      </c>
      <c r="I57">
        <v>4.0000000030000002</v>
      </c>
      <c r="J57">
        <v>4.0000000030000002</v>
      </c>
      <c r="K57">
        <v>4.0000000030000002</v>
      </c>
      <c r="L57">
        <v>4.0000000030000002</v>
      </c>
      <c r="M57">
        <v>4.0000000030000002</v>
      </c>
      <c r="N57">
        <v>3.94333333594333</v>
      </c>
      <c r="O57">
        <v>3.6600000026599999</v>
      </c>
      <c r="P57">
        <v>3.50739351008637</v>
      </c>
      <c r="Q57">
        <v>3.1886416656666698</v>
      </c>
      <c r="R57">
        <v>2.6725999990833298</v>
      </c>
      <c r="S57">
        <v>2.5877499990000001</v>
      </c>
      <c r="T57">
        <v>2.4602916660833301</v>
      </c>
      <c r="U57">
        <v>2.5179999990833299</v>
      </c>
      <c r="V57">
        <v>2.3221833324166701</v>
      </c>
      <c r="W57">
        <v>2.00862499916667</v>
      </c>
      <c r="X57">
        <v>1.8328833325</v>
      </c>
      <c r="Y57">
        <v>1.81766666583333</v>
      </c>
      <c r="Z57">
        <v>2.2599999990833299</v>
      </c>
      <c r="AA57">
        <v>2.4265916657500002</v>
      </c>
      <c r="AB57">
        <v>2.5532583324166702</v>
      </c>
      <c r="AC57">
        <v>2.8459416661666701</v>
      </c>
      <c r="AD57">
        <v>2.9439666665000002</v>
      </c>
      <c r="AE57">
        <v>2.1714833330833301</v>
      </c>
      <c r="AF57">
        <v>1.7973916666666701</v>
      </c>
      <c r="AG57">
        <v>1.7562249999999999</v>
      </c>
      <c r="AH57">
        <v>1.8800416666666699</v>
      </c>
      <c r="AI57">
        <v>1.6157333333333299</v>
      </c>
      <c r="AJ57">
        <v>1.65954166666667</v>
      </c>
      <c r="AK57">
        <v>1.56165</v>
      </c>
      <c r="AL57">
        <v>1.65332083333333</v>
      </c>
      <c r="AM57">
        <v>1.6227941666666701</v>
      </c>
      <c r="AN57">
        <v>1.4331324999999999</v>
      </c>
      <c r="AO57">
        <v>1.5047741666666701</v>
      </c>
      <c r="AP57">
        <v>1.73405583333333</v>
      </c>
      <c r="AQ57">
        <v>1.7596676</v>
      </c>
      <c r="AR57">
        <v>0.93828307239528297</v>
      </c>
      <c r="AS57">
        <v>1.0827050813260199</v>
      </c>
      <c r="AT57">
        <v>1.1165330856446201</v>
      </c>
      <c r="AU57">
        <v>1.0575589962396501</v>
      </c>
      <c r="AV57">
        <v>0.88404792718492997</v>
      </c>
      <c r="AW57">
        <v>0.80392164774761798</v>
      </c>
      <c r="AX57">
        <v>0.80380019216144205</v>
      </c>
      <c r="AY57">
        <v>0.79643273094910205</v>
      </c>
      <c r="AZ57">
        <v>0.72967239998408295</v>
      </c>
      <c r="BA57">
        <v>0.67992268004272904</v>
      </c>
      <c r="BB57">
        <v>0.71695770201613596</v>
      </c>
      <c r="BC57">
        <v>0.75430899010596097</v>
      </c>
      <c r="BD57">
        <v>0.71841389865331695</v>
      </c>
      <c r="BE57">
        <v>0.77833812041681205</v>
      </c>
      <c r="BF57">
        <v>0.75294512270199598</v>
      </c>
      <c r="BG57">
        <v>0.75272819693260296</v>
      </c>
      <c r="BH57">
        <v>0.90129642336709603</v>
      </c>
      <c r="BI57">
        <v>0.90342143625726301</v>
      </c>
      <c r="BJ57">
        <v>0.88520550826937205</v>
      </c>
      <c r="BK57">
        <v>0.84677266710811105</v>
      </c>
      <c r="BL57">
        <v>0.89327625706740899</v>
      </c>
      <c r="BM57">
        <v>0.87550639698799804</v>
      </c>
      <c r="BN57">
        <v>0.84549413889045</v>
      </c>
      <c r="BO57">
        <v>0.94962375315694103</v>
      </c>
      <c r="BP57">
        <v>0.92483955847069799</v>
      </c>
      <c r="BQ57">
        <v>0.92388954611760699</v>
      </c>
    </row>
    <row r="58" spans="1:69" x14ac:dyDescent="0.3">
      <c r="A58" t="s">
        <v>118</v>
      </c>
      <c r="B58" t="s">
        <v>119</v>
      </c>
      <c r="C58" t="s">
        <v>6</v>
      </c>
      <c r="D58" t="s">
        <v>7</v>
      </c>
      <c r="E58">
        <v>214.39200021339201</v>
      </c>
      <c r="F58">
        <v>214.39200021339201</v>
      </c>
      <c r="G58">
        <v>214.39200021339201</v>
      </c>
      <c r="H58">
        <v>214.39200021339201</v>
      </c>
      <c r="I58">
        <v>214.39200021339201</v>
      </c>
      <c r="J58">
        <v>214.39200021339201</v>
      </c>
      <c r="K58">
        <v>214.39200021339201</v>
      </c>
      <c r="L58">
        <v>214.39200021339201</v>
      </c>
      <c r="M58">
        <v>214.39200021339201</v>
      </c>
      <c r="N58">
        <v>214.39200021339201</v>
      </c>
      <c r="O58">
        <v>214.39200021339201</v>
      </c>
      <c r="P58">
        <v>213.77875019552599</v>
      </c>
      <c r="Q58">
        <v>197.46599999899999</v>
      </c>
      <c r="R58">
        <v>179.942333333167</v>
      </c>
      <c r="S58">
        <v>177.721</v>
      </c>
      <c r="T58">
        <v>177.721</v>
      </c>
      <c r="U58">
        <v>177.721</v>
      </c>
      <c r="V58">
        <v>177.721</v>
      </c>
      <c r="W58">
        <v>177.721</v>
      </c>
      <c r="X58">
        <v>177.721</v>
      </c>
      <c r="Y58">
        <v>177.721</v>
      </c>
      <c r="Z58">
        <v>177.721</v>
      </c>
      <c r="AA58">
        <v>177.721</v>
      </c>
      <c r="AB58">
        <v>177.721</v>
      </c>
      <c r="AC58">
        <v>177.721</v>
      </c>
      <c r="AD58">
        <v>177.721</v>
      </c>
      <c r="AE58">
        <v>177.721</v>
      </c>
      <c r="AF58">
        <v>177.721</v>
      </c>
      <c r="AG58">
        <v>177.721</v>
      </c>
      <c r="AH58">
        <v>177.721</v>
      </c>
      <c r="AI58">
        <v>177.721</v>
      </c>
      <c r="AJ58">
        <v>177.721</v>
      </c>
      <c r="AK58">
        <v>177.721</v>
      </c>
      <c r="AL58">
        <v>177.721</v>
      </c>
      <c r="AM58">
        <v>177.721</v>
      </c>
      <c r="AN58">
        <v>177.721</v>
      </c>
      <c r="AO58">
        <v>177.721</v>
      </c>
      <c r="AP58">
        <v>177.721</v>
      </c>
      <c r="AQ58">
        <v>177.721</v>
      </c>
      <c r="AR58">
        <v>177.721</v>
      </c>
      <c r="AS58">
        <v>177.721</v>
      </c>
      <c r="AT58">
        <v>177.721</v>
      </c>
      <c r="AU58">
        <v>177.721</v>
      </c>
      <c r="AV58">
        <v>177.721</v>
      </c>
      <c r="AW58">
        <v>177.721</v>
      </c>
      <c r="AX58">
        <v>177.721</v>
      </c>
      <c r="AY58">
        <v>177.721</v>
      </c>
      <c r="AZ58">
        <v>177.721</v>
      </c>
      <c r="BA58">
        <v>177.721</v>
      </c>
      <c r="BB58">
        <v>177.721</v>
      </c>
      <c r="BC58">
        <v>177.721</v>
      </c>
      <c r="BD58">
        <v>177.721</v>
      </c>
      <c r="BE58">
        <v>177.721</v>
      </c>
      <c r="BF58">
        <v>177.721</v>
      </c>
      <c r="BG58">
        <v>177.721</v>
      </c>
      <c r="BH58">
        <v>177.721</v>
      </c>
      <c r="BI58">
        <v>177.721</v>
      </c>
      <c r="BJ58">
        <v>177.721</v>
      </c>
      <c r="BK58">
        <v>177.721</v>
      </c>
      <c r="BL58">
        <v>177.721</v>
      </c>
      <c r="BM58">
        <v>177.721</v>
      </c>
      <c r="BN58">
        <v>177.721</v>
      </c>
      <c r="BO58">
        <v>177.721</v>
      </c>
      <c r="BP58">
        <v>177.721</v>
      </c>
      <c r="BQ58">
        <v>177.721</v>
      </c>
    </row>
    <row r="59" spans="1:69" x14ac:dyDescent="0.3">
      <c r="A59" t="s">
        <v>120</v>
      </c>
      <c r="B59" t="s">
        <v>121</v>
      </c>
      <c r="C59" t="s">
        <v>6</v>
      </c>
      <c r="D59" t="s">
        <v>7</v>
      </c>
      <c r="E59">
        <v>1.7142900007142901</v>
      </c>
      <c r="F59">
        <v>1.7142900007142901</v>
      </c>
      <c r="G59">
        <v>1.7142900007142901</v>
      </c>
      <c r="H59">
        <v>1.7142900007142901</v>
      </c>
      <c r="I59">
        <v>1.7142900007142901</v>
      </c>
      <c r="J59">
        <v>1.7142900007142901</v>
      </c>
      <c r="K59">
        <v>1.7142900007142901</v>
      </c>
      <c r="L59">
        <v>1.7619083340952399</v>
      </c>
      <c r="M59">
        <v>2.0000000010000001</v>
      </c>
      <c r="N59">
        <v>2.0000000010000001</v>
      </c>
      <c r="O59">
        <v>2.0000000010000001</v>
      </c>
      <c r="P59">
        <v>1.97487273321145</v>
      </c>
      <c r="Q59">
        <v>1.9212781494760101</v>
      </c>
      <c r="R59">
        <v>1.9592192359816101</v>
      </c>
      <c r="S59">
        <v>2.0532324085176299</v>
      </c>
      <c r="T59">
        <v>2.16979583233333</v>
      </c>
      <c r="U59">
        <v>2.6146708328333301</v>
      </c>
      <c r="V59">
        <v>2.7</v>
      </c>
      <c r="W59">
        <v>2.7</v>
      </c>
      <c r="X59">
        <v>2.7</v>
      </c>
      <c r="Y59">
        <v>2.7</v>
      </c>
      <c r="Z59">
        <v>2.7</v>
      </c>
      <c r="AA59">
        <v>2.7</v>
      </c>
      <c r="AB59">
        <v>2.7</v>
      </c>
      <c r="AC59">
        <v>2.7</v>
      </c>
      <c r="AD59">
        <v>2.7</v>
      </c>
      <c r="AE59">
        <v>2.7</v>
      </c>
      <c r="AF59">
        <v>2.7</v>
      </c>
      <c r="AG59">
        <v>2.7</v>
      </c>
      <c r="AH59">
        <v>2.7</v>
      </c>
      <c r="AI59">
        <v>2.7</v>
      </c>
      <c r="AJ59">
        <v>2.7</v>
      </c>
      <c r="AK59">
        <v>2.7</v>
      </c>
      <c r="AL59">
        <v>2.7</v>
      </c>
      <c r="AM59">
        <v>2.7</v>
      </c>
      <c r="AN59">
        <v>2.7</v>
      </c>
      <c r="AO59">
        <v>2.7</v>
      </c>
      <c r="AP59">
        <v>2.7</v>
      </c>
      <c r="AQ59">
        <v>2.7</v>
      </c>
      <c r="AR59">
        <v>2.7</v>
      </c>
      <c r="AS59">
        <v>2.7</v>
      </c>
      <c r="AT59">
        <v>2.7</v>
      </c>
      <c r="AU59">
        <v>2.7</v>
      </c>
      <c r="AV59">
        <v>2.7</v>
      </c>
      <c r="AW59">
        <v>2.7</v>
      </c>
      <c r="AX59">
        <v>2.7</v>
      </c>
      <c r="AY59">
        <v>2.7</v>
      </c>
      <c r="AZ59">
        <v>2.7</v>
      </c>
      <c r="BA59">
        <v>2.7</v>
      </c>
      <c r="BB59">
        <v>2.7</v>
      </c>
      <c r="BC59">
        <v>2.7</v>
      </c>
      <c r="BD59">
        <v>2.7</v>
      </c>
      <c r="BE59">
        <v>2.7</v>
      </c>
      <c r="BF59">
        <v>2.7</v>
      </c>
      <c r="BG59">
        <v>2.7</v>
      </c>
      <c r="BH59">
        <v>2.7</v>
      </c>
      <c r="BI59">
        <v>2.7</v>
      </c>
      <c r="BJ59">
        <v>2.7</v>
      </c>
      <c r="BK59">
        <v>2.7</v>
      </c>
      <c r="BL59">
        <v>2.7</v>
      </c>
      <c r="BM59">
        <v>2.7</v>
      </c>
      <c r="BN59">
        <v>2.7</v>
      </c>
      <c r="BO59">
        <v>2.7</v>
      </c>
      <c r="BP59">
        <v>2.7</v>
      </c>
      <c r="BQ59">
        <v>2.7</v>
      </c>
    </row>
    <row r="60" spans="1:69" x14ac:dyDescent="0.3">
      <c r="A60" t="s">
        <v>122</v>
      </c>
      <c r="B60" t="s">
        <v>123</v>
      </c>
      <c r="C60" t="s">
        <v>6</v>
      </c>
      <c r="D60" t="s">
        <v>7</v>
      </c>
      <c r="E60">
        <v>6.9071400059071397</v>
      </c>
      <c r="F60">
        <v>6.9071400059071397</v>
      </c>
      <c r="G60">
        <v>6.9071400059071397</v>
      </c>
      <c r="H60">
        <v>6.9071400059071397</v>
      </c>
      <c r="I60">
        <v>6.9071400059071397</v>
      </c>
      <c r="J60">
        <v>6.9071400059071397</v>
      </c>
      <c r="K60">
        <v>6.9071400059071397</v>
      </c>
      <c r="L60">
        <v>6.9565416720476199</v>
      </c>
      <c r="M60">
        <v>7.5000000064999996</v>
      </c>
      <c r="N60">
        <v>7.5000000064999996</v>
      </c>
      <c r="O60">
        <v>7.5000000064999996</v>
      </c>
      <c r="P60">
        <v>7.4263379687119402</v>
      </c>
      <c r="Q60">
        <v>6.9492916656666601</v>
      </c>
      <c r="R60">
        <v>6.049499999</v>
      </c>
      <c r="S60">
        <v>6.0948999989999999</v>
      </c>
      <c r="T60">
        <v>5.746149999</v>
      </c>
      <c r="U60">
        <v>6.0450249989999998</v>
      </c>
      <c r="V60">
        <v>6.0031916656666704</v>
      </c>
      <c r="W60">
        <v>5.5146249989999996</v>
      </c>
      <c r="X60">
        <v>5.2609583323333302</v>
      </c>
      <c r="Y60">
        <v>5.6359416656666701</v>
      </c>
      <c r="Z60">
        <v>7.1233666656666603</v>
      </c>
      <c r="AA60">
        <v>8.3324416661666696</v>
      </c>
      <c r="AB60">
        <v>9.1449916657500001</v>
      </c>
      <c r="AC60">
        <v>10.356591666250001</v>
      </c>
      <c r="AD60">
        <v>10.5963916664167</v>
      </c>
      <c r="AE60">
        <v>8.0909916665833297</v>
      </c>
      <c r="AF60">
        <v>6.8403166666666699</v>
      </c>
      <c r="AG60">
        <v>6.7315250000000004</v>
      </c>
      <c r="AH60">
        <v>7.3101750000000001</v>
      </c>
      <c r="AI60">
        <v>6.1885583333333303</v>
      </c>
      <c r="AJ60">
        <v>6.3964583333333298</v>
      </c>
      <c r="AK60">
        <v>6.0361333333333302</v>
      </c>
      <c r="AL60">
        <v>6.4839391666666604</v>
      </c>
      <c r="AM60">
        <v>6.3605516666666704</v>
      </c>
      <c r="AN60">
        <v>5.6023666666666703</v>
      </c>
      <c r="AO60">
        <v>5.7986716666666602</v>
      </c>
      <c r="AP60">
        <v>6.6044591666666701</v>
      </c>
      <c r="AQ60">
        <v>6.7008266666666696</v>
      </c>
      <c r="AR60">
        <v>6.9762399999999998</v>
      </c>
      <c r="AS60">
        <v>8.0831441666666706</v>
      </c>
      <c r="AT60">
        <v>8.3228174999999993</v>
      </c>
      <c r="AU60">
        <v>7.8947141666666596</v>
      </c>
      <c r="AV60">
        <v>6.5876733333333304</v>
      </c>
      <c r="AW60">
        <v>5.9910566666666698</v>
      </c>
      <c r="AX60">
        <v>5.9969099999999997</v>
      </c>
      <c r="AY60">
        <v>5.9467783333333397</v>
      </c>
      <c r="AZ60">
        <v>5.4437008333333399</v>
      </c>
      <c r="BA60">
        <v>5.0981308333333404</v>
      </c>
      <c r="BB60">
        <v>5.36086666666667</v>
      </c>
      <c r="BC60">
        <v>5.6240750000000004</v>
      </c>
      <c r="BD60">
        <v>5.3687115350877201</v>
      </c>
      <c r="BE60">
        <v>5.7924755370391603</v>
      </c>
      <c r="BF60">
        <v>5.6163116861762203</v>
      </c>
      <c r="BG60">
        <v>5.6124666666666698</v>
      </c>
      <c r="BH60">
        <v>6.7279068312962904</v>
      </c>
      <c r="BI60">
        <v>6.7317182572463796</v>
      </c>
      <c r="BJ60">
        <v>6.6028934656140397</v>
      </c>
      <c r="BK60">
        <v>6.3146187866666699</v>
      </c>
      <c r="BL60">
        <v>6.669446615</v>
      </c>
      <c r="BM60">
        <v>6.54215220416667</v>
      </c>
      <c r="BN60">
        <v>6.2871130825000003</v>
      </c>
      <c r="BO60">
        <v>7.0761518624999997</v>
      </c>
      <c r="BP60">
        <v>6.8897025858333398</v>
      </c>
      <c r="BQ60">
        <v>6.8944814166666601</v>
      </c>
    </row>
    <row r="61" spans="1:69" x14ac:dyDescent="0.3">
      <c r="A61" t="s">
        <v>124</v>
      </c>
      <c r="B61" t="s">
        <v>125</v>
      </c>
      <c r="C61" t="s">
        <v>6</v>
      </c>
      <c r="D61" t="s">
        <v>7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0.99999999991666699</v>
      </c>
      <c r="Q61">
        <v>1</v>
      </c>
      <c r="R61">
        <v>0.99999999991666699</v>
      </c>
      <c r="S61">
        <v>0.99999999949999996</v>
      </c>
      <c r="T61">
        <v>0.99999999900000003</v>
      </c>
      <c r="U61">
        <v>0.99999999900000003</v>
      </c>
      <c r="V61">
        <v>0.99999999900000003</v>
      </c>
      <c r="W61">
        <v>0.99999999900000003</v>
      </c>
      <c r="X61">
        <v>0.99999999900000003</v>
      </c>
      <c r="Y61">
        <v>0.99999999900000003</v>
      </c>
      <c r="Z61">
        <v>0.99999999900000003</v>
      </c>
      <c r="AA61">
        <v>0.99999999900000003</v>
      </c>
      <c r="AB61">
        <v>0.99999999900000003</v>
      </c>
      <c r="AC61">
        <v>0.99999999958333297</v>
      </c>
      <c r="AD61">
        <v>3.1126083333333301</v>
      </c>
      <c r="AE61">
        <v>2.9043333332499999</v>
      </c>
      <c r="AF61">
        <v>3.8447583333333299</v>
      </c>
      <c r="AG61">
        <v>6.1125166666666697</v>
      </c>
      <c r="AH61">
        <v>6.34</v>
      </c>
      <c r="AI61">
        <v>8.5252999999999997</v>
      </c>
      <c r="AJ61">
        <v>12.5759189640769</v>
      </c>
      <c r="AK61">
        <v>12.5</v>
      </c>
      <c r="AL61">
        <v>12.5</v>
      </c>
      <c r="AM61">
        <v>12.6167803030303</v>
      </c>
      <c r="AN61">
        <v>12.87</v>
      </c>
      <c r="AO61">
        <v>12.8963492063492</v>
      </c>
      <c r="AP61">
        <v>14.005921052631599</v>
      </c>
      <c r="AQ61">
        <v>14.703110844469499</v>
      </c>
      <c r="AR61">
        <v>15.834429906597</v>
      </c>
      <c r="AS61">
        <v>16.181457678286598</v>
      </c>
      <c r="AT61">
        <v>16.690961523125999</v>
      </c>
      <c r="AU61">
        <v>17.593043688767398</v>
      </c>
      <c r="AV61">
        <v>29.3699996161352</v>
      </c>
      <c r="AW61">
        <v>41.930314572938698</v>
      </c>
      <c r="AX61">
        <v>30.282808177008199</v>
      </c>
      <c r="AY61">
        <v>33.300035201722999</v>
      </c>
      <c r="AZ61">
        <v>33.171870575549498</v>
      </c>
      <c r="BA61">
        <v>34.529360957350598</v>
      </c>
      <c r="BB61">
        <v>35.971865545260002</v>
      </c>
      <c r="BC61">
        <v>36.821291867081499</v>
      </c>
      <c r="BD61">
        <v>38.087584866809898</v>
      </c>
      <c r="BE61">
        <v>39.320300843225802</v>
      </c>
      <c r="BF61">
        <v>41.794503425229699</v>
      </c>
      <c r="BG61">
        <v>43.549672619047598</v>
      </c>
      <c r="BH61">
        <v>45.045499074074101</v>
      </c>
      <c r="BI61">
        <v>46.064443939393897</v>
      </c>
      <c r="BJ61">
        <v>47.534358196248199</v>
      </c>
      <c r="BK61">
        <v>49.509992857142898</v>
      </c>
      <c r="BL61">
        <v>51.294858333333302</v>
      </c>
      <c r="BM61">
        <v>56.524533333333402</v>
      </c>
      <c r="BN61">
        <v>57.221116666666703</v>
      </c>
      <c r="BO61">
        <v>55.1409916666667</v>
      </c>
      <c r="BP61">
        <v>56.157600000000002</v>
      </c>
      <c r="BQ61">
        <v>59.5651333333333</v>
      </c>
    </row>
    <row r="62" spans="1:69" x14ac:dyDescent="0.3">
      <c r="A62" t="s">
        <v>126</v>
      </c>
      <c r="B62" t="s">
        <v>127</v>
      </c>
      <c r="C62" t="s">
        <v>6</v>
      </c>
      <c r="D62" t="s">
        <v>7</v>
      </c>
      <c r="E62">
        <v>4.9370600039370602</v>
      </c>
      <c r="F62">
        <v>4.9370600039370602</v>
      </c>
      <c r="G62">
        <v>4.9370600039370602</v>
      </c>
      <c r="H62">
        <v>4.9370600039370602</v>
      </c>
      <c r="I62">
        <v>4.9370600039370602</v>
      </c>
      <c r="J62">
        <v>4.9370600039370602</v>
      </c>
      <c r="K62">
        <v>4.9370600039370602</v>
      </c>
      <c r="L62">
        <v>4.9370600039370602</v>
      </c>
      <c r="M62">
        <v>4.9370600039370602</v>
      </c>
      <c r="N62">
        <v>4.9370600039370602</v>
      </c>
      <c r="O62">
        <v>4.9370600039370602</v>
      </c>
      <c r="P62">
        <v>4.9126383368589703</v>
      </c>
      <c r="Q62">
        <v>4.4805149532113102</v>
      </c>
      <c r="R62">
        <v>3.9624954122422298</v>
      </c>
      <c r="S62">
        <v>4.1807499989999997</v>
      </c>
      <c r="T62">
        <v>3.9494083323333302</v>
      </c>
      <c r="U62">
        <v>4.163824999</v>
      </c>
      <c r="V62">
        <v>4.1467583323333299</v>
      </c>
      <c r="W62">
        <v>3.9658999989999999</v>
      </c>
      <c r="X62">
        <v>3.8532666656666699</v>
      </c>
      <c r="Y62">
        <v>3.8374499989999999</v>
      </c>
      <c r="Z62">
        <v>4.3158083323333303</v>
      </c>
      <c r="AA62">
        <v>4.5921916656666699</v>
      </c>
      <c r="AB62">
        <v>4.7887999990000001</v>
      </c>
      <c r="AC62">
        <v>4.9833749995833303</v>
      </c>
      <c r="AD62">
        <v>5.0278</v>
      </c>
      <c r="AE62">
        <v>4.7023166666666603</v>
      </c>
      <c r="AF62">
        <v>4.8497416666666604</v>
      </c>
      <c r="AG62">
        <v>5.9147666666666696</v>
      </c>
      <c r="AH62">
        <v>7.6085583333333302</v>
      </c>
      <c r="AI62">
        <v>8.9575083333333296</v>
      </c>
      <c r="AJ62">
        <v>18.472874999999998</v>
      </c>
      <c r="AK62">
        <v>21.836075000000001</v>
      </c>
      <c r="AL62">
        <v>23.345406666666701</v>
      </c>
      <c r="AM62">
        <v>35.058500833333298</v>
      </c>
      <c r="AN62">
        <v>47.6627266666667</v>
      </c>
      <c r="AO62">
        <v>54.748933333333298</v>
      </c>
      <c r="AP62">
        <v>57.707349999999998</v>
      </c>
      <c r="AQ62">
        <v>58.738958333333301</v>
      </c>
      <c r="AR62">
        <v>66.573875000000001</v>
      </c>
      <c r="AS62">
        <v>75.259791666666601</v>
      </c>
      <c r="AT62">
        <v>77.215020833333398</v>
      </c>
      <c r="AU62">
        <v>79.681899999999999</v>
      </c>
      <c r="AV62">
        <v>77.394975000000002</v>
      </c>
      <c r="AW62">
        <v>72.060649999999995</v>
      </c>
      <c r="AX62">
        <v>73.276308333333304</v>
      </c>
      <c r="AY62">
        <v>72.646616666666702</v>
      </c>
      <c r="AZ62">
        <v>69.292400000000001</v>
      </c>
      <c r="BA62">
        <v>64.582800000000006</v>
      </c>
      <c r="BB62">
        <v>72.6474166666667</v>
      </c>
      <c r="BC62">
        <v>74.3859833333333</v>
      </c>
      <c r="BD62">
        <v>72.937883333333303</v>
      </c>
      <c r="BE62">
        <v>77.535966666666695</v>
      </c>
      <c r="BF62">
        <v>79.368399999999994</v>
      </c>
      <c r="BG62">
        <v>80.579016666666703</v>
      </c>
      <c r="BH62">
        <v>100.69143333333299</v>
      </c>
      <c r="BI62">
        <v>109.44306666666699</v>
      </c>
      <c r="BJ62">
        <v>110.97301666666699</v>
      </c>
      <c r="BK62">
        <v>116.593791666667</v>
      </c>
      <c r="BL62">
        <v>119.353558333333</v>
      </c>
      <c r="BM62">
        <v>126.77679999999999</v>
      </c>
      <c r="BN62">
        <v>135.06405833333301</v>
      </c>
      <c r="BO62">
        <v>141.99497500000001</v>
      </c>
      <c r="BP62">
        <v>135.84293333333301</v>
      </c>
      <c r="BQ62">
        <v>134.05324166666699</v>
      </c>
    </row>
    <row r="63" spans="1:69" x14ac:dyDescent="0.3">
      <c r="A63" t="s">
        <v>128</v>
      </c>
      <c r="B63" t="s">
        <v>129</v>
      </c>
      <c r="C63" t="s">
        <v>6</v>
      </c>
      <c r="D63" t="s">
        <v>7</v>
      </c>
    </row>
    <row r="64" spans="1:69" x14ac:dyDescent="0.3">
      <c r="A64" t="s">
        <v>130</v>
      </c>
      <c r="B64" t="s">
        <v>131</v>
      </c>
      <c r="C64" t="s">
        <v>6</v>
      </c>
      <c r="D64" t="s">
        <v>7</v>
      </c>
    </row>
    <row r="65" spans="1:69" x14ac:dyDescent="0.3">
      <c r="A65" t="s">
        <v>132</v>
      </c>
      <c r="B65" t="s">
        <v>133</v>
      </c>
      <c r="C65" t="s">
        <v>6</v>
      </c>
      <c r="D65" t="s">
        <v>7</v>
      </c>
    </row>
    <row r="66" spans="1:69" x14ac:dyDescent="0.3">
      <c r="A66" t="s">
        <v>134</v>
      </c>
      <c r="B66" t="s">
        <v>135</v>
      </c>
      <c r="C66" t="s">
        <v>6</v>
      </c>
      <c r="D66" t="s">
        <v>7</v>
      </c>
    </row>
    <row r="67" spans="1:69" x14ac:dyDescent="0.3">
      <c r="A67" t="s">
        <v>136</v>
      </c>
      <c r="B67" t="s">
        <v>137</v>
      </c>
      <c r="C67" t="s">
        <v>6</v>
      </c>
      <c r="D67" t="s">
        <v>7</v>
      </c>
    </row>
    <row r="68" spans="1:69" x14ac:dyDescent="0.3">
      <c r="A68" t="s">
        <v>138</v>
      </c>
      <c r="B68" t="s">
        <v>139</v>
      </c>
      <c r="C68" t="s">
        <v>6</v>
      </c>
      <c r="D68" t="s">
        <v>7</v>
      </c>
      <c r="E68">
        <v>15.000000014999999</v>
      </c>
      <c r="F68">
        <v>16.5000000165</v>
      </c>
      <c r="G68">
        <v>18.000000018000001</v>
      </c>
      <c r="H68">
        <v>18.000000018000001</v>
      </c>
      <c r="I68">
        <v>18.000000018000001</v>
      </c>
      <c r="J68">
        <v>18.000000018000001</v>
      </c>
      <c r="K68">
        <v>18.000000018000001</v>
      </c>
      <c r="L68">
        <v>18.000000018000001</v>
      </c>
      <c r="M68">
        <v>18.000000018000001</v>
      </c>
      <c r="N68">
        <v>18.000000018000001</v>
      </c>
      <c r="O68">
        <v>20.9166666871667</v>
      </c>
      <c r="P68">
        <v>25.000000021916701</v>
      </c>
      <c r="Q68">
        <v>25.000138180545601</v>
      </c>
      <c r="R68">
        <v>24.999976992090001</v>
      </c>
      <c r="S68">
        <v>24.9999792857767</v>
      </c>
      <c r="T68">
        <v>24.999999999</v>
      </c>
      <c r="U68">
        <v>24.999999999</v>
      </c>
      <c r="V68">
        <v>24.999999999</v>
      </c>
      <c r="W68">
        <v>24.999999999</v>
      </c>
      <c r="X68">
        <v>24.999999999</v>
      </c>
      <c r="Y68">
        <v>24.999999999</v>
      </c>
      <c r="Z68">
        <v>24.999999999</v>
      </c>
      <c r="AA68">
        <v>30.025833332333299</v>
      </c>
      <c r="AB68">
        <v>44.115008332333304</v>
      </c>
      <c r="AC68">
        <v>62.535899999249999</v>
      </c>
      <c r="AD68">
        <v>69.556249999083306</v>
      </c>
      <c r="AE68">
        <v>122.77924166666701</v>
      </c>
      <c r="AF68">
        <v>170.46166666666701</v>
      </c>
      <c r="AG68">
        <v>301.61083333333301</v>
      </c>
      <c r="AH68">
        <v>526.34833333333302</v>
      </c>
      <c r="AI68">
        <v>767.75083333333305</v>
      </c>
      <c r="AJ68">
        <v>1046.24933333333</v>
      </c>
      <c r="AK68">
        <v>1533.96166666667</v>
      </c>
      <c r="AL68">
        <v>1919.105</v>
      </c>
      <c r="AM68">
        <v>2196.7283333333298</v>
      </c>
      <c r="AN68">
        <v>2564.49416666667</v>
      </c>
      <c r="AO68">
        <v>3189.47416666667</v>
      </c>
      <c r="AP68">
        <v>3998.2666666666701</v>
      </c>
      <c r="AQ68">
        <v>5446.5729000000001</v>
      </c>
      <c r="AR68">
        <v>11786.801666666701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</row>
    <row r="69" spans="1:69" x14ac:dyDescent="0.3">
      <c r="A69" t="s">
        <v>140</v>
      </c>
      <c r="B69" t="s">
        <v>141</v>
      </c>
      <c r="C69" t="s">
        <v>6</v>
      </c>
      <c r="D69" t="s">
        <v>7</v>
      </c>
      <c r="E69">
        <v>0.34824199934824202</v>
      </c>
      <c r="F69">
        <v>0.34824199934824202</v>
      </c>
      <c r="G69">
        <v>0.40448912538026</v>
      </c>
      <c r="H69">
        <v>0.434782608884688</v>
      </c>
      <c r="I69">
        <v>0.434782608884688</v>
      </c>
      <c r="J69">
        <v>0.434782608884688</v>
      </c>
      <c r="K69">
        <v>0.434782608884688</v>
      </c>
      <c r="L69">
        <v>0.434782608884688</v>
      </c>
      <c r="M69">
        <v>0.434782608884688</v>
      </c>
      <c r="N69">
        <v>0.434782608884688</v>
      </c>
      <c r="O69">
        <v>0.434782608884688</v>
      </c>
      <c r="P69">
        <v>0.43478264139429701</v>
      </c>
      <c r="Q69">
        <v>0.434782608884688</v>
      </c>
      <c r="R69">
        <v>0.39795624317960598</v>
      </c>
      <c r="S69">
        <v>0.39130366745108802</v>
      </c>
      <c r="T69">
        <v>0.39130366745108802</v>
      </c>
      <c r="U69">
        <v>0.39130366745108802</v>
      </c>
      <c r="V69">
        <v>0.39130366745108802</v>
      </c>
      <c r="W69">
        <v>0.39130366745108802</v>
      </c>
      <c r="X69">
        <v>0.70000070049070096</v>
      </c>
      <c r="Y69">
        <v>0.70000070049070096</v>
      </c>
      <c r="Z69">
        <v>0.70000070049070096</v>
      </c>
      <c r="AA69">
        <v>0.70000070049070096</v>
      </c>
      <c r="AB69">
        <v>0.70000070049070096</v>
      </c>
      <c r="AC69">
        <v>0.70000070020486704</v>
      </c>
      <c r="AD69">
        <v>0.70000070000070003</v>
      </c>
      <c r="AE69">
        <v>0.70000070000070003</v>
      </c>
      <c r="AF69">
        <v>0.70000070000070003</v>
      </c>
      <c r="AG69">
        <v>0.70000070000070003</v>
      </c>
      <c r="AH69">
        <v>0.86666666666666703</v>
      </c>
      <c r="AI69">
        <v>1.55</v>
      </c>
      <c r="AJ69">
        <v>3.13800833333333</v>
      </c>
      <c r="AK69">
        <v>3.3217483333333302</v>
      </c>
      <c r="AL69">
        <v>3.3525174999999998</v>
      </c>
      <c r="AM69">
        <v>3.38513333333333</v>
      </c>
      <c r="AN69">
        <v>3.3922083333333299</v>
      </c>
      <c r="AO69">
        <v>3.3914833333333401</v>
      </c>
      <c r="AP69">
        <v>3.3887499999999999</v>
      </c>
      <c r="AQ69">
        <v>3.3879999999999999</v>
      </c>
      <c r="AR69">
        <v>3.3952499999999999</v>
      </c>
      <c r="AS69">
        <v>3.4720499999999999</v>
      </c>
      <c r="AT69">
        <v>3.9729999999999999</v>
      </c>
      <c r="AU69">
        <v>4.4996666666666698</v>
      </c>
      <c r="AV69">
        <v>5.8508750000000003</v>
      </c>
      <c r="AW69">
        <v>6.1962416666666602</v>
      </c>
      <c r="AX69">
        <v>5.7788333333333304</v>
      </c>
      <c r="AY69">
        <v>5.7331666666666603</v>
      </c>
      <c r="AZ69">
        <v>5.6354333333333404</v>
      </c>
      <c r="BA69">
        <v>5.4325000000000001</v>
      </c>
      <c r="BB69">
        <v>5.5445533086297702</v>
      </c>
      <c r="BC69">
        <v>5.6219429176105002</v>
      </c>
      <c r="BD69">
        <v>5.9328276515151499</v>
      </c>
      <c r="BE69">
        <v>6.05605833333333</v>
      </c>
      <c r="BF69">
        <v>6.8703250000000002</v>
      </c>
      <c r="BG69">
        <v>7.0776085606060599</v>
      </c>
      <c r="BH69">
        <v>7.6912583333333302</v>
      </c>
      <c r="BI69">
        <v>10.0254007885465</v>
      </c>
      <c r="BJ69">
        <v>17.782533515063601</v>
      </c>
      <c r="BK69">
        <v>17.767290421810699</v>
      </c>
      <c r="BL69">
        <v>16.7705818428763</v>
      </c>
      <c r="BM69">
        <v>15.759172916666699</v>
      </c>
      <c r="BN69">
        <v>15.644527277711299</v>
      </c>
      <c r="BO69">
        <v>19.160439741220401</v>
      </c>
      <c r="BP69">
        <v>30.626413698031101</v>
      </c>
      <c r="BQ69">
        <v>45.299259999999997</v>
      </c>
    </row>
    <row r="70" spans="1:69" x14ac:dyDescent="0.3">
      <c r="A70" t="s">
        <v>142</v>
      </c>
      <c r="B70" t="s">
        <v>143</v>
      </c>
      <c r="C70" t="s">
        <v>6</v>
      </c>
      <c r="D70" t="s">
        <v>7</v>
      </c>
      <c r="AR70">
        <v>0.93828307239528297</v>
      </c>
      <c r="AS70">
        <v>1.0827050813260199</v>
      </c>
      <c r="AT70">
        <v>1.1165330856446201</v>
      </c>
      <c r="AU70">
        <v>1.0575589962396501</v>
      </c>
      <c r="AV70">
        <v>0.88404792718492997</v>
      </c>
      <c r="AW70">
        <v>0.80392164774761798</v>
      </c>
      <c r="AX70">
        <v>0.80380019216144205</v>
      </c>
      <c r="AY70">
        <v>0.79643273094910205</v>
      </c>
      <c r="AZ70">
        <v>0.72967239998408295</v>
      </c>
      <c r="BA70">
        <v>0.67992268004272904</v>
      </c>
      <c r="BB70">
        <v>0.71695770201613596</v>
      </c>
      <c r="BC70">
        <v>0.75430899010596097</v>
      </c>
      <c r="BD70">
        <v>0.71841389865331695</v>
      </c>
      <c r="BE70">
        <v>0.77833812041681205</v>
      </c>
      <c r="BF70">
        <v>0.75294512270199598</v>
      </c>
      <c r="BG70">
        <v>0.75272819693260296</v>
      </c>
      <c r="BH70">
        <v>0.90129642336709603</v>
      </c>
      <c r="BI70">
        <v>0.90342143625726301</v>
      </c>
      <c r="BJ70">
        <v>0.88520550826937205</v>
      </c>
      <c r="BK70">
        <v>0.84677266710811105</v>
      </c>
      <c r="BL70">
        <v>0.89327625706740899</v>
      </c>
      <c r="BM70">
        <v>0.87550639698799804</v>
      </c>
      <c r="BN70">
        <v>0.84549413889045</v>
      </c>
      <c r="BO70">
        <v>0.94962375315694103</v>
      </c>
      <c r="BP70">
        <v>0.92483955847069799</v>
      </c>
      <c r="BQ70">
        <v>0.92388954611760699</v>
      </c>
    </row>
    <row r="71" spans="1:69" x14ac:dyDescent="0.3">
      <c r="A71" t="s">
        <v>144</v>
      </c>
      <c r="B71" t="s">
        <v>145</v>
      </c>
      <c r="C71" t="s">
        <v>6</v>
      </c>
      <c r="D71" t="s">
        <v>7</v>
      </c>
      <c r="E71">
        <v>2.4866905218725499</v>
      </c>
      <c r="F71">
        <v>2.4866905218725499</v>
      </c>
      <c r="G71">
        <v>2.4866905218725499</v>
      </c>
      <c r="H71">
        <v>2.4879833273696002</v>
      </c>
      <c r="I71">
        <v>2.5022041878371399</v>
      </c>
      <c r="J71">
        <v>2.5022041878371399</v>
      </c>
      <c r="K71">
        <v>2.5022041878371399</v>
      </c>
      <c r="L71">
        <v>2.5022041878371399</v>
      </c>
      <c r="M71">
        <v>2.5022041878371399</v>
      </c>
      <c r="N71">
        <v>2.5022041878371399</v>
      </c>
      <c r="O71">
        <v>2.5022041878371399</v>
      </c>
      <c r="P71">
        <v>2.4956734349068799</v>
      </c>
      <c r="Q71">
        <v>2.3020278528101699</v>
      </c>
      <c r="R71">
        <v>2.1006004156892799</v>
      </c>
      <c r="S71">
        <v>2.0718250675291499</v>
      </c>
      <c r="T71">
        <v>2.0718250675291499</v>
      </c>
      <c r="U71">
        <v>2.0718250675291499</v>
      </c>
      <c r="V71">
        <v>2.0718250675291499</v>
      </c>
      <c r="W71">
        <v>2.0718250675291499</v>
      </c>
      <c r="X71">
        <v>2.0718250675291499</v>
      </c>
      <c r="Y71">
        <v>2.0718250675291499</v>
      </c>
      <c r="Z71">
        <v>2.0718250675291499</v>
      </c>
      <c r="AA71">
        <v>2.0718250675291499</v>
      </c>
      <c r="AB71">
        <v>2.0718250675291499</v>
      </c>
      <c r="AC71">
        <v>2.0718250675291499</v>
      </c>
      <c r="AD71">
        <v>2.0718250675291499</v>
      </c>
      <c r="AE71">
        <v>2.0718250675291499</v>
      </c>
      <c r="AF71">
        <v>2.0718250675291499</v>
      </c>
      <c r="AG71">
        <v>2.0718250675291499</v>
      </c>
      <c r="AH71">
        <v>2.0718250675291499</v>
      </c>
      <c r="AI71">
        <v>2.0718250675291499</v>
      </c>
      <c r="AJ71">
        <v>2.0718250675291499</v>
      </c>
      <c r="AK71">
        <v>2.8049708945654301</v>
      </c>
      <c r="AL71">
        <v>5.0044083756742799</v>
      </c>
      <c r="AM71">
        <v>5.4698183546119896</v>
      </c>
      <c r="AN71">
        <v>6.1637629827054896</v>
      </c>
      <c r="AO71">
        <v>6.3572751139121904</v>
      </c>
      <c r="AP71">
        <v>6.7588217839559102</v>
      </c>
      <c r="AQ71">
        <v>7.3619304166666701</v>
      </c>
      <c r="AR71">
        <v>8.1526333333333305</v>
      </c>
      <c r="AS71">
        <v>9.625</v>
      </c>
      <c r="AT71">
        <v>11.3094520833333</v>
      </c>
      <c r="AU71">
        <v>13.958194166666701</v>
      </c>
      <c r="AV71">
        <v>13.877890583333301</v>
      </c>
      <c r="AW71">
        <v>13.7875</v>
      </c>
      <c r="AX71">
        <v>15.3679166666667</v>
      </c>
      <c r="AY71">
        <v>15.375</v>
      </c>
      <c r="AZ71">
        <v>15.375</v>
      </c>
      <c r="BA71">
        <v>15.375</v>
      </c>
      <c r="BB71">
        <v>15.375</v>
      </c>
      <c r="BC71">
        <v>15.375</v>
      </c>
      <c r="BD71">
        <v>15.375</v>
      </c>
      <c r="BE71">
        <v>15.375</v>
      </c>
      <c r="BF71">
        <v>15.375</v>
      </c>
      <c r="BG71">
        <v>15.375</v>
      </c>
      <c r="BH71">
        <v>15.375</v>
      </c>
      <c r="BI71">
        <v>15.35</v>
      </c>
      <c r="BJ71">
        <v>15.074999999999999</v>
      </c>
      <c r="BK71">
        <v>15.074999999999999</v>
      </c>
      <c r="BL71">
        <v>15.074999999999999</v>
      </c>
      <c r="BM71">
        <v>15.074999999999999</v>
      </c>
      <c r="BN71">
        <v>15.074999999999999</v>
      </c>
      <c r="BO71">
        <v>15.074999999999999</v>
      </c>
      <c r="BP71">
        <v>15.074999999999999</v>
      </c>
      <c r="BQ71">
        <v>15.074999999999999</v>
      </c>
    </row>
    <row r="72" spans="1:69" x14ac:dyDescent="0.3">
      <c r="A72" t="s">
        <v>146</v>
      </c>
      <c r="B72" t="s">
        <v>147</v>
      </c>
      <c r="C72" t="s">
        <v>6</v>
      </c>
      <c r="D72" t="s">
        <v>7</v>
      </c>
      <c r="E72">
        <v>60.000000059000001</v>
      </c>
      <c r="F72">
        <v>60.000000059000001</v>
      </c>
      <c r="G72">
        <v>60.000000059000001</v>
      </c>
      <c r="H72">
        <v>60.000000059000001</v>
      </c>
      <c r="I72">
        <v>60.000000059000001</v>
      </c>
      <c r="J72">
        <v>60.000000059000001</v>
      </c>
      <c r="K72">
        <v>60.000000059000001</v>
      </c>
      <c r="L72">
        <v>61.666666727500001</v>
      </c>
      <c r="M72">
        <v>70.000000069999999</v>
      </c>
      <c r="N72">
        <v>70.000000069999999</v>
      </c>
      <c r="O72">
        <v>70.000000069999999</v>
      </c>
      <c r="P72">
        <v>69.468666707166705</v>
      </c>
      <c r="Q72">
        <v>64.271416665916703</v>
      </c>
      <c r="R72">
        <v>58.260083332333302</v>
      </c>
      <c r="S72">
        <v>57.686499998999999</v>
      </c>
      <c r="T72">
        <v>57.406916665666699</v>
      </c>
      <c r="U72">
        <v>66.9029166660833</v>
      </c>
      <c r="V72">
        <v>75.961833332416703</v>
      </c>
      <c r="W72">
        <v>76.667833332833297</v>
      </c>
      <c r="X72">
        <v>67.124999999583295</v>
      </c>
      <c r="Y72">
        <v>71.701916665916698</v>
      </c>
      <c r="Z72">
        <v>92.321833332500006</v>
      </c>
      <c r="AA72">
        <v>109.859166665833</v>
      </c>
      <c r="AB72">
        <v>143.42991666633301</v>
      </c>
      <c r="AC72">
        <v>160.76099999966701</v>
      </c>
      <c r="AD72">
        <v>170.04408333316701</v>
      </c>
      <c r="AE72">
        <v>140.04837544216801</v>
      </c>
      <c r="AF72">
        <v>123.478333333333</v>
      </c>
      <c r="AG72">
        <v>116.486833333333</v>
      </c>
      <c r="AH72">
        <v>118.377666666667</v>
      </c>
      <c r="AI72">
        <v>101.933916666667</v>
      </c>
      <c r="AJ72">
        <v>103.911583333333</v>
      </c>
      <c r="AK72">
        <v>102.379083333333</v>
      </c>
      <c r="AL72">
        <v>127.260416666667</v>
      </c>
      <c r="AM72">
        <v>133.957955</v>
      </c>
      <c r="AN72">
        <v>124.68899999999999</v>
      </c>
      <c r="AO72">
        <v>126.661583333333</v>
      </c>
      <c r="AP72">
        <v>146.41362833333301</v>
      </c>
      <c r="AQ72">
        <v>149.395331666667</v>
      </c>
      <c r="AR72">
        <v>0.93828307239528297</v>
      </c>
      <c r="AS72">
        <v>1.0827050813260199</v>
      </c>
      <c r="AT72">
        <v>1.1165330856446201</v>
      </c>
      <c r="AU72">
        <v>1.0575589962396501</v>
      </c>
      <c r="AV72">
        <v>0.88404792718492997</v>
      </c>
      <c r="AW72">
        <v>0.80392164774761798</v>
      </c>
      <c r="AX72">
        <v>0.80380019216144205</v>
      </c>
      <c r="AY72">
        <v>0.79643273094910205</v>
      </c>
      <c r="AZ72">
        <v>0.72967239998408295</v>
      </c>
      <c r="BA72">
        <v>0.67992268004272904</v>
      </c>
      <c r="BB72">
        <v>0.71695770201613596</v>
      </c>
      <c r="BC72">
        <v>0.75430899010596097</v>
      </c>
      <c r="BD72">
        <v>0.71841389865331695</v>
      </c>
      <c r="BE72">
        <v>0.77833812041681205</v>
      </c>
      <c r="BF72">
        <v>0.75294512270199598</v>
      </c>
      <c r="BG72">
        <v>0.75272819693260296</v>
      </c>
      <c r="BH72">
        <v>0.90129642336709603</v>
      </c>
      <c r="BI72">
        <v>0.90342143625726301</v>
      </c>
      <c r="BJ72">
        <v>0.88520550826937205</v>
      </c>
      <c r="BK72">
        <v>0.84677266710811105</v>
      </c>
      <c r="BL72">
        <v>0.89327625706740899</v>
      </c>
      <c r="BM72">
        <v>0.87550639698799804</v>
      </c>
      <c r="BN72">
        <v>0.84549413889045</v>
      </c>
      <c r="BO72">
        <v>0.94962375315694103</v>
      </c>
      <c r="BP72">
        <v>0.92483955847069799</v>
      </c>
      <c r="BQ72">
        <v>0.92388954611760699</v>
      </c>
    </row>
    <row r="73" spans="1:69" x14ac:dyDescent="0.3">
      <c r="A73" t="s">
        <v>148</v>
      </c>
      <c r="B73" t="s">
        <v>149</v>
      </c>
      <c r="C73" t="s">
        <v>6</v>
      </c>
      <c r="D73" t="s">
        <v>7</v>
      </c>
      <c r="AL73">
        <v>13.22275</v>
      </c>
      <c r="AM73">
        <v>12.991250000000001</v>
      </c>
      <c r="AN73">
        <v>11.46475</v>
      </c>
      <c r="AO73">
        <v>12.038</v>
      </c>
      <c r="AP73">
        <v>13.88175</v>
      </c>
      <c r="AQ73">
        <v>14.074666666666699</v>
      </c>
      <c r="AR73">
        <v>14.677583333333301</v>
      </c>
      <c r="AS73">
        <v>16.968636666666701</v>
      </c>
      <c r="AT73">
        <v>17.478071533333299</v>
      </c>
      <c r="AU73">
        <v>16.611791666666701</v>
      </c>
      <c r="AV73">
        <v>13.856411404510499</v>
      </c>
      <c r="AW73">
        <v>12.5955635879843</v>
      </c>
      <c r="AX73">
        <v>12.5837865859395</v>
      </c>
      <c r="AY73">
        <v>12.4654837577722</v>
      </c>
      <c r="AZ73">
        <v>11.4338529961624</v>
      </c>
      <c r="BA73">
        <v>10.694443093841301</v>
      </c>
      <c r="BB73">
        <v>11.257430885076699</v>
      </c>
      <c r="BC73">
        <v>11.8068482348947</v>
      </c>
      <c r="BD73">
        <v>0.71841389865331695</v>
      </c>
      <c r="BE73">
        <v>0.77833812041681205</v>
      </c>
      <c r="BF73">
        <v>0.75294512270199598</v>
      </c>
      <c r="BG73">
        <v>0.75272819693260296</v>
      </c>
      <c r="BH73">
        <v>0.90129642336709603</v>
      </c>
      <c r="BI73">
        <v>0.90342143625726301</v>
      </c>
      <c r="BJ73">
        <v>0.88520550826937205</v>
      </c>
      <c r="BK73">
        <v>0.84677266710811105</v>
      </c>
      <c r="BL73">
        <v>0.89327625706740899</v>
      </c>
      <c r="BM73">
        <v>0.87550639698799804</v>
      </c>
      <c r="BN73">
        <v>0.84549413889045</v>
      </c>
      <c r="BO73">
        <v>0.94962375315694103</v>
      </c>
      <c r="BP73">
        <v>0.92483955847069799</v>
      </c>
      <c r="BQ73">
        <v>0.92388954611760699</v>
      </c>
    </row>
    <row r="74" spans="1:69" x14ac:dyDescent="0.3">
      <c r="A74" t="s">
        <v>150</v>
      </c>
      <c r="B74" t="s">
        <v>151</v>
      </c>
      <c r="C74" t="s">
        <v>6</v>
      </c>
      <c r="D74" t="s">
        <v>7</v>
      </c>
      <c r="E74">
        <v>2.4844700014844698</v>
      </c>
      <c r="F74">
        <v>2.4844700014844698</v>
      </c>
      <c r="G74">
        <v>2.4844700014844698</v>
      </c>
      <c r="H74">
        <v>2.4844700012774301</v>
      </c>
      <c r="I74">
        <v>2.5000000015000001</v>
      </c>
      <c r="J74">
        <v>2.5000000015000001</v>
      </c>
      <c r="K74">
        <v>2.5000000015000001</v>
      </c>
      <c r="L74">
        <v>2.5000000015000001</v>
      </c>
      <c r="M74">
        <v>2.5000000015000001</v>
      </c>
      <c r="N74">
        <v>2.5000000015000001</v>
      </c>
      <c r="O74">
        <v>2.5000000015000001</v>
      </c>
      <c r="P74">
        <v>2.49347500129167</v>
      </c>
      <c r="Q74">
        <v>2.2999999990000002</v>
      </c>
      <c r="R74">
        <v>2.0987499989999998</v>
      </c>
      <c r="S74">
        <v>2.0699999990000002</v>
      </c>
      <c r="T74">
        <v>2.0699999990000002</v>
      </c>
      <c r="U74">
        <v>2.0699999990000002</v>
      </c>
      <c r="V74">
        <v>2.0699999990000002</v>
      </c>
      <c r="W74">
        <v>2.0699999990000002</v>
      </c>
      <c r="X74">
        <v>2.0699999990000002</v>
      </c>
      <c r="Y74">
        <v>2.0699999990000002</v>
      </c>
      <c r="Z74">
        <v>2.0699999990000002</v>
      </c>
      <c r="AA74">
        <v>2.0699999990000002</v>
      </c>
      <c r="AB74">
        <v>2.0699999990000002</v>
      </c>
      <c r="AC74">
        <v>2.06999999958333</v>
      </c>
      <c r="AD74">
        <v>2.0699999999999998</v>
      </c>
      <c r="AE74">
        <v>2.0699999999999998</v>
      </c>
      <c r="AF74">
        <v>2.0699999999999998</v>
      </c>
      <c r="AG74">
        <v>2.0699999999999998</v>
      </c>
      <c r="AH74">
        <v>2.0699999999999998</v>
      </c>
      <c r="AI74">
        <v>2.0699999999999998</v>
      </c>
      <c r="AJ74">
        <v>2.0699999999999998</v>
      </c>
      <c r="AK74">
        <v>2.8025000000000002</v>
      </c>
      <c r="AL74">
        <v>5</v>
      </c>
      <c r="AM74">
        <v>5.4649999999999999</v>
      </c>
      <c r="AN74">
        <v>6.1583333333333297</v>
      </c>
      <c r="AO74">
        <v>6.3516750000000002</v>
      </c>
      <c r="AP74">
        <v>6.7093416666666696</v>
      </c>
      <c r="AQ74">
        <v>7.1159083333333397</v>
      </c>
      <c r="AR74">
        <v>7.9422499999999996</v>
      </c>
      <c r="AS74">
        <v>8.21725833333333</v>
      </c>
      <c r="AT74">
        <v>8.4574916666666695</v>
      </c>
      <c r="AU74">
        <v>8.5677500000000002</v>
      </c>
      <c r="AV74">
        <v>8.5996833333333296</v>
      </c>
      <c r="AW74">
        <v>8.6355833333333294</v>
      </c>
      <c r="AX74">
        <v>8.6664416666666693</v>
      </c>
      <c r="AY74">
        <v>8.6986158333333297</v>
      </c>
      <c r="AZ74">
        <v>8.9659499999999994</v>
      </c>
      <c r="BA74">
        <v>9.5997416666666702</v>
      </c>
      <c r="BB74">
        <v>11.777599672499999</v>
      </c>
      <c r="BC74">
        <v>14.409589808006601</v>
      </c>
      <c r="BD74">
        <v>16.8992257595275</v>
      </c>
      <c r="BE74">
        <v>17.704761378267399</v>
      </c>
      <c r="BF74">
        <v>18.626628957547801</v>
      </c>
      <c r="BG74">
        <v>19.585789907694998</v>
      </c>
      <c r="BH74">
        <v>20.57684875</v>
      </c>
      <c r="BI74">
        <v>21.731547222222201</v>
      </c>
      <c r="BJ74">
        <v>23.866104457412501</v>
      </c>
      <c r="BK74">
        <v>27.429386594166701</v>
      </c>
      <c r="BL74">
        <v>29.069749999999999</v>
      </c>
      <c r="BM74">
        <v>34.927165404040402</v>
      </c>
      <c r="BN74">
        <v>43.733778318840002</v>
      </c>
      <c r="BO74">
        <v>51.7562150334169</v>
      </c>
      <c r="BP74">
        <v>54.600948067656901</v>
      </c>
      <c r="BQ74">
        <v>82.601336350476402</v>
      </c>
    </row>
    <row r="75" spans="1:69" x14ac:dyDescent="0.3">
      <c r="A75" t="s">
        <v>152</v>
      </c>
      <c r="B75" t="s">
        <v>153</v>
      </c>
      <c r="C75" t="s">
        <v>6</v>
      </c>
      <c r="D75" t="s">
        <v>7</v>
      </c>
    </row>
    <row r="76" spans="1:69" x14ac:dyDescent="0.3">
      <c r="A76" t="s">
        <v>154</v>
      </c>
      <c r="B76" t="s">
        <v>155</v>
      </c>
      <c r="C76" t="s">
        <v>6</v>
      </c>
      <c r="D76" t="s">
        <v>7</v>
      </c>
    </row>
    <row r="77" spans="1:69" x14ac:dyDescent="0.3">
      <c r="A77" t="s">
        <v>156</v>
      </c>
      <c r="B77" t="s">
        <v>157</v>
      </c>
      <c r="C77" t="s">
        <v>6</v>
      </c>
      <c r="D77" t="s">
        <v>7</v>
      </c>
      <c r="E77">
        <v>3.2000000021999999</v>
      </c>
      <c r="F77">
        <v>3.2000000021999999</v>
      </c>
      <c r="G77">
        <v>3.2000000021999999</v>
      </c>
      <c r="H77">
        <v>3.2000000021999999</v>
      </c>
      <c r="I77">
        <v>3.2000000021999999</v>
      </c>
      <c r="J77">
        <v>3.2000000021999999</v>
      </c>
      <c r="K77">
        <v>3.2000000021999999</v>
      </c>
      <c r="L77">
        <v>3.44999250244999</v>
      </c>
      <c r="M77">
        <v>4.1999700031999696</v>
      </c>
      <c r="N77">
        <v>4.1999700031999696</v>
      </c>
      <c r="O77">
        <v>4.1999700031999696</v>
      </c>
      <c r="P77">
        <v>4.1844177906868598</v>
      </c>
      <c r="Q77">
        <v>4.1463333325707703</v>
      </c>
      <c r="R77">
        <v>3.8211666658854799</v>
      </c>
      <c r="S77">
        <v>3.7737499992161001</v>
      </c>
      <c r="T77">
        <v>3.6786666658773202</v>
      </c>
      <c r="U77">
        <v>3.8644166658879602</v>
      </c>
      <c r="V77">
        <v>4.0294166658974104</v>
      </c>
      <c r="W77">
        <v>4.1173333325691104</v>
      </c>
      <c r="X77">
        <v>3.8953333325564001</v>
      </c>
      <c r="Y77">
        <v>3.73008333254693</v>
      </c>
      <c r="Z77">
        <v>4.3152499992471096</v>
      </c>
      <c r="AA77">
        <v>4.8204166659426999</v>
      </c>
      <c r="AB77">
        <v>5.5700833326522998</v>
      </c>
      <c r="AC77">
        <v>6.0099999997764701</v>
      </c>
      <c r="AD77">
        <v>6.1978958331666698</v>
      </c>
      <c r="AE77">
        <v>5.0695199999999998</v>
      </c>
      <c r="AF77">
        <v>4.3955650000000004</v>
      </c>
      <c r="AG77">
        <v>4.1828333333333303</v>
      </c>
      <c r="AH77">
        <v>4.2912158333333297</v>
      </c>
      <c r="AI77">
        <v>3.8235049999999999</v>
      </c>
      <c r="AJ77">
        <v>4.04397916666667</v>
      </c>
      <c r="AK77">
        <v>4.4794400000000003</v>
      </c>
      <c r="AL77">
        <v>5.7122916666666699</v>
      </c>
      <c r="AM77">
        <v>5.2235125</v>
      </c>
      <c r="AN77">
        <v>4.3666666666666698</v>
      </c>
      <c r="AO77">
        <v>4.5935499999999996</v>
      </c>
      <c r="AP77">
        <v>5.1914350000000002</v>
      </c>
      <c r="AQ77">
        <v>5.34406583333333</v>
      </c>
      <c r="AR77">
        <v>0.93828307239528297</v>
      </c>
      <c r="AS77">
        <v>1.0827050813260199</v>
      </c>
      <c r="AT77">
        <v>1.1165330856446201</v>
      </c>
      <c r="AU77">
        <v>1.0575589962396501</v>
      </c>
      <c r="AV77">
        <v>0.88404792718492997</v>
      </c>
      <c r="AW77">
        <v>0.80392164774761798</v>
      </c>
      <c r="AX77">
        <v>0.80380019216144205</v>
      </c>
      <c r="AY77">
        <v>0.79643273094910205</v>
      </c>
      <c r="AZ77">
        <v>0.72967239998408295</v>
      </c>
      <c r="BA77">
        <v>0.67992268004272904</v>
      </c>
      <c r="BB77">
        <v>0.71695770201613596</v>
      </c>
      <c r="BC77">
        <v>0.75430899010596097</v>
      </c>
      <c r="BD77">
        <v>0.71841389865331695</v>
      </c>
      <c r="BE77">
        <v>0.77833812041681205</v>
      </c>
      <c r="BF77">
        <v>0.75294512270199598</v>
      </c>
      <c r="BG77">
        <v>0.75272819693260296</v>
      </c>
      <c r="BH77">
        <v>0.90129642336709603</v>
      </c>
      <c r="BI77">
        <v>0.90342143625726301</v>
      </c>
      <c r="BJ77">
        <v>0.88520550826937205</v>
      </c>
      <c r="BK77">
        <v>0.84677266710811105</v>
      </c>
      <c r="BL77">
        <v>0.89327625706740899</v>
      </c>
      <c r="BM77">
        <v>0.87550639698799804</v>
      </c>
      <c r="BN77">
        <v>0.84549413889045</v>
      </c>
      <c r="BO77">
        <v>0.94962375315694103</v>
      </c>
      <c r="BP77">
        <v>0.92483955847069799</v>
      </c>
      <c r="BQ77">
        <v>0.92388954611760699</v>
      </c>
    </row>
    <row r="78" spans="1:69" x14ac:dyDescent="0.3">
      <c r="A78" t="s">
        <v>158</v>
      </c>
      <c r="B78" t="s">
        <v>159</v>
      </c>
      <c r="C78" t="s">
        <v>6</v>
      </c>
      <c r="D78" t="s">
        <v>7</v>
      </c>
      <c r="E78">
        <v>0.79285799970331605</v>
      </c>
      <c r="F78">
        <v>0.79285799970331605</v>
      </c>
      <c r="G78">
        <v>0.79285799970331605</v>
      </c>
      <c r="H78">
        <v>0.79285799970331605</v>
      </c>
      <c r="I78">
        <v>0.79285799970331605</v>
      </c>
      <c r="J78">
        <v>0.79285799970331605</v>
      </c>
      <c r="K78">
        <v>0.79285799970331605</v>
      </c>
      <c r="L78">
        <v>0.80585399973123595</v>
      </c>
      <c r="M78">
        <v>0.87083399987083399</v>
      </c>
      <c r="N78">
        <v>0.87083399987083399</v>
      </c>
      <c r="O78">
        <v>0.87083399987083399</v>
      </c>
      <c r="P78">
        <v>0.85882323105772096</v>
      </c>
      <c r="Q78">
        <v>0.82518371157047099</v>
      </c>
      <c r="R78">
        <v>0.79422382521396995</v>
      </c>
      <c r="S78">
        <v>0.80560382810873898</v>
      </c>
      <c r="T78">
        <v>0.82188306421920099</v>
      </c>
      <c r="U78">
        <v>0.89771540302132802</v>
      </c>
      <c r="V78">
        <v>0.917440332333333</v>
      </c>
      <c r="W78">
        <v>0.84677074900000004</v>
      </c>
      <c r="X78">
        <v>0.83574324899999997</v>
      </c>
      <c r="Y78">
        <v>0.81796466566666604</v>
      </c>
      <c r="Z78">
        <v>0.854626582333333</v>
      </c>
      <c r="AA78">
        <v>0.93244866566666695</v>
      </c>
      <c r="AB78">
        <v>1.01702033233333</v>
      </c>
      <c r="AC78">
        <v>1.0825966660833299</v>
      </c>
      <c r="AD78">
        <v>1.15355416625</v>
      </c>
      <c r="AE78">
        <v>1.1328658332499999</v>
      </c>
      <c r="AF78">
        <v>1.24385833333333</v>
      </c>
      <c r="AG78">
        <v>1.4302583333333301</v>
      </c>
      <c r="AH78">
        <v>1.4833333333333301</v>
      </c>
      <c r="AI78">
        <v>1.4809083333333299</v>
      </c>
      <c r="AJ78">
        <v>1.4755575000000001</v>
      </c>
      <c r="AK78">
        <v>1.5029908333333299</v>
      </c>
      <c r="AL78">
        <v>1.5417749999999999</v>
      </c>
      <c r="AM78">
        <v>1.4641249999999999</v>
      </c>
      <c r="AN78">
        <v>1.4063333333333301</v>
      </c>
      <c r="AO78">
        <v>1.4033</v>
      </c>
      <c r="AP78">
        <v>1.443675</v>
      </c>
      <c r="AQ78">
        <v>1.98681666666667</v>
      </c>
      <c r="AR78">
        <v>1.969625</v>
      </c>
      <c r="AS78">
        <v>2.128625</v>
      </c>
      <c r="AT78">
        <v>2.2766029460261299</v>
      </c>
      <c r="AU78">
        <v>2.1867833500114999</v>
      </c>
      <c r="AV78">
        <v>1.89576838179997</v>
      </c>
      <c r="AW78">
        <v>1.73310167837133</v>
      </c>
      <c r="AX78">
        <v>1.6910462157155199</v>
      </c>
      <c r="AY78">
        <v>1.7312649327874501</v>
      </c>
      <c r="AZ78">
        <v>1.61041379610359</v>
      </c>
      <c r="BA78">
        <v>1.5940344107734401</v>
      </c>
      <c r="BB78">
        <v>1.95809503538886</v>
      </c>
      <c r="BC78">
        <v>1.9185086782254701</v>
      </c>
      <c r="BD78">
        <v>1.7908838312601201</v>
      </c>
      <c r="BE78">
        <v>1.7898928174109401</v>
      </c>
      <c r="BF78">
        <v>1.8414766170653201</v>
      </c>
      <c r="BG78">
        <v>1.8873453583192199</v>
      </c>
      <c r="BH78">
        <v>2.0976298163310099</v>
      </c>
      <c r="BI78">
        <v>2.0946959391850801</v>
      </c>
      <c r="BJ78">
        <v>2.0668753038145402</v>
      </c>
      <c r="BK78">
        <v>2.0873797892499701</v>
      </c>
      <c r="BL78">
        <v>2.1603931153146401</v>
      </c>
      <c r="BM78">
        <v>2.1688049242424201</v>
      </c>
      <c r="BN78">
        <v>2.0706333333333302</v>
      </c>
      <c r="BO78">
        <v>2.2014069869584998</v>
      </c>
      <c r="BP78">
        <v>2.2501250000000002</v>
      </c>
      <c r="BQ78">
        <v>2.2683</v>
      </c>
    </row>
    <row r="79" spans="1:69" x14ac:dyDescent="0.3">
      <c r="A79" t="s">
        <v>160</v>
      </c>
      <c r="B79" t="s">
        <v>161</v>
      </c>
      <c r="C79" t="s">
        <v>6</v>
      </c>
      <c r="D79" t="s">
        <v>7</v>
      </c>
      <c r="E79">
        <v>4.9370600039370602</v>
      </c>
      <c r="F79">
        <v>4.9370600039370602</v>
      </c>
      <c r="G79">
        <v>4.9370600039370602</v>
      </c>
      <c r="H79">
        <v>4.9370600039370602</v>
      </c>
      <c r="I79">
        <v>4.9370600039370602</v>
      </c>
      <c r="J79">
        <v>4.9370600039370602</v>
      </c>
      <c r="K79">
        <v>4.9370600039370602</v>
      </c>
      <c r="L79">
        <v>4.9370600039370602</v>
      </c>
      <c r="M79">
        <v>4.9370600039370602</v>
      </c>
      <c r="N79">
        <v>5.1941975041942001</v>
      </c>
      <c r="O79">
        <v>5.5541900045541901</v>
      </c>
      <c r="P79">
        <v>5.5406013547209296</v>
      </c>
      <c r="Q79">
        <v>5.0445445156406201</v>
      </c>
      <c r="R79">
        <v>4.4527796739908299</v>
      </c>
      <c r="S79">
        <v>4.8096184728558304</v>
      </c>
      <c r="T79">
        <v>4.2877995153765696</v>
      </c>
      <c r="U79">
        <v>4.8028783632131002</v>
      </c>
      <c r="V79">
        <v>4.9051733225321703</v>
      </c>
      <c r="W79">
        <v>4.5130999993333303</v>
      </c>
      <c r="X79">
        <v>4.2544166660833298</v>
      </c>
      <c r="Y79">
        <v>4.2255749990833298</v>
      </c>
      <c r="Z79">
        <v>5.4346083325833296</v>
      </c>
      <c r="AA79">
        <v>6.5720999990833304</v>
      </c>
      <c r="AB79">
        <v>7.6212916657500003</v>
      </c>
      <c r="AC79">
        <v>8.7390999995833294</v>
      </c>
      <c r="AD79">
        <v>8.9852249997500007</v>
      </c>
      <c r="AE79">
        <v>6.9260916666666699</v>
      </c>
      <c r="AF79">
        <v>6.01070833333333</v>
      </c>
      <c r="AG79">
        <v>5.9569416666666699</v>
      </c>
      <c r="AH79">
        <v>6.3801416666666704</v>
      </c>
      <c r="AI79">
        <v>5.4452749999999996</v>
      </c>
      <c r="AJ79">
        <v>5.64211666666667</v>
      </c>
      <c r="AK79">
        <v>5.2938158333333298</v>
      </c>
      <c r="AL79">
        <v>5.6632300000000004</v>
      </c>
      <c r="AM79">
        <v>5.5520449999999997</v>
      </c>
      <c r="AN79">
        <v>4.9914825</v>
      </c>
      <c r="AO79">
        <v>5.1155225</v>
      </c>
      <c r="AP79">
        <v>5.8366916666666704</v>
      </c>
      <c r="AQ79">
        <v>5.8995156666666704</v>
      </c>
      <c r="AR79">
        <v>0.93828307239528297</v>
      </c>
      <c r="AS79">
        <v>1.0827050813260199</v>
      </c>
      <c r="AT79">
        <v>1.1165330856446201</v>
      </c>
      <c r="AU79">
        <v>1.0575589962396501</v>
      </c>
      <c r="AV79">
        <v>0.88404792718492997</v>
      </c>
      <c r="AW79">
        <v>0.80392164774761798</v>
      </c>
      <c r="AX79">
        <v>0.80380019216144205</v>
      </c>
      <c r="AY79">
        <v>0.79643273094910205</v>
      </c>
      <c r="AZ79">
        <v>0.72967239998408295</v>
      </c>
      <c r="BA79">
        <v>0.67992268004272904</v>
      </c>
      <c r="BB79">
        <v>0.71695770201613596</v>
      </c>
      <c r="BC79">
        <v>0.75430899010596097</v>
      </c>
      <c r="BD79">
        <v>0.71841389865331695</v>
      </c>
      <c r="BE79">
        <v>0.77833812041681205</v>
      </c>
      <c r="BF79">
        <v>0.75294512270199598</v>
      </c>
      <c r="BG79">
        <v>0.75272819693260296</v>
      </c>
      <c r="BH79">
        <v>0.90129642336709603</v>
      </c>
      <c r="BI79">
        <v>0.90342143625726301</v>
      </c>
      <c r="BJ79">
        <v>0.88520550826937205</v>
      </c>
      <c r="BK79">
        <v>0.84677266710811105</v>
      </c>
      <c r="BL79">
        <v>0.89327625706740899</v>
      </c>
      <c r="BM79">
        <v>0.87550639698799804</v>
      </c>
      <c r="BN79">
        <v>0.84549413889045</v>
      </c>
      <c r="BO79">
        <v>0.94962375315694103</v>
      </c>
      <c r="BP79">
        <v>0.92483955847069799</v>
      </c>
      <c r="BQ79">
        <v>0.92388954611760699</v>
      </c>
    </row>
    <row r="80" spans="1:69" x14ac:dyDescent="0.3">
      <c r="A80" t="s">
        <v>162</v>
      </c>
      <c r="B80" t="s">
        <v>163</v>
      </c>
      <c r="C80" t="s">
        <v>6</v>
      </c>
      <c r="D80" t="s">
        <v>7</v>
      </c>
      <c r="E80">
        <v>6.9071400059071397</v>
      </c>
      <c r="F80">
        <v>6.9071400059071397</v>
      </c>
      <c r="G80">
        <v>6.9071400059071397</v>
      </c>
      <c r="H80">
        <v>6.9071400059071397</v>
      </c>
      <c r="I80">
        <v>6.9071400059071397</v>
      </c>
      <c r="J80">
        <v>6.9071400059071397</v>
      </c>
      <c r="K80">
        <v>6.9071400059071397</v>
      </c>
      <c r="L80">
        <v>6.9565450053809501</v>
      </c>
      <c r="M80">
        <v>7.5000000064999996</v>
      </c>
      <c r="N80">
        <v>7.5000000064999996</v>
      </c>
      <c r="O80">
        <v>7.5000000064999996</v>
      </c>
      <c r="P80">
        <v>7.4263379687119402</v>
      </c>
      <c r="Q80">
        <v>6.9492916656666601</v>
      </c>
      <c r="R80">
        <v>6.049499999</v>
      </c>
      <c r="S80">
        <v>6.0948999989999999</v>
      </c>
      <c r="T80">
        <v>5.746149999</v>
      </c>
      <c r="U80">
        <v>6.0450249989999998</v>
      </c>
      <c r="V80">
        <v>6.0031916656666704</v>
      </c>
      <c r="W80">
        <v>5.5146249989999996</v>
      </c>
      <c r="X80">
        <v>5.2609583323333302</v>
      </c>
      <c r="Y80">
        <v>5.6359416656666701</v>
      </c>
      <c r="Z80">
        <v>7.1233666656666603</v>
      </c>
      <c r="AA80">
        <v>8.3324416661666696</v>
      </c>
      <c r="AB80">
        <v>9.1449916657500001</v>
      </c>
      <c r="AC80">
        <v>10.356591666250001</v>
      </c>
      <c r="AD80">
        <v>10.5963916664167</v>
      </c>
      <c r="AE80">
        <v>8.0909916665833297</v>
      </c>
      <c r="AF80">
        <v>6.8403166666666699</v>
      </c>
      <c r="AG80">
        <v>6.7315250000000004</v>
      </c>
      <c r="AH80">
        <v>7.3101750000000001</v>
      </c>
      <c r="AI80">
        <v>6.1885583333333303</v>
      </c>
      <c r="AJ80">
        <v>6.3964583333333298</v>
      </c>
      <c r="AK80">
        <v>6.0361333333333302</v>
      </c>
      <c r="AL80">
        <v>6.4839391666666604</v>
      </c>
      <c r="AM80">
        <v>6.3605516666666704</v>
      </c>
      <c r="AN80">
        <v>5.6023666666666703</v>
      </c>
      <c r="AO80">
        <v>5.7986716666666602</v>
      </c>
      <c r="AP80">
        <v>6.6044591666666701</v>
      </c>
      <c r="AQ80">
        <v>6.7008266666666696</v>
      </c>
      <c r="AR80">
        <v>6.9762399999999998</v>
      </c>
      <c r="AS80">
        <v>8.0831441666666706</v>
      </c>
      <c r="AT80">
        <v>8.3228174999999993</v>
      </c>
      <c r="AU80">
        <v>7.8947141666666596</v>
      </c>
      <c r="AV80">
        <v>6.5876733333333304</v>
      </c>
      <c r="AW80">
        <v>5.9910566666666698</v>
      </c>
      <c r="AX80">
        <v>5.9969099999999997</v>
      </c>
      <c r="AY80">
        <v>5.9467783333333397</v>
      </c>
      <c r="AZ80">
        <v>5.4437008333333399</v>
      </c>
      <c r="BA80">
        <v>5.0981308333333404</v>
      </c>
      <c r="BB80">
        <v>5.36086666666667</v>
      </c>
      <c r="BC80">
        <v>5.6240750000000004</v>
      </c>
      <c r="BD80">
        <v>5.3687115350877201</v>
      </c>
      <c r="BE80">
        <v>5.7924755370391603</v>
      </c>
      <c r="BF80">
        <v>5.6163116861762203</v>
      </c>
      <c r="BG80">
        <v>5.6124666666666698</v>
      </c>
      <c r="BH80">
        <v>6.7279068312962904</v>
      </c>
      <c r="BI80">
        <v>6.7317182572463796</v>
      </c>
      <c r="BJ80">
        <v>6.6028934656140397</v>
      </c>
      <c r="BK80">
        <v>6.3146187866666699</v>
      </c>
      <c r="BL80">
        <v>6.669446615</v>
      </c>
      <c r="BM80">
        <v>6.54215220416667</v>
      </c>
      <c r="BN80">
        <v>6.2871130825000003</v>
      </c>
      <c r="BO80">
        <v>7.0761518624999997</v>
      </c>
      <c r="BP80">
        <v>6.8897025858333398</v>
      </c>
      <c r="BQ80">
        <v>6.8944814166666601</v>
      </c>
    </row>
    <row r="81" spans="1:69" x14ac:dyDescent="0.3">
      <c r="A81" t="s">
        <v>164</v>
      </c>
      <c r="B81" t="s">
        <v>165</v>
      </c>
      <c r="C81" t="s">
        <v>6</v>
      </c>
      <c r="D81" t="s">
        <v>7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</row>
    <row r="82" spans="1:69" x14ac:dyDescent="0.3">
      <c r="A82" t="s">
        <v>166</v>
      </c>
      <c r="B82" t="s">
        <v>167</v>
      </c>
      <c r="C82" t="s">
        <v>6</v>
      </c>
      <c r="D82" t="s">
        <v>7</v>
      </c>
      <c r="E82">
        <v>245.19510139835899</v>
      </c>
      <c r="F82">
        <v>245.26010162116</v>
      </c>
      <c r="G82">
        <v>245.013850686544</v>
      </c>
      <c r="H82">
        <v>245.01635069607499</v>
      </c>
      <c r="I82">
        <v>245.027184079042</v>
      </c>
      <c r="J82">
        <v>245.06093420770799</v>
      </c>
      <c r="K82">
        <v>245.67843655764401</v>
      </c>
      <c r="L82">
        <v>246.00093779128099</v>
      </c>
      <c r="M82">
        <v>247.56469375695099</v>
      </c>
      <c r="N82">
        <v>259.960574351236</v>
      </c>
      <c r="O82">
        <v>276.403137026845</v>
      </c>
      <c r="P82">
        <v>275.35645668533198</v>
      </c>
      <c r="Q82">
        <v>252.02762746264901</v>
      </c>
      <c r="R82">
        <v>222.88918305322699</v>
      </c>
      <c r="S82">
        <v>240.70466763782301</v>
      </c>
      <c r="T82">
        <v>214.31290034121901</v>
      </c>
      <c r="U82">
        <v>238.95049426705901</v>
      </c>
      <c r="V82">
        <v>245.67968656657601</v>
      </c>
      <c r="W82">
        <v>225.65586023395699</v>
      </c>
      <c r="X82">
        <v>212.721644262377</v>
      </c>
      <c r="Y82">
        <v>211.27955541470499</v>
      </c>
      <c r="Z82">
        <v>271.73145255032699</v>
      </c>
      <c r="AA82">
        <v>328.60625269898998</v>
      </c>
      <c r="AB82">
        <v>381.06603602462798</v>
      </c>
      <c r="AC82">
        <v>436.95666578800802</v>
      </c>
      <c r="AD82">
        <v>449.26296271160697</v>
      </c>
      <c r="AE82">
        <v>346.305903554493</v>
      </c>
      <c r="AF82">
        <v>300.53656240147802</v>
      </c>
      <c r="AG82">
        <v>297.84821881937802</v>
      </c>
      <c r="AH82">
        <v>319.008299487903</v>
      </c>
      <c r="AI82">
        <v>272.264787954393</v>
      </c>
      <c r="AJ82">
        <v>282.10690880881998</v>
      </c>
      <c r="AK82">
        <v>264.69180075057898</v>
      </c>
      <c r="AL82">
        <v>283.16257950001801</v>
      </c>
      <c r="AM82">
        <v>555.20469565569704</v>
      </c>
      <c r="AN82">
        <v>499.14842590131002</v>
      </c>
      <c r="AO82">
        <v>511.55243027251601</v>
      </c>
      <c r="AP82">
        <v>583.66937235339606</v>
      </c>
      <c r="AQ82">
        <v>589.951774567332</v>
      </c>
      <c r="AR82">
        <v>615.47334931916396</v>
      </c>
      <c r="AS82">
        <v>710.20797703136702</v>
      </c>
      <c r="AT82">
        <v>732.39769326022804</v>
      </c>
      <c r="AU82">
        <v>693.71322649637398</v>
      </c>
      <c r="AV82">
        <v>579.897426172466</v>
      </c>
      <c r="AW82">
        <v>527.33803229157604</v>
      </c>
      <c r="AX82">
        <v>527.25836264962595</v>
      </c>
      <c r="AY82">
        <v>522.42562489517604</v>
      </c>
      <c r="AZ82">
        <v>478.63371847636301</v>
      </c>
      <c r="BA82">
        <v>446.00004143278801</v>
      </c>
      <c r="BB82">
        <v>470.29342334139801</v>
      </c>
      <c r="BC82">
        <v>494.794262222947</v>
      </c>
      <c r="BD82">
        <v>471.24862571893698</v>
      </c>
      <c r="BE82">
        <v>510.55633845425098</v>
      </c>
      <c r="BF82">
        <v>493.89962385223703</v>
      </c>
      <c r="BG82">
        <v>493.757329875312</v>
      </c>
      <c r="BH82">
        <v>591.21169798260996</v>
      </c>
      <c r="BI82">
        <v>592.60561506302201</v>
      </c>
      <c r="BJ82">
        <v>580.65674958785803</v>
      </c>
      <c r="BK82">
        <v>555.44645839822601</v>
      </c>
      <c r="BL82">
        <v>585.91101318036897</v>
      </c>
      <c r="BM82">
        <v>575.58600451094503</v>
      </c>
      <c r="BN82">
        <v>554.53067503310399</v>
      </c>
      <c r="BO82">
        <v>623.75970091118199</v>
      </c>
      <c r="BP82">
        <v>606.56975016591696</v>
      </c>
      <c r="BQ82">
        <v>606.34529760906298</v>
      </c>
    </row>
    <row r="83" spans="1:69" x14ac:dyDescent="0.3">
      <c r="A83" t="s">
        <v>168</v>
      </c>
      <c r="B83" t="s">
        <v>169</v>
      </c>
      <c r="C83" t="s">
        <v>6</v>
      </c>
      <c r="D83" t="s">
        <v>7</v>
      </c>
      <c r="E83">
        <v>0.357142999357143</v>
      </c>
      <c r="F83">
        <v>0.357142999357143</v>
      </c>
      <c r="G83">
        <v>0.357142999357143</v>
      </c>
      <c r="H83">
        <v>0.357142999357143</v>
      </c>
      <c r="I83">
        <v>0.357142999357143</v>
      </c>
      <c r="J83">
        <v>0.357142999357143</v>
      </c>
      <c r="K83">
        <v>0.357142999357143</v>
      </c>
      <c r="L83">
        <v>0.36210333266567502</v>
      </c>
      <c r="M83">
        <v>0.41666699941666702</v>
      </c>
      <c r="N83">
        <v>0.41666699941666702</v>
      </c>
      <c r="O83">
        <v>0.41666699941666702</v>
      </c>
      <c r="P83">
        <v>0.41092023742942502</v>
      </c>
      <c r="Q83">
        <v>0.40039046153000801</v>
      </c>
      <c r="R83">
        <v>0.40817094529930698</v>
      </c>
      <c r="S83">
        <v>0.42775643974766298</v>
      </c>
      <c r="T83">
        <v>0.45204116566666702</v>
      </c>
      <c r="U83">
        <v>0.55650983233333395</v>
      </c>
      <c r="V83">
        <v>0.57327199900000003</v>
      </c>
      <c r="W83">
        <v>0.52150458233333397</v>
      </c>
      <c r="X83">
        <v>0.47218116566666701</v>
      </c>
      <c r="Y83">
        <v>0.43029499900000001</v>
      </c>
      <c r="Z83">
        <v>0.49764133233333402</v>
      </c>
      <c r="AA83">
        <v>0.57244683233333304</v>
      </c>
      <c r="AB83">
        <v>0.65972458233333398</v>
      </c>
      <c r="AC83">
        <v>0.75180666625000003</v>
      </c>
      <c r="AD83">
        <v>0.77924599974999997</v>
      </c>
      <c r="AE83">
        <v>0.68219733333333299</v>
      </c>
      <c r="AF83">
        <v>0.61192650000000004</v>
      </c>
      <c r="AG83">
        <v>0.56217016666666697</v>
      </c>
      <c r="AH83">
        <v>0.61117275000000004</v>
      </c>
      <c r="AI83">
        <v>0.56317716666666695</v>
      </c>
      <c r="AJ83">
        <v>0.56701533333333298</v>
      </c>
      <c r="AK83">
        <v>0.56977416666666703</v>
      </c>
      <c r="AL83">
        <v>0.66675655333333295</v>
      </c>
      <c r="AM83">
        <v>0.65342660416666698</v>
      </c>
      <c r="AN83">
        <v>0.63366811999999995</v>
      </c>
      <c r="AO83">
        <v>0.64095825500000003</v>
      </c>
      <c r="AP83">
        <v>0.61083611416666705</v>
      </c>
      <c r="AQ83">
        <v>0.60382359416666698</v>
      </c>
      <c r="AR83">
        <v>0.61805684500000002</v>
      </c>
      <c r="AS83">
        <v>0.66093083333333302</v>
      </c>
      <c r="AT83">
        <v>0.69465500000000002</v>
      </c>
      <c r="AU83">
        <v>0.66722333333333295</v>
      </c>
      <c r="AV83">
        <v>0.61247249999999998</v>
      </c>
      <c r="AW83">
        <v>0.54618</v>
      </c>
      <c r="AX83">
        <v>0.54999833333333303</v>
      </c>
      <c r="AY83">
        <v>0.54348666666666701</v>
      </c>
      <c r="AZ83">
        <v>0.499771666666667</v>
      </c>
      <c r="BA83">
        <v>0.54396624999999998</v>
      </c>
      <c r="BB83">
        <v>0.64191926349599604</v>
      </c>
      <c r="BC83">
        <v>0.64717934556016499</v>
      </c>
      <c r="BD83">
        <v>0.62414083574049495</v>
      </c>
      <c r="BE83">
        <v>0.63304698885732702</v>
      </c>
      <c r="BF83">
        <v>0.63966057761347705</v>
      </c>
      <c r="BG83">
        <v>0.60772962687825505</v>
      </c>
      <c r="BH83">
        <v>0.65454547893142601</v>
      </c>
      <c r="BI83">
        <v>0.74063446369708397</v>
      </c>
      <c r="BJ83">
        <v>0.77697668234412298</v>
      </c>
      <c r="BK83">
        <v>0.74953154025984703</v>
      </c>
      <c r="BL83">
        <v>0.78344511001192896</v>
      </c>
      <c r="BM83">
        <v>0.77999957669715303</v>
      </c>
      <c r="BN83">
        <v>0.72706494468832294</v>
      </c>
      <c r="BO83">
        <v>0.811301715827773</v>
      </c>
      <c r="BP83">
        <v>0.80453890673435302</v>
      </c>
      <c r="BQ83">
        <v>0.78241458098626204</v>
      </c>
    </row>
    <row r="84" spans="1:69" x14ac:dyDescent="0.3">
      <c r="A84" t="s">
        <v>170</v>
      </c>
      <c r="B84" t="s">
        <v>171</v>
      </c>
      <c r="C84" t="s">
        <v>6</v>
      </c>
      <c r="D84" t="s">
        <v>7</v>
      </c>
      <c r="AO84">
        <v>1.2627999999999999</v>
      </c>
      <c r="AP84">
        <v>1.2975000000000001</v>
      </c>
      <c r="AQ84">
        <v>1.38981666666667</v>
      </c>
      <c r="AR84">
        <v>2.0245166666666701</v>
      </c>
      <c r="AS84">
        <v>1.97616666666667</v>
      </c>
      <c r="AT84">
        <v>2.0730166666666698</v>
      </c>
      <c r="AU84">
        <v>2.195675</v>
      </c>
      <c r="AV84">
        <v>2.1456499999999998</v>
      </c>
      <c r="AW84">
        <v>1.91665</v>
      </c>
      <c r="AX84">
        <v>1.812675</v>
      </c>
      <c r="AY84">
        <v>1.78043333333333</v>
      </c>
      <c r="AZ84">
        <v>1.67049166666667</v>
      </c>
      <c r="BA84">
        <v>1.4907916666666701</v>
      </c>
      <c r="BB84">
        <v>1.6704870967741901</v>
      </c>
      <c r="BC84">
        <v>1.78234166666667</v>
      </c>
      <c r="BD84">
        <v>1.6864954301075299</v>
      </c>
      <c r="BE84">
        <v>1.6512583333333299</v>
      </c>
      <c r="BF84">
        <v>1.6633500000000001</v>
      </c>
      <c r="BG84">
        <v>1.76566666666667</v>
      </c>
      <c r="BH84">
        <v>2.2693416666666701</v>
      </c>
      <c r="BI84">
        <v>2.3667250000000002</v>
      </c>
      <c r="BJ84">
        <v>2.5095416666666699</v>
      </c>
      <c r="BK84">
        <v>2.53411083333333</v>
      </c>
      <c r="BL84">
        <v>2.8181449999999999</v>
      </c>
      <c r="BM84">
        <v>3.1090166666666699</v>
      </c>
      <c r="BN84">
        <v>3.2215583333333302</v>
      </c>
      <c r="BO84">
        <v>2.9161999999999999</v>
      </c>
      <c r="BP84">
        <v>2.6279583333333298</v>
      </c>
      <c r="BQ84">
        <v>2.72061666666667</v>
      </c>
    </row>
    <row r="85" spans="1:69" x14ac:dyDescent="0.3">
      <c r="A85" t="s">
        <v>172</v>
      </c>
      <c r="B85" t="s">
        <v>173</v>
      </c>
      <c r="C85" t="s">
        <v>6</v>
      </c>
      <c r="D85" t="s">
        <v>7</v>
      </c>
      <c r="E85" s="1">
        <v>7.1391596674247305E-5</v>
      </c>
      <c r="F85" s="1">
        <v>7.1391596674247305E-5</v>
      </c>
      <c r="G85" s="1">
        <v>7.1391596674247305E-5</v>
      </c>
      <c r="H85" s="1">
        <v>7.1391596674247305E-5</v>
      </c>
      <c r="I85" s="1">
        <v>7.1391596674247305E-5</v>
      </c>
      <c r="J85" s="1">
        <v>7.1391596674247305E-5</v>
      </c>
      <c r="K85" s="1">
        <v>7.1391596674247305E-5</v>
      </c>
      <c r="L85" s="1">
        <v>8.6081194792526894E-5</v>
      </c>
      <c r="M85">
        <v>1.01985139685E-4</v>
      </c>
      <c r="N85">
        <v>1.01985139685E-4</v>
      </c>
      <c r="O85">
        <v>1.01985139685E-4</v>
      </c>
      <c r="P85">
        <v>1.0342936280328E-4</v>
      </c>
      <c r="Q85">
        <v>1.33267478842706E-4</v>
      </c>
      <c r="R85">
        <v>1.16437365491452E-4</v>
      </c>
      <c r="S85">
        <v>1.14938171943065E-4</v>
      </c>
      <c r="T85">
        <v>1.14938171943065E-4</v>
      </c>
      <c r="U85">
        <v>1.14938171943065E-4</v>
      </c>
      <c r="V85">
        <v>1.14938171943065E-4</v>
      </c>
      <c r="W85">
        <v>1.7626318381266601E-4</v>
      </c>
      <c r="X85">
        <v>2.7485215053763402E-4</v>
      </c>
      <c r="Y85">
        <v>2.7485215053763402E-4</v>
      </c>
      <c r="Z85">
        <v>2.7485215053763402E-4</v>
      </c>
      <c r="AA85">
        <v>2.7485215053763402E-4</v>
      </c>
      <c r="AB85">
        <v>8.8252277014463302E-4</v>
      </c>
      <c r="AC85">
        <v>3.5966844251375698E-3</v>
      </c>
      <c r="AD85">
        <v>5.4335771505376398E-3</v>
      </c>
      <c r="AE85">
        <v>8.9156207437275994E-3</v>
      </c>
      <c r="AF85">
        <v>1.5365068100358399E-2</v>
      </c>
      <c r="AG85">
        <v>2.0223704525089599E-2</v>
      </c>
      <c r="AH85">
        <v>2.6985483870967799E-2</v>
      </c>
      <c r="AI85">
        <v>3.2615621953404998E-2</v>
      </c>
      <c r="AJ85">
        <v>3.67633074820789E-2</v>
      </c>
      <c r="AK85">
        <v>4.3685167383512503E-2</v>
      </c>
      <c r="AL85">
        <v>6.4871187589605694E-2</v>
      </c>
      <c r="AM85">
        <v>9.5568238854515902E-2</v>
      </c>
      <c r="AN85">
        <v>0.119913872960145</v>
      </c>
      <c r="AO85">
        <v>0.16354716757520099</v>
      </c>
      <c r="AP85">
        <v>0.204796277898216</v>
      </c>
      <c r="AQ85">
        <v>0.23116590058234099</v>
      </c>
      <c r="AR85">
        <v>0.26664297240719098</v>
      </c>
      <c r="AS85">
        <v>0.54491917586876604</v>
      </c>
      <c r="AT85">
        <v>0.71630515780899595</v>
      </c>
      <c r="AU85">
        <v>0.79241708431316704</v>
      </c>
      <c r="AV85">
        <v>0.86676432652534496</v>
      </c>
      <c r="AW85">
        <v>0.89949485400706297</v>
      </c>
      <c r="AX85">
        <v>0.90520948583333305</v>
      </c>
      <c r="AY85">
        <v>0.91510679916666704</v>
      </c>
      <c r="AZ85">
        <v>0.93261919500000001</v>
      </c>
      <c r="BA85">
        <v>1.0522750000000001</v>
      </c>
      <c r="BB85">
        <v>1.40496666666667</v>
      </c>
      <c r="BC85">
        <v>1.4299833333333301</v>
      </c>
      <c r="BD85">
        <v>1.5206249999999999</v>
      </c>
      <c r="BE85">
        <v>1.82486666666667</v>
      </c>
      <c r="BF85">
        <v>1.9813499999999999</v>
      </c>
      <c r="BG85">
        <v>2.8965749999999999</v>
      </c>
      <c r="BH85">
        <v>3.7146416666666702</v>
      </c>
      <c r="BI85">
        <v>3.90981666666667</v>
      </c>
      <c r="BJ85">
        <v>4.3505333333333303</v>
      </c>
      <c r="BK85">
        <v>4.5853250000000001</v>
      </c>
      <c r="BL85">
        <v>5.2173666666666696</v>
      </c>
      <c r="BM85">
        <v>5.59570833333333</v>
      </c>
      <c r="BN85">
        <v>5.8056999999999999</v>
      </c>
      <c r="BO85">
        <v>8.2723999999999993</v>
      </c>
      <c r="BP85">
        <v>11.0204083333333</v>
      </c>
      <c r="BQ85">
        <v>14.181941666666701</v>
      </c>
    </row>
    <row r="86" spans="1:69" x14ac:dyDescent="0.3">
      <c r="A86" t="s">
        <v>174</v>
      </c>
      <c r="B86" t="s">
        <v>175</v>
      </c>
      <c r="C86" t="s">
        <v>6</v>
      </c>
      <c r="D86" t="s">
        <v>7</v>
      </c>
      <c r="E86">
        <v>0.357142999357143</v>
      </c>
      <c r="F86">
        <v>0.357142999357143</v>
      </c>
      <c r="G86">
        <v>0.357142999357143</v>
      </c>
      <c r="H86">
        <v>0.357142999357143</v>
      </c>
      <c r="I86">
        <v>0.357142999357143</v>
      </c>
      <c r="J86">
        <v>0.357142999357143</v>
      </c>
      <c r="K86">
        <v>0.357142999357143</v>
      </c>
      <c r="L86">
        <v>0.36210333266567502</v>
      </c>
      <c r="M86">
        <v>0.41666699941666702</v>
      </c>
      <c r="N86">
        <v>0.41666699941666702</v>
      </c>
      <c r="O86">
        <v>0.41666699941666702</v>
      </c>
      <c r="P86">
        <v>0.41092023742942502</v>
      </c>
      <c r="Q86">
        <v>0.40039046153000801</v>
      </c>
      <c r="R86">
        <v>0.40817094529930797</v>
      </c>
      <c r="S86">
        <v>0.42775643974766298</v>
      </c>
      <c r="T86">
        <v>0.45204116566666702</v>
      </c>
      <c r="U86">
        <v>0.55650983233333295</v>
      </c>
      <c r="V86">
        <v>0.57327199900000003</v>
      </c>
      <c r="W86">
        <v>0.52150458233333297</v>
      </c>
      <c r="X86">
        <v>0.47218116566666701</v>
      </c>
      <c r="Y86">
        <v>0.43029499900000001</v>
      </c>
      <c r="Z86">
        <v>0.49764133233333302</v>
      </c>
      <c r="AA86">
        <v>0.57244683233333304</v>
      </c>
      <c r="AB86">
        <v>0.65972458233333298</v>
      </c>
      <c r="AC86">
        <v>0.75180666625000003</v>
      </c>
      <c r="AD86">
        <v>0.77924599974999997</v>
      </c>
      <c r="AE86">
        <v>0.68219733333333299</v>
      </c>
      <c r="AF86">
        <v>0.61192650000000004</v>
      </c>
      <c r="AG86">
        <v>0.56217016666666697</v>
      </c>
      <c r="AH86">
        <v>0.61117275000000004</v>
      </c>
      <c r="AI86">
        <v>0.56317716666666695</v>
      </c>
      <c r="AJ86">
        <v>0.56701533333333298</v>
      </c>
      <c r="AK86">
        <v>0.56977416666666703</v>
      </c>
      <c r="AL86">
        <v>0.66675655333333295</v>
      </c>
      <c r="AM86">
        <v>0.65342660416666698</v>
      </c>
      <c r="AN86">
        <v>0.63366811999999995</v>
      </c>
      <c r="AO86">
        <v>0.64095825500000003</v>
      </c>
      <c r="AP86">
        <v>0.61083611416666705</v>
      </c>
      <c r="AQ86">
        <v>0.60382359416666698</v>
      </c>
      <c r="AR86">
        <v>0.61805684500000002</v>
      </c>
      <c r="AS86">
        <v>0.66093083333333302</v>
      </c>
      <c r="AT86">
        <v>0.69465500000000002</v>
      </c>
      <c r="AU86">
        <v>0.66722333333333295</v>
      </c>
      <c r="AV86">
        <v>0.61247249999999998</v>
      </c>
      <c r="AW86">
        <v>0.54618</v>
      </c>
      <c r="AX86">
        <v>0.54999833333333303</v>
      </c>
      <c r="AY86">
        <v>0.54348666666666701</v>
      </c>
      <c r="AZ86">
        <v>0.499771666666667</v>
      </c>
      <c r="BA86">
        <v>0.54396624999999998</v>
      </c>
      <c r="BB86">
        <v>0.64191926349599604</v>
      </c>
      <c r="BC86">
        <v>0.64717934556016499</v>
      </c>
      <c r="BD86">
        <v>0.62414083574049495</v>
      </c>
      <c r="BE86">
        <v>0.63304698885732702</v>
      </c>
      <c r="BF86">
        <v>0.63966057761347705</v>
      </c>
      <c r="BG86">
        <v>0.60772962687825505</v>
      </c>
      <c r="BH86">
        <v>0.65454547893142601</v>
      </c>
      <c r="BI86">
        <v>0.74063446369708397</v>
      </c>
      <c r="BJ86">
        <v>0.77697668234412298</v>
      </c>
      <c r="BK86">
        <v>0.74953154025984703</v>
      </c>
      <c r="BL86">
        <v>0.78344511001192896</v>
      </c>
      <c r="BM86">
        <v>0.77999957669715303</v>
      </c>
      <c r="BN86">
        <v>0.72706494468832195</v>
      </c>
      <c r="BO86">
        <v>0.811301715827773</v>
      </c>
      <c r="BP86">
        <v>0.80453890673435302</v>
      </c>
      <c r="BQ86">
        <v>0.78241458098626204</v>
      </c>
    </row>
    <row r="87" spans="1:69" x14ac:dyDescent="0.3">
      <c r="A87" t="s">
        <v>176</v>
      </c>
      <c r="B87" t="s">
        <v>177</v>
      </c>
      <c r="C87" t="s">
        <v>6</v>
      </c>
      <c r="D87" t="s">
        <v>7</v>
      </c>
      <c r="E87">
        <v>24.685000023684999</v>
      </c>
      <c r="F87">
        <v>24.685000023684999</v>
      </c>
      <c r="G87">
        <v>24.685000023684999</v>
      </c>
      <c r="H87">
        <v>24.685000023684999</v>
      </c>
      <c r="I87">
        <v>24.685000023684999</v>
      </c>
      <c r="J87">
        <v>24.685000023684999</v>
      </c>
      <c r="K87">
        <v>24.685000023684999</v>
      </c>
      <c r="L87">
        <v>24.685000023684999</v>
      </c>
      <c r="M87">
        <v>24.685000023684999</v>
      </c>
      <c r="N87">
        <v>24.685000023684999</v>
      </c>
      <c r="O87">
        <v>24.685000023684999</v>
      </c>
      <c r="P87">
        <v>24.612752017628001</v>
      </c>
      <c r="Q87">
        <v>22.7362739789965</v>
      </c>
      <c r="R87">
        <v>20.716091769978998</v>
      </c>
      <c r="S87">
        <v>20.556276171700802</v>
      </c>
      <c r="T87">
        <v>20.6732649333333</v>
      </c>
      <c r="U87">
        <v>21.3819569425</v>
      </c>
      <c r="V87">
        <v>21.144482672500001</v>
      </c>
      <c r="W87">
        <v>19.723540754999998</v>
      </c>
      <c r="X87">
        <v>19.1070133208333</v>
      </c>
      <c r="Y87">
        <v>18.9688930416667</v>
      </c>
      <c r="Z87">
        <v>20.948117119166699</v>
      </c>
      <c r="AA87">
        <v>22.366028524166701</v>
      </c>
      <c r="AB87">
        <v>23.095183975000001</v>
      </c>
      <c r="AC87">
        <v>24.089943695833298</v>
      </c>
      <c r="AD87">
        <v>24.333098786666699</v>
      </c>
      <c r="AE87">
        <v>333.45249999999999</v>
      </c>
      <c r="AF87">
        <v>428.40249999999997</v>
      </c>
      <c r="AG87">
        <v>474.39583333333297</v>
      </c>
      <c r="AH87">
        <v>591.64583333333303</v>
      </c>
      <c r="AI87">
        <v>660.16666666666697</v>
      </c>
      <c r="AJ87">
        <v>753.85808333333296</v>
      </c>
      <c r="AK87">
        <v>902.00133333333304</v>
      </c>
      <c r="AL87">
        <v>955.49033333333296</v>
      </c>
      <c r="AM87">
        <v>976.63641666666695</v>
      </c>
      <c r="AN87">
        <v>991.41150000000005</v>
      </c>
      <c r="AO87">
        <v>1004.01658333333</v>
      </c>
      <c r="AP87">
        <v>1095.3254999999999</v>
      </c>
      <c r="AQ87">
        <v>1236.8317500000001</v>
      </c>
      <c r="AR87">
        <v>1387.4013333333301</v>
      </c>
      <c r="AS87">
        <v>1746.86991666667</v>
      </c>
      <c r="AT87">
        <v>1950.55833333333</v>
      </c>
      <c r="AU87">
        <v>1975.84375</v>
      </c>
      <c r="AV87">
        <v>1984.9312500000001</v>
      </c>
      <c r="AW87">
        <v>2243.9312500000001</v>
      </c>
      <c r="AX87">
        <v>3644.3333333333298</v>
      </c>
      <c r="AY87">
        <v>5148.75</v>
      </c>
      <c r="AZ87">
        <v>4197.7520041666703</v>
      </c>
      <c r="BA87">
        <v>4601.6910041666697</v>
      </c>
      <c r="BB87">
        <v>4801.0832375</v>
      </c>
      <c r="BC87">
        <v>5726.0710208333303</v>
      </c>
      <c r="BD87">
        <v>6658.0312583333298</v>
      </c>
      <c r="BE87">
        <v>6985.8290263333301</v>
      </c>
      <c r="BF87">
        <v>6907.8780694999996</v>
      </c>
      <c r="BG87">
        <v>7014.1187772499998</v>
      </c>
      <c r="BH87">
        <v>7485.51674166667</v>
      </c>
      <c r="BI87">
        <v>8967.9270795833309</v>
      </c>
      <c r="BJ87">
        <v>9088.3194962316593</v>
      </c>
      <c r="BK87">
        <v>9011.1341772519409</v>
      </c>
      <c r="BL87">
        <v>9183.8758639098396</v>
      </c>
      <c r="BM87">
        <v>9565.0821834383296</v>
      </c>
    </row>
    <row r="88" spans="1:69" x14ac:dyDescent="0.3">
      <c r="A88" t="s">
        <v>178</v>
      </c>
      <c r="B88" t="s">
        <v>179</v>
      </c>
      <c r="C88" t="s">
        <v>6</v>
      </c>
      <c r="D88" t="s">
        <v>7</v>
      </c>
      <c r="E88">
        <v>1.7857107145017099</v>
      </c>
      <c r="F88">
        <v>1.7857107145017099</v>
      </c>
      <c r="G88">
        <v>1.7857107145017099</v>
      </c>
      <c r="H88">
        <v>1.7857107145017099</v>
      </c>
      <c r="I88">
        <v>1.7857107145017099</v>
      </c>
      <c r="J88">
        <v>1.7857107145017099</v>
      </c>
      <c r="K88">
        <v>1.7857107145017099</v>
      </c>
      <c r="L88">
        <v>1.83531392893198</v>
      </c>
      <c r="M88">
        <v>2.08333000108333</v>
      </c>
      <c r="N88">
        <v>2.08333000108333</v>
      </c>
      <c r="O88">
        <v>2.08333000108333</v>
      </c>
      <c r="P88">
        <v>2.0545982738146198</v>
      </c>
      <c r="Q88">
        <v>2.0013327960424601</v>
      </c>
      <c r="R88">
        <v>1.7024045640635801</v>
      </c>
      <c r="S88">
        <v>1.7109267862755799</v>
      </c>
      <c r="T88">
        <v>1.8080437071058399</v>
      </c>
      <c r="U88">
        <v>2.2256731353848398</v>
      </c>
      <c r="V88">
        <v>2.2930188807786198</v>
      </c>
      <c r="W88">
        <v>2.0857452966718499</v>
      </c>
      <c r="X88">
        <v>1.88841579961904</v>
      </c>
      <c r="Y88">
        <v>1.7209828399170599</v>
      </c>
      <c r="Z88">
        <v>1.9901702093111799</v>
      </c>
      <c r="AA88">
        <v>2.2895101853073001</v>
      </c>
      <c r="AB88">
        <v>2.6385746191158299</v>
      </c>
      <c r="AC88">
        <v>3.58405801260268</v>
      </c>
      <c r="AD88">
        <v>3.8938738044416201</v>
      </c>
      <c r="AE88">
        <v>6.9249710882610698</v>
      </c>
      <c r="AF88">
        <v>7.07440010539122</v>
      </c>
      <c r="AG88">
        <v>6.70842323781853</v>
      </c>
      <c r="AH88">
        <v>7.5835829400414898</v>
      </c>
      <c r="AI88">
        <v>7.8789921808440697</v>
      </c>
      <c r="AJ88">
        <v>8.7331408398755705</v>
      </c>
      <c r="AK88">
        <v>8.89571491305405</v>
      </c>
      <c r="AL88">
        <v>9.1144194715680609</v>
      </c>
      <c r="AM88">
        <v>9.5817709601133902</v>
      </c>
      <c r="AN88">
        <v>9.5442648193098893</v>
      </c>
      <c r="AO88">
        <v>9.7971734695092998</v>
      </c>
      <c r="AP88">
        <v>10.2001666666667</v>
      </c>
      <c r="AQ88">
        <v>10.6431</v>
      </c>
      <c r="AR88">
        <v>11.395091666666699</v>
      </c>
      <c r="AS88">
        <v>12.7876250950944</v>
      </c>
      <c r="AT88">
        <v>15.687158333333301</v>
      </c>
      <c r="AU88">
        <v>19.917825000000001</v>
      </c>
      <c r="AV88">
        <v>28.530508333333302</v>
      </c>
      <c r="AW88">
        <v>30.030083333333302</v>
      </c>
      <c r="AX88">
        <v>28.575433333333301</v>
      </c>
      <c r="AY88">
        <v>28.065725</v>
      </c>
      <c r="AZ88">
        <v>24.873433333333299</v>
      </c>
      <c r="BA88">
        <v>22.192350000000001</v>
      </c>
      <c r="BB88">
        <v>26.644361204231299</v>
      </c>
      <c r="BC88">
        <v>28.0119536626841</v>
      </c>
      <c r="BD88">
        <v>29.4615200601576</v>
      </c>
      <c r="BE88">
        <v>32.077133888621702</v>
      </c>
      <c r="BF88">
        <v>35.957586834165099</v>
      </c>
      <c r="BG88">
        <v>41.7329616505126</v>
      </c>
      <c r="BH88">
        <v>42.506208092372503</v>
      </c>
      <c r="BI88">
        <v>43.372527673181899</v>
      </c>
      <c r="BJ88">
        <v>46.608909462110098</v>
      </c>
      <c r="BK88">
        <v>48.151780637907301</v>
      </c>
      <c r="BL88">
        <v>50.062461368422198</v>
      </c>
      <c r="BM88">
        <v>51.501660366172302</v>
      </c>
      <c r="BN88">
        <v>51.484443878383303</v>
      </c>
      <c r="BO88">
        <v>54.923467358667899</v>
      </c>
      <c r="BP88">
        <v>61.0963330077956</v>
      </c>
      <c r="BQ88">
        <v>67.661238258942006</v>
      </c>
    </row>
    <row r="89" spans="1:69" x14ac:dyDescent="0.3">
      <c r="A89" t="s">
        <v>180</v>
      </c>
      <c r="B89" t="s">
        <v>181</v>
      </c>
      <c r="C89" t="s">
        <v>6</v>
      </c>
      <c r="D89" t="s">
        <v>7</v>
      </c>
      <c r="E89">
        <v>245.19510139835899</v>
      </c>
      <c r="F89">
        <v>245.26010162116</v>
      </c>
      <c r="G89">
        <v>245.013850686544</v>
      </c>
      <c r="H89">
        <v>245.01635069607499</v>
      </c>
      <c r="I89">
        <v>245.027184079042</v>
      </c>
      <c r="J89">
        <v>245.06093420770799</v>
      </c>
      <c r="K89">
        <v>245.67843655764401</v>
      </c>
      <c r="L89">
        <v>246.00093779128099</v>
      </c>
      <c r="M89">
        <v>247.56469375695099</v>
      </c>
      <c r="N89">
        <v>259.960574351236</v>
      </c>
      <c r="O89">
        <v>276.403137026845</v>
      </c>
      <c r="P89">
        <v>275.35645668533198</v>
      </c>
      <c r="Q89">
        <v>252.02762746264901</v>
      </c>
      <c r="R89">
        <v>222.88918305322699</v>
      </c>
      <c r="S89">
        <v>240.70466763782301</v>
      </c>
      <c r="T89">
        <v>214.31290034121901</v>
      </c>
      <c r="U89">
        <v>238.95049426705901</v>
      </c>
      <c r="V89">
        <v>245.67968656657601</v>
      </c>
      <c r="W89">
        <v>225.65586023395699</v>
      </c>
      <c r="X89">
        <v>212.721644262377</v>
      </c>
      <c r="Y89">
        <v>211.27955541470499</v>
      </c>
      <c r="Z89">
        <v>271.73145255032699</v>
      </c>
      <c r="AA89">
        <v>328.60625269898998</v>
      </c>
      <c r="AB89">
        <v>381.06603602462798</v>
      </c>
      <c r="AC89">
        <v>436.95666578800802</v>
      </c>
      <c r="AD89">
        <v>449.26296271160697</v>
      </c>
      <c r="AE89">
        <v>346.305903554493</v>
      </c>
      <c r="AF89">
        <v>300.53656240147802</v>
      </c>
      <c r="AG89">
        <v>297.84821881937802</v>
      </c>
      <c r="AH89">
        <v>319.008299487903</v>
      </c>
      <c r="AI89">
        <v>272.264787954393</v>
      </c>
      <c r="AJ89">
        <v>282.10690880881998</v>
      </c>
      <c r="AK89">
        <v>264.69180075057898</v>
      </c>
      <c r="AL89">
        <v>283.16257950001801</v>
      </c>
      <c r="AM89">
        <v>555.20469565569704</v>
      </c>
      <c r="AN89">
        <v>499.14842590131002</v>
      </c>
      <c r="AO89">
        <v>511.55243027251601</v>
      </c>
      <c r="AP89">
        <v>583.66937235339606</v>
      </c>
      <c r="AQ89">
        <v>589.951774567332</v>
      </c>
      <c r="AR89">
        <v>615.47334931916396</v>
      </c>
      <c r="AS89">
        <v>710.20797703136702</v>
      </c>
      <c r="AT89">
        <v>732.39769326022804</v>
      </c>
      <c r="AU89">
        <v>693.71322649637398</v>
      </c>
      <c r="AV89">
        <v>579.897426172466</v>
      </c>
      <c r="AW89">
        <v>527.33803229157604</v>
      </c>
      <c r="AX89">
        <v>527.25836264962595</v>
      </c>
      <c r="AY89">
        <v>522.42562489517604</v>
      </c>
      <c r="AZ89">
        <v>478.63371847636301</v>
      </c>
      <c r="BA89">
        <v>446.00004143278801</v>
      </c>
      <c r="BB89">
        <v>470.29342334139801</v>
      </c>
      <c r="BC89">
        <v>494.794262222947</v>
      </c>
      <c r="BD89">
        <v>471.24862571893698</v>
      </c>
      <c r="BE89">
        <v>510.55633845425098</v>
      </c>
      <c r="BF89">
        <v>493.89962385223703</v>
      </c>
      <c r="BG89">
        <v>493.757329875312</v>
      </c>
      <c r="BH89">
        <v>591.21169798260996</v>
      </c>
      <c r="BI89">
        <v>592.60561506302201</v>
      </c>
      <c r="BJ89">
        <v>580.65674958785803</v>
      </c>
      <c r="BK89">
        <v>555.44645839822601</v>
      </c>
      <c r="BL89">
        <v>585.91101318036897</v>
      </c>
      <c r="BM89">
        <v>575.58600451094503</v>
      </c>
      <c r="BN89">
        <v>554.53067503310399</v>
      </c>
      <c r="BO89">
        <v>623.75970091118199</v>
      </c>
      <c r="BP89">
        <v>606.56975016591696</v>
      </c>
      <c r="BQ89">
        <v>606.34529760906298</v>
      </c>
    </row>
    <row r="90" spans="1:69" x14ac:dyDescent="0.3">
      <c r="A90" t="s">
        <v>182</v>
      </c>
      <c r="B90" t="s">
        <v>183</v>
      </c>
      <c r="C90" t="s">
        <v>6</v>
      </c>
      <c r="D90" t="s">
        <v>7</v>
      </c>
      <c r="E90">
        <v>245.19510139835899</v>
      </c>
      <c r="F90">
        <v>245.26010162116</v>
      </c>
      <c r="G90">
        <v>245.013850686544</v>
      </c>
      <c r="H90">
        <v>245.01635069607499</v>
      </c>
      <c r="I90">
        <v>245.027184079042</v>
      </c>
      <c r="J90">
        <v>245.06093420770799</v>
      </c>
      <c r="K90">
        <v>245.67843655764401</v>
      </c>
      <c r="L90">
        <v>246.00093779128099</v>
      </c>
      <c r="M90">
        <v>247.56469375695099</v>
      </c>
      <c r="N90">
        <v>259.960574351236</v>
      </c>
      <c r="O90">
        <v>276.403137026845</v>
      </c>
      <c r="P90">
        <v>275.35645668533198</v>
      </c>
      <c r="Q90">
        <v>252.02762746264901</v>
      </c>
      <c r="R90">
        <v>222.88918305322699</v>
      </c>
      <c r="S90">
        <v>240.70466763782301</v>
      </c>
      <c r="T90">
        <v>214.31290034121901</v>
      </c>
      <c r="U90">
        <v>238.95049426705901</v>
      </c>
      <c r="V90">
        <v>245.67968656657601</v>
      </c>
      <c r="W90">
        <v>225.65586023395699</v>
      </c>
      <c r="X90">
        <v>212.721644262377</v>
      </c>
      <c r="Y90">
        <v>211.27955541470499</v>
      </c>
      <c r="Z90">
        <v>271.73145255032699</v>
      </c>
      <c r="AA90">
        <v>328.60625269898998</v>
      </c>
      <c r="AB90">
        <v>381.06603602462798</v>
      </c>
      <c r="AC90">
        <v>436.95666578800802</v>
      </c>
      <c r="AD90">
        <v>449.26296271160697</v>
      </c>
      <c r="AE90">
        <v>346.305903554493</v>
      </c>
      <c r="AF90">
        <v>300.53656240147802</v>
      </c>
      <c r="AG90">
        <v>297.84821881937802</v>
      </c>
      <c r="AH90">
        <v>319.008299487903</v>
      </c>
      <c r="AI90">
        <v>272.264787954393</v>
      </c>
      <c r="AJ90">
        <v>282.10690880881998</v>
      </c>
      <c r="AK90">
        <v>264.69180075057898</v>
      </c>
      <c r="AL90">
        <v>283.16257950001801</v>
      </c>
      <c r="AM90">
        <v>555.20469565569704</v>
      </c>
      <c r="AN90">
        <v>499.14842590131002</v>
      </c>
      <c r="AO90">
        <v>511.55243027251601</v>
      </c>
      <c r="AP90">
        <v>583.66937235339606</v>
      </c>
      <c r="AQ90">
        <v>589.951774567332</v>
      </c>
      <c r="AR90">
        <v>615.47334931916396</v>
      </c>
      <c r="AS90">
        <v>710.20797703136702</v>
      </c>
      <c r="AT90">
        <v>732.39769326022804</v>
      </c>
      <c r="AU90">
        <v>693.71322649637398</v>
      </c>
      <c r="AV90">
        <v>579.897426172466</v>
      </c>
      <c r="AW90">
        <v>527.33803229157604</v>
      </c>
      <c r="AX90">
        <v>527.25836264962595</v>
      </c>
      <c r="AY90">
        <v>522.42562489517604</v>
      </c>
      <c r="AZ90">
        <v>478.63371847636301</v>
      </c>
      <c r="BA90">
        <v>446.00004143278801</v>
      </c>
      <c r="BB90">
        <v>470.29342334139801</v>
      </c>
      <c r="BC90">
        <v>494.794262222947</v>
      </c>
      <c r="BD90">
        <v>471.24862571893698</v>
      </c>
      <c r="BE90">
        <v>510.55633845425098</v>
      </c>
      <c r="BF90">
        <v>493.89962385223703</v>
      </c>
      <c r="BG90">
        <v>493.757329875312</v>
      </c>
      <c r="BH90">
        <v>591.21169798260996</v>
      </c>
      <c r="BI90">
        <v>592.60561506302201</v>
      </c>
      <c r="BJ90">
        <v>580.65674958785803</v>
      </c>
      <c r="BK90">
        <v>555.44645839822601</v>
      </c>
      <c r="BL90">
        <v>585.91101318036897</v>
      </c>
      <c r="BM90">
        <v>575.58600451094503</v>
      </c>
      <c r="BN90">
        <v>554.53067503310399</v>
      </c>
      <c r="BO90">
        <v>623.75970091118199</v>
      </c>
      <c r="BP90">
        <v>606.56975016591696</v>
      </c>
      <c r="BQ90">
        <v>606.34529760906298</v>
      </c>
    </row>
    <row r="91" spans="1:69" x14ac:dyDescent="0.3">
      <c r="A91" t="s">
        <v>184</v>
      </c>
      <c r="B91" t="s">
        <v>185</v>
      </c>
      <c r="C91" t="s">
        <v>6</v>
      </c>
      <c r="D91" t="s">
        <v>7</v>
      </c>
      <c r="E91">
        <v>30.000300003</v>
      </c>
      <c r="F91">
        <v>30.000050024666699</v>
      </c>
      <c r="G91">
        <v>30.000000028999999</v>
      </c>
      <c r="H91">
        <v>30.000000028999999</v>
      </c>
      <c r="I91">
        <v>30.000000028999999</v>
      </c>
      <c r="J91">
        <v>30.000000028999999</v>
      </c>
      <c r="K91">
        <v>30.000000028999999</v>
      </c>
      <c r="L91">
        <v>30.000000028999999</v>
      </c>
      <c r="M91">
        <v>30.000000028999999</v>
      </c>
      <c r="N91">
        <v>30.000000028999999</v>
      </c>
      <c r="O91">
        <v>30.000000028999999</v>
      </c>
      <c r="P91">
        <v>30.0000000289151</v>
      </c>
      <c r="Q91">
        <v>30.000300003</v>
      </c>
      <c r="R91">
        <v>29.625225002000001</v>
      </c>
      <c r="S91">
        <v>30.000300003</v>
      </c>
      <c r="T91">
        <v>32.051324999999999</v>
      </c>
      <c r="U91">
        <v>36.517583332333302</v>
      </c>
      <c r="V91">
        <v>36.838416665666699</v>
      </c>
      <c r="W91">
        <v>36.745416665666703</v>
      </c>
      <c r="X91">
        <v>37.038416665666702</v>
      </c>
      <c r="Y91">
        <v>42.616583332333299</v>
      </c>
      <c r="Z91">
        <v>55.408416665666699</v>
      </c>
      <c r="AA91">
        <v>66.803166665749998</v>
      </c>
      <c r="AB91">
        <v>88.064249999500007</v>
      </c>
      <c r="AC91">
        <v>112.716583333</v>
      </c>
      <c r="AD91">
        <v>138.11908333299999</v>
      </c>
      <c r="AE91">
        <v>139.98116666658299</v>
      </c>
      <c r="AF91">
        <v>135.42949999999999</v>
      </c>
      <c r="AG91">
        <v>141.8605</v>
      </c>
      <c r="AH91">
        <v>162.41658333333299</v>
      </c>
      <c r="AI91">
        <v>158.513916666667</v>
      </c>
      <c r="AJ91">
        <v>182.266416666667</v>
      </c>
      <c r="AK91">
        <v>190.62424999999999</v>
      </c>
      <c r="AL91">
        <v>229.24984333333299</v>
      </c>
      <c r="AM91">
        <v>242.60281749999999</v>
      </c>
      <c r="AN91">
        <v>231.66273583333299</v>
      </c>
      <c r="AO91">
        <v>240.71154250000001</v>
      </c>
      <c r="AP91">
        <v>273.05785333333301</v>
      </c>
      <c r="AQ91">
        <v>295.52910500000002</v>
      </c>
      <c r="AR91">
        <v>305.64660416666698</v>
      </c>
      <c r="AS91">
        <v>365.39856083333302</v>
      </c>
      <c r="AT91">
        <v>1.1165330856446201</v>
      </c>
      <c r="AU91">
        <v>1.0575589962396501</v>
      </c>
      <c r="AV91">
        <v>0.88404792718492997</v>
      </c>
      <c r="AW91">
        <v>0.80392164774761798</v>
      </c>
      <c r="AX91">
        <v>0.80380019216144205</v>
      </c>
      <c r="AY91">
        <v>0.79643273094910205</v>
      </c>
      <c r="AZ91">
        <v>0.72967239998408295</v>
      </c>
      <c r="BA91">
        <v>0.67992268004272904</v>
      </c>
      <c r="BB91">
        <v>0.71695770201613596</v>
      </c>
      <c r="BC91">
        <v>0.75430899010596097</v>
      </c>
      <c r="BD91">
        <v>0.71841389865331695</v>
      </c>
      <c r="BE91">
        <v>0.77833812041681205</v>
      </c>
      <c r="BF91">
        <v>0.75294512270199598</v>
      </c>
      <c r="BG91">
        <v>0.75272819693260296</v>
      </c>
      <c r="BH91">
        <v>0.90129642336709603</v>
      </c>
      <c r="BI91">
        <v>0.90342143625726301</v>
      </c>
      <c r="BJ91">
        <v>0.88520550826937205</v>
      </c>
      <c r="BK91">
        <v>0.84677266710811105</v>
      </c>
      <c r="BL91">
        <v>0.89327625706740899</v>
      </c>
      <c r="BM91">
        <v>0.87550639698799804</v>
      </c>
      <c r="BN91">
        <v>0.84549413889045</v>
      </c>
      <c r="BO91">
        <v>0.94962375315694103</v>
      </c>
      <c r="BP91">
        <v>0.92483955847069799</v>
      </c>
      <c r="BQ91">
        <v>0.92388954611760699</v>
      </c>
    </row>
    <row r="92" spans="1:69" x14ac:dyDescent="0.3">
      <c r="A92" t="s">
        <v>186</v>
      </c>
      <c r="B92" t="s">
        <v>187</v>
      </c>
      <c r="C92" t="s">
        <v>6</v>
      </c>
      <c r="D92" t="s">
        <v>7</v>
      </c>
      <c r="E92">
        <v>1.7142900007142901</v>
      </c>
      <c r="F92">
        <v>1.7142900007142901</v>
      </c>
      <c r="G92">
        <v>1.7142900007142901</v>
      </c>
      <c r="H92">
        <v>1.7142900007142901</v>
      </c>
      <c r="I92">
        <v>1.7142900007142901</v>
      </c>
      <c r="J92">
        <v>1.7142900007142901</v>
      </c>
      <c r="K92">
        <v>1.7142900007142901</v>
      </c>
      <c r="L92">
        <v>1.7619083340952399</v>
      </c>
      <c r="M92">
        <v>2.0000000010000001</v>
      </c>
      <c r="N92">
        <v>2.0000000010000001</v>
      </c>
      <c r="O92">
        <v>2.0000000010000001</v>
      </c>
      <c r="P92">
        <v>1.97487273321145</v>
      </c>
      <c r="Q92">
        <v>1.9212781494760101</v>
      </c>
      <c r="R92">
        <v>1.9592192359816101</v>
      </c>
      <c r="S92">
        <v>2.0532324085176299</v>
      </c>
      <c r="T92">
        <v>2.16979583233333</v>
      </c>
      <c r="U92">
        <v>2.6146708328333301</v>
      </c>
      <c r="V92">
        <v>2.7</v>
      </c>
      <c r="W92">
        <v>2.7</v>
      </c>
      <c r="X92">
        <v>2.7</v>
      </c>
      <c r="Y92">
        <v>2.7</v>
      </c>
      <c r="Z92">
        <v>2.7</v>
      </c>
      <c r="AA92">
        <v>2.7</v>
      </c>
      <c r="AB92">
        <v>2.7</v>
      </c>
      <c r="AC92">
        <v>2.7</v>
      </c>
      <c r="AD92">
        <v>2.7</v>
      </c>
      <c r="AE92">
        <v>2.7</v>
      </c>
      <c r="AF92">
        <v>2.7</v>
      </c>
      <c r="AG92">
        <v>2.7</v>
      </c>
      <c r="AH92">
        <v>2.7</v>
      </c>
      <c r="AI92">
        <v>2.7</v>
      </c>
      <c r="AJ92">
        <v>2.7</v>
      </c>
      <c r="AK92">
        <v>2.7</v>
      </c>
      <c r="AL92">
        <v>2.7</v>
      </c>
      <c r="AM92">
        <v>2.7</v>
      </c>
      <c r="AN92">
        <v>2.7</v>
      </c>
      <c r="AO92">
        <v>2.7</v>
      </c>
      <c r="AP92">
        <v>2.7</v>
      </c>
      <c r="AQ92">
        <v>2.7</v>
      </c>
      <c r="AR92">
        <v>2.7</v>
      </c>
      <c r="AS92">
        <v>2.7</v>
      </c>
      <c r="AT92">
        <v>2.7</v>
      </c>
      <c r="AU92">
        <v>2.7</v>
      </c>
      <c r="AV92">
        <v>2.7</v>
      </c>
      <c r="AW92">
        <v>2.7</v>
      </c>
      <c r="AX92">
        <v>2.7</v>
      </c>
      <c r="AY92">
        <v>2.7</v>
      </c>
      <c r="AZ92">
        <v>2.7</v>
      </c>
      <c r="BA92">
        <v>2.7</v>
      </c>
      <c r="BB92">
        <v>2.7</v>
      </c>
      <c r="BC92">
        <v>2.7</v>
      </c>
      <c r="BD92">
        <v>2.7</v>
      </c>
      <c r="BE92">
        <v>2.7</v>
      </c>
      <c r="BF92">
        <v>2.7</v>
      </c>
      <c r="BG92">
        <v>2.7</v>
      </c>
      <c r="BH92">
        <v>2.7</v>
      </c>
      <c r="BI92">
        <v>2.7</v>
      </c>
      <c r="BJ92">
        <v>2.7</v>
      </c>
      <c r="BK92">
        <v>2.7</v>
      </c>
      <c r="BL92">
        <v>2.7</v>
      </c>
      <c r="BM92">
        <v>2.7</v>
      </c>
      <c r="BN92">
        <v>2.7</v>
      </c>
      <c r="BO92">
        <v>2.7</v>
      </c>
      <c r="BP92">
        <v>2.7</v>
      </c>
      <c r="BQ92">
        <v>2.7</v>
      </c>
    </row>
    <row r="93" spans="1:69" x14ac:dyDescent="0.3">
      <c r="A93" t="s">
        <v>188</v>
      </c>
      <c r="B93" t="s">
        <v>189</v>
      </c>
      <c r="C93" t="s">
        <v>6</v>
      </c>
      <c r="D93" t="s">
        <v>7</v>
      </c>
      <c r="E93">
        <v>6.9071400059071397</v>
      </c>
      <c r="F93">
        <v>6.9071400059071397</v>
      </c>
      <c r="G93">
        <v>6.9071400059071397</v>
      </c>
      <c r="H93">
        <v>6.9071400059071397</v>
      </c>
      <c r="I93">
        <v>6.9071400059071397</v>
      </c>
      <c r="J93">
        <v>6.9071400059071397</v>
      </c>
      <c r="K93">
        <v>6.9071400059071397</v>
      </c>
      <c r="L93">
        <v>7.0059500060059499</v>
      </c>
      <c r="M93">
        <v>7.5000000064999996</v>
      </c>
      <c r="N93">
        <v>7.5000000064999996</v>
      </c>
      <c r="O93">
        <v>7.5000000064999996</v>
      </c>
      <c r="P93">
        <v>7.4175956555804303</v>
      </c>
      <c r="Q93">
        <v>6.9492916656666699</v>
      </c>
      <c r="R93">
        <v>6.049499999</v>
      </c>
      <c r="S93">
        <v>6.0948999989999999</v>
      </c>
      <c r="T93">
        <v>5.746149999</v>
      </c>
      <c r="U93">
        <v>6.0450249989999998</v>
      </c>
      <c r="V93">
        <v>6.0031916656666704</v>
      </c>
      <c r="W93">
        <v>5.5146249989999996</v>
      </c>
      <c r="X93">
        <v>5.2609583323333302</v>
      </c>
      <c r="Y93">
        <v>5.6359416656666701</v>
      </c>
      <c r="Z93">
        <v>7.1233666656666701</v>
      </c>
      <c r="AA93">
        <v>8.3324416661666696</v>
      </c>
      <c r="AB93">
        <v>9.1449916657500001</v>
      </c>
      <c r="AC93">
        <v>10.356591666250001</v>
      </c>
      <c r="AD93">
        <v>10.5963916664167</v>
      </c>
      <c r="AE93">
        <v>8.0909916665833403</v>
      </c>
      <c r="AF93">
        <v>6.8403166666666699</v>
      </c>
      <c r="AG93">
        <v>6.7315250000000004</v>
      </c>
      <c r="AH93">
        <v>7.3101750000000001</v>
      </c>
      <c r="AI93">
        <v>6.1885583333333303</v>
      </c>
      <c r="AJ93">
        <v>6.3964583333333298</v>
      </c>
      <c r="AK93">
        <v>6.0361333333333302</v>
      </c>
      <c r="AL93">
        <v>6.4839391666666701</v>
      </c>
      <c r="AM93">
        <v>6.3605516666666704</v>
      </c>
      <c r="AN93">
        <v>5.6023666666666703</v>
      </c>
      <c r="AO93">
        <v>5.79867166666667</v>
      </c>
      <c r="AP93">
        <v>6.6044591666666701</v>
      </c>
      <c r="AQ93">
        <v>6.7008266666666696</v>
      </c>
      <c r="AR93">
        <v>6.9762399999999998</v>
      </c>
      <c r="AS93">
        <v>8.0831441666666706</v>
      </c>
      <c r="AT93">
        <v>8.3228174999999993</v>
      </c>
      <c r="AU93">
        <v>7.8947141666666703</v>
      </c>
      <c r="AV93">
        <v>6.5876733333333304</v>
      </c>
      <c r="AW93">
        <v>5.9910566666666698</v>
      </c>
      <c r="AX93">
        <v>5.9969099999999997</v>
      </c>
      <c r="AY93">
        <v>5.9467783333333299</v>
      </c>
      <c r="AZ93">
        <v>5.4437008333333301</v>
      </c>
      <c r="BA93">
        <v>5.0981308333333297</v>
      </c>
      <c r="BB93">
        <v>5.36086666666667</v>
      </c>
      <c r="BC93">
        <v>5.6240750000000004</v>
      </c>
      <c r="BD93">
        <v>5.3687115350877201</v>
      </c>
      <c r="BE93">
        <v>5.7924755370391603</v>
      </c>
      <c r="BF93">
        <v>5.6163116861762203</v>
      </c>
      <c r="BG93">
        <v>5.6124666666666698</v>
      </c>
      <c r="BH93">
        <v>6.7279068312963002</v>
      </c>
      <c r="BI93">
        <v>6.7317182572463796</v>
      </c>
      <c r="BJ93">
        <v>6.6028934656140397</v>
      </c>
      <c r="BK93">
        <v>6.3146187866666699</v>
      </c>
      <c r="BL93">
        <v>6.669446615</v>
      </c>
      <c r="BM93">
        <v>6.54215220416667</v>
      </c>
      <c r="BN93">
        <v>6.2871130825000003</v>
      </c>
      <c r="BO93">
        <v>7.0761518624999997</v>
      </c>
      <c r="BP93">
        <v>6.8897025858333398</v>
      </c>
      <c r="BQ93">
        <v>6.8944814166666601</v>
      </c>
    </row>
    <row r="94" spans="1:69" x14ac:dyDescent="0.3">
      <c r="A94" t="s">
        <v>190</v>
      </c>
      <c r="B94" t="s">
        <v>191</v>
      </c>
      <c r="C94" t="s">
        <v>6</v>
      </c>
      <c r="D94" t="s">
        <v>7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0.99999999991666699</v>
      </c>
      <c r="Q94">
        <v>1</v>
      </c>
      <c r="R94">
        <v>0.99999999991666699</v>
      </c>
      <c r="S94">
        <v>0.99999999949999996</v>
      </c>
      <c r="T94">
        <v>0.99999999900000003</v>
      </c>
      <c r="U94">
        <v>0.99999999900000003</v>
      </c>
      <c r="V94">
        <v>0.99999999900000003</v>
      </c>
      <c r="W94">
        <v>0.99999999900000003</v>
      </c>
      <c r="X94">
        <v>0.99999999900000003</v>
      </c>
      <c r="Y94">
        <v>0.99999999900000003</v>
      </c>
      <c r="Z94">
        <v>0.99999999900000003</v>
      </c>
      <c r="AA94">
        <v>0.99999999900000003</v>
      </c>
      <c r="AB94">
        <v>0.99999999900000003</v>
      </c>
      <c r="AC94">
        <v>0.99999999958333297</v>
      </c>
      <c r="AD94">
        <v>1</v>
      </c>
      <c r="AE94">
        <v>1.875</v>
      </c>
      <c r="AF94">
        <v>2.5</v>
      </c>
      <c r="AG94">
        <v>2.6195833333333298</v>
      </c>
      <c r="AH94">
        <v>2.8161166666666699</v>
      </c>
      <c r="AI94">
        <v>4.4857583333333304</v>
      </c>
      <c r="AJ94">
        <v>5.02888</v>
      </c>
      <c r="AK94">
        <v>5.1706300000000001</v>
      </c>
      <c r="AL94">
        <v>5.6353625000000003</v>
      </c>
      <c r="AM94">
        <v>5.7512008333333302</v>
      </c>
      <c r="AN94">
        <v>5.8103425</v>
      </c>
      <c r="AO94">
        <v>6.0495124999999996</v>
      </c>
      <c r="AP94">
        <v>6.0652691666666696</v>
      </c>
      <c r="AQ94">
        <v>6.3946533333333404</v>
      </c>
      <c r="AR94">
        <v>7.3856099999999998</v>
      </c>
      <c r="AS94">
        <v>7.7631591666666697</v>
      </c>
      <c r="AT94">
        <v>7.8585925000000003</v>
      </c>
      <c r="AU94">
        <v>7.8216450000000002</v>
      </c>
      <c r="AV94">
        <v>7.9408466666666699</v>
      </c>
      <c r="AW94">
        <v>7.94649583333333</v>
      </c>
      <c r="AX94">
        <v>7.6339441666666703</v>
      </c>
      <c r="AY94">
        <v>7.6026308333333299</v>
      </c>
      <c r="AZ94">
        <v>7.6733041666666697</v>
      </c>
      <c r="BA94">
        <v>7.5600283333333298</v>
      </c>
      <c r="BB94">
        <v>8.1615554166666708</v>
      </c>
      <c r="BC94">
        <v>8.0577708333333309</v>
      </c>
      <c r="BD94">
        <v>7.7854183333333404</v>
      </c>
      <c r="BE94">
        <v>7.8336054166666704</v>
      </c>
      <c r="BF94">
        <v>7.8568137499999997</v>
      </c>
      <c r="BG94">
        <v>7.7322333333333297</v>
      </c>
      <c r="BH94">
        <v>7.6548150000000001</v>
      </c>
      <c r="BI94">
        <v>7.5999370833333302</v>
      </c>
      <c r="BJ94">
        <v>7.34793875</v>
      </c>
      <c r="BK94">
        <v>7.51916458333333</v>
      </c>
      <c r="BL94">
        <v>7.6966983333333303</v>
      </c>
      <c r="BM94">
        <v>7.7216500000000003</v>
      </c>
      <c r="BN94">
        <v>7.7343883333333299</v>
      </c>
      <c r="BO94">
        <v>7.7482437500000003</v>
      </c>
      <c r="BP94">
        <v>7.8319741666666696</v>
      </c>
      <c r="BQ94">
        <v>7.7585375000000001</v>
      </c>
    </row>
    <row r="95" spans="1:69" x14ac:dyDescent="0.3">
      <c r="A95" t="s">
        <v>192</v>
      </c>
      <c r="B95" t="s">
        <v>193</v>
      </c>
      <c r="C95" t="s">
        <v>6</v>
      </c>
      <c r="D95" t="s">
        <v>7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</row>
    <row r="96" spans="1:69" x14ac:dyDescent="0.3">
      <c r="A96" t="s">
        <v>194</v>
      </c>
      <c r="B96" t="s">
        <v>195</v>
      </c>
      <c r="C96" t="s">
        <v>6</v>
      </c>
      <c r="D96" t="s">
        <v>7</v>
      </c>
      <c r="E96">
        <v>1.7142900007142901</v>
      </c>
      <c r="F96">
        <v>1.7142900007142901</v>
      </c>
      <c r="G96">
        <v>1.7142900007142901</v>
      </c>
      <c r="H96">
        <v>1.7142900007142901</v>
      </c>
      <c r="I96">
        <v>1.7142900007142901</v>
      </c>
      <c r="J96">
        <v>1.7142900007142901</v>
      </c>
      <c r="K96">
        <v>1.7142900007142901</v>
      </c>
      <c r="L96">
        <v>1.7380991672619099</v>
      </c>
      <c r="M96">
        <v>2.0000000010000001</v>
      </c>
      <c r="N96">
        <v>2.0000000010000001</v>
      </c>
      <c r="O96">
        <v>2.0000000010000001</v>
      </c>
      <c r="P96">
        <v>1.9886602449324799</v>
      </c>
      <c r="Q96">
        <v>2.0872729631517299</v>
      </c>
      <c r="R96">
        <v>2.1061762107568001</v>
      </c>
      <c r="S96">
        <v>2.2268552932326</v>
      </c>
      <c r="T96">
        <v>2.3553841543784801</v>
      </c>
      <c r="U96">
        <v>2.5499999990000002</v>
      </c>
      <c r="V96">
        <v>2.5499999990000002</v>
      </c>
      <c r="W96">
        <v>2.5499999990000002</v>
      </c>
      <c r="X96">
        <v>2.5499999990000002</v>
      </c>
      <c r="Y96">
        <v>2.5499999990000002</v>
      </c>
      <c r="Z96">
        <v>2.8124999989999999</v>
      </c>
      <c r="AA96">
        <v>2.9999999989999999</v>
      </c>
      <c r="AB96">
        <v>2.9999999989999999</v>
      </c>
      <c r="AC96">
        <v>3.8315716662499999</v>
      </c>
      <c r="AD96">
        <v>4.2518549999166702</v>
      </c>
      <c r="AE96">
        <v>4.2724166666666701</v>
      </c>
      <c r="AF96">
        <v>9.7558333333333298</v>
      </c>
      <c r="AG96">
        <v>10</v>
      </c>
      <c r="AH96">
        <v>27.158750000000001</v>
      </c>
      <c r="AI96">
        <v>39.533333333333303</v>
      </c>
      <c r="AJ96">
        <v>111.810666666667</v>
      </c>
      <c r="AK96">
        <v>125.0025</v>
      </c>
      <c r="AL96">
        <v>126.73044166666701</v>
      </c>
      <c r="AM96">
        <v>138.290240833333</v>
      </c>
      <c r="AN96">
        <v>141.98916666666699</v>
      </c>
      <c r="AO96">
        <v>140.375</v>
      </c>
      <c r="AP96">
        <v>142.400833333333</v>
      </c>
      <c r="AQ96">
        <v>150.51916666666699</v>
      </c>
      <c r="AR96">
        <v>177.995</v>
      </c>
      <c r="AS96">
        <v>182.43</v>
      </c>
      <c r="AT96">
        <v>187.32083333333301</v>
      </c>
      <c r="AU96">
        <v>190.66499999999999</v>
      </c>
      <c r="AV96">
        <v>193.87833333333299</v>
      </c>
      <c r="AW96">
        <v>198.3075</v>
      </c>
      <c r="AX96">
        <v>199.875</v>
      </c>
      <c r="AY96">
        <v>200.18833333333299</v>
      </c>
      <c r="AZ96">
        <v>202.34666666666701</v>
      </c>
      <c r="BA96">
        <v>203.63333333333301</v>
      </c>
      <c r="BB96">
        <v>203.95</v>
      </c>
      <c r="BC96">
        <v>203.63583333333301</v>
      </c>
      <c r="BD96">
        <v>204.01750000000001</v>
      </c>
      <c r="BE96">
        <v>204.35833333333301</v>
      </c>
      <c r="BF96">
        <v>205.39416666666699</v>
      </c>
      <c r="BG96">
        <v>206.449166666667</v>
      </c>
      <c r="BH96">
        <v>206.5</v>
      </c>
      <c r="BI96">
        <v>206.5</v>
      </c>
      <c r="BJ96">
        <v>206.5</v>
      </c>
      <c r="BK96">
        <v>207.71666666666701</v>
      </c>
      <c r="BL96">
        <v>208.5</v>
      </c>
      <c r="BM96">
        <v>208.5</v>
      </c>
      <c r="BN96">
        <v>208.5</v>
      </c>
      <c r="BO96">
        <v>208.5</v>
      </c>
      <c r="BP96">
        <v>208.5</v>
      </c>
      <c r="BQ96">
        <v>208.5</v>
      </c>
    </row>
    <row r="97" spans="1:69" x14ac:dyDescent="0.3">
      <c r="A97" t="s">
        <v>196</v>
      </c>
      <c r="B97" t="s">
        <v>197</v>
      </c>
      <c r="C97" t="s">
        <v>6</v>
      </c>
      <c r="D97" t="s">
        <v>7</v>
      </c>
    </row>
    <row r="98" spans="1:69" x14ac:dyDescent="0.3">
      <c r="A98" t="s">
        <v>198</v>
      </c>
      <c r="B98" t="s">
        <v>199</v>
      </c>
      <c r="C98" t="s">
        <v>6</v>
      </c>
      <c r="D98" t="s">
        <v>7</v>
      </c>
      <c r="E98">
        <v>5.7143000047142998</v>
      </c>
      <c r="F98">
        <v>5.7143000047142998</v>
      </c>
      <c r="G98">
        <v>5.7143000047142998</v>
      </c>
      <c r="H98">
        <v>5.7143000047142998</v>
      </c>
      <c r="I98">
        <v>5.7143000047142998</v>
      </c>
      <c r="J98">
        <v>5.7143000047142998</v>
      </c>
      <c r="K98">
        <v>5.7143000047142998</v>
      </c>
      <c r="L98">
        <v>5.7431583376002999</v>
      </c>
      <c r="M98">
        <v>6.0606000050605999</v>
      </c>
      <c r="N98">
        <v>6.0606000050605999</v>
      </c>
      <c r="O98">
        <v>6.0606000050605999</v>
      </c>
      <c r="P98">
        <v>5.9804104701834797</v>
      </c>
      <c r="Q98">
        <v>5.6414166665833303</v>
      </c>
      <c r="R98">
        <v>5.1464999999999996</v>
      </c>
      <c r="S98">
        <v>5.0315833333333302</v>
      </c>
      <c r="T98">
        <v>4.9351666665833296</v>
      </c>
      <c r="U98">
        <v>4.9047499998333404</v>
      </c>
      <c r="V98">
        <v>4.6619999999166604</v>
      </c>
      <c r="W98">
        <v>4.6836666665833304</v>
      </c>
      <c r="X98">
        <v>5.0026666664166601</v>
      </c>
      <c r="Y98">
        <v>4.9760833333333396</v>
      </c>
      <c r="Z98">
        <v>5.5893333333333297</v>
      </c>
      <c r="AA98">
        <v>6.0699166666666704</v>
      </c>
      <c r="AB98">
        <v>7.2651666665833297</v>
      </c>
      <c r="AC98">
        <v>7.8179999999999996</v>
      </c>
      <c r="AD98">
        <v>7.7907500000000001</v>
      </c>
      <c r="AE98">
        <v>7.8033333333333301</v>
      </c>
      <c r="AF98">
        <v>7.7982500000000003</v>
      </c>
      <c r="AG98">
        <v>7.806</v>
      </c>
      <c r="AH98">
        <v>7.7999166666666602</v>
      </c>
      <c r="AI98">
        <v>7.7897499999999997</v>
      </c>
      <c r="AJ98">
        <v>7.7711666666666703</v>
      </c>
      <c r="AK98">
        <v>7.7405833333333298</v>
      </c>
      <c r="AL98">
        <v>7.7355833333333299</v>
      </c>
      <c r="AM98">
        <v>7.7284166666666696</v>
      </c>
      <c r="AN98">
        <v>7.7358333333333302</v>
      </c>
      <c r="AO98">
        <v>7.7342541666666698</v>
      </c>
      <c r="AP98">
        <v>7.7420833333333299</v>
      </c>
      <c r="AQ98">
        <v>7.7453333333333303</v>
      </c>
      <c r="AR98">
        <v>7.7575000000000003</v>
      </c>
      <c r="AS98">
        <v>7.7911666666666699</v>
      </c>
      <c r="AT98">
        <v>7.7987500000000001</v>
      </c>
      <c r="AU98">
        <v>7.7989166666666696</v>
      </c>
      <c r="AV98">
        <v>7.7867499999999996</v>
      </c>
      <c r="AW98">
        <v>7.7880000000000003</v>
      </c>
      <c r="AX98">
        <v>7.7773333333333303</v>
      </c>
      <c r="AY98">
        <v>7.7678333333333303</v>
      </c>
      <c r="AZ98">
        <v>7.8014166666666602</v>
      </c>
      <c r="BA98">
        <v>7.7868333333333304</v>
      </c>
      <c r="BB98">
        <v>7.7517500000000004</v>
      </c>
      <c r="BC98">
        <v>7.7691666666666697</v>
      </c>
      <c r="BD98">
        <v>7.7839999999999998</v>
      </c>
      <c r="BE98">
        <v>7.7564166666666603</v>
      </c>
      <c r="BF98">
        <v>7.7560000000000002</v>
      </c>
      <c r="BG98">
        <v>7.7540833333333303</v>
      </c>
      <c r="BH98">
        <v>7.7517500000000004</v>
      </c>
      <c r="BI98">
        <v>7.7622499999999999</v>
      </c>
      <c r="BJ98">
        <v>7.7932499999999996</v>
      </c>
      <c r="BK98">
        <v>7.8384999999999998</v>
      </c>
      <c r="BL98">
        <v>7.8359166666666704</v>
      </c>
      <c r="BM98">
        <v>7.75725</v>
      </c>
      <c r="BN98">
        <v>7.77325</v>
      </c>
      <c r="BO98">
        <v>7.8314166666666596</v>
      </c>
      <c r="BP98">
        <v>7.8295833333333302</v>
      </c>
      <c r="BQ98">
        <v>7.8038333333333396</v>
      </c>
    </row>
    <row r="99" spans="1:69" x14ac:dyDescent="0.3">
      <c r="A99" t="s">
        <v>200</v>
      </c>
      <c r="B99" t="s">
        <v>201</v>
      </c>
      <c r="C99" t="s">
        <v>6</v>
      </c>
      <c r="D99" t="s">
        <v>7</v>
      </c>
      <c r="E99">
        <v>2.0000000010000001</v>
      </c>
      <c r="F99">
        <v>2.0000000010000001</v>
      </c>
      <c r="G99">
        <v>2.0000000010000001</v>
      </c>
      <c r="H99">
        <v>2.0000000010000001</v>
      </c>
      <c r="I99">
        <v>2.0000000010000001</v>
      </c>
      <c r="J99">
        <v>2.0000000010000001</v>
      </c>
      <c r="K99">
        <v>2.0000000010000001</v>
      </c>
      <c r="L99">
        <v>2.0000000010000001</v>
      </c>
      <c r="M99">
        <v>2.0000000010000001</v>
      </c>
      <c r="N99">
        <v>2.0000000010000001</v>
      </c>
      <c r="O99">
        <v>2.0000000010000001</v>
      </c>
      <c r="P99">
        <v>2.0000000009166699</v>
      </c>
      <c r="Q99">
        <v>2.0000092114837398</v>
      </c>
      <c r="R99">
        <v>2.0000007683144401</v>
      </c>
      <c r="S99">
        <v>2.00000000041448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S99">
        <v>14.840624999999999</v>
      </c>
      <c r="AT99">
        <v>15.476825</v>
      </c>
      <c r="AU99">
        <v>16.437058333333301</v>
      </c>
      <c r="AV99">
        <v>17.352491666666701</v>
      </c>
      <c r="AW99">
        <v>18.209724999999999</v>
      </c>
      <c r="AX99">
        <v>18.8323416666667</v>
      </c>
      <c r="AY99">
        <v>18.895208333333301</v>
      </c>
      <c r="AZ99">
        <v>18.895099999999999</v>
      </c>
      <c r="BA99">
        <v>18.9037583333333</v>
      </c>
      <c r="BB99">
        <v>18.895099999999999</v>
      </c>
      <c r="BC99">
        <v>18.895099999999999</v>
      </c>
      <c r="BD99">
        <v>18.917141666666701</v>
      </c>
      <c r="BE99">
        <v>19.502249512161502</v>
      </c>
      <c r="BF99">
        <v>20.353779166666701</v>
      </c>
      <c r="BG99">
        <v>20.987158333333301</v>
      </c>
      <c r="BH99">
        <v>21.945174999999999</v>
      </c>
      <c r="BI99">
        <v>22.835018390426001</v>
      </c>
      <c r="BJ99">
        <v>23.4870839434552</v>
      </c>
      <c r="BK99">
        <v>23.902728292543198</v>
      </c>
      <c r="BL99">
        <v>24.508538914892601</v>
      </c>
      <c r="BM99">
        <v>24.581880517284599</v>
      </c>
      <c r="BN99">
        <v>24.0166553242681</v>
      </c>
      <c r="BO99">
        <v>24.485873729113099</v>
      </c>
      <c r="BP99">
        <v>24.601646823681801</v>
      </c>
      <c r="BQ99">
        <v>24.799282441552101</v>
      </c>
    </row>
    <row r="100" spans="1:69" x14ac:dyDescent="0.3">
      <c r="A100" t="s">
        <v>202</v>
      </c>
      <c r="B100" t="s">
        <v>203</v>
      </c>
      <c r="C100" t="s">
        <v>6</v>
      </c>
      <c r="D100" t="s">
        <v>7</v>
      </c>
    </row>
    <row r="101" spans="1:69" x14ac:dyDescent="0.3">
      <c r="A101" t="s">
        <v>204</v>
      </c>
      <c r="B101" t="s">
        <v>205</v>
      </c>
      <c r="C101" t="s">
        <v>6</v>
      </c>
      <c r="D101" t="s">
        <v>7</v>
      </c>
      <c r="AK101">
        <v>0.26329825000000001</v>
      </c>
      <c r="AL101">
        <v>3.5791489166666701</v>
      </c>
      <c r="AM101">
        <v>5.99801141666667</v>
      </c>
      <c r="AN101">
        <v>5.23075608333333</v>
      </c>
      <c r="AO101">
        <v>5.4341611666666703</v>
      </c>
      <c r="AP101">
        <v>6.1605825833333299</v>
      </c>
      <c r="AQ101">
        <v>6.3632856666666697</v>
      </c>
      <c r="AR101">
        <v>7.1117428333333299</v>
      </c>
      <c r="AS101">
        <v>8.2776664166666691</v>
      </c>
      <c r="AT101">
        <v>8.3415409999999994</v>
      </c>
      <c r="AU101">
        <v>7.8716825000000004</v>
      </c>
      <c r="AV101">
        <v>6.7049688333333304</v>
      </c>
      <c r="AW101">
        <v>6.0343406666666697</v>
      </c>
      <c r="AX101">
        <v>5.9492369166666697</v>
      </c>
      <c r="AY101">
        <v>5.8377932499999998</v>
      </c>
      <c r="AZ101">
        <v>5.3645356666666704</v>
      </c>
      <c r="BA101">
        <v>4.9350397499999996</v>
      </c>
      <c r="BB101">
        <v>5.2839464166666703</v>
      </c>
      <c r="BC101">
        <v>5.4980105833333299</v>
      </c>
      <c r="BD101">
        <v>5.3438697499999996</v>
      </c>
      <c r="BE101">
        <v>5.8502918333333298</v>
      </c>
      <c r="BF101">
        <v>5.70488016666667</v>
      </c>
      <c r="BG101">
        <v>5.7481654166666702</v>
      </c>
      <c r="BH101">
        <v>6.8583037500000001</v>
      </c>
      <c r="BI101">
        <v>6.8059901666666702</v>
      </c>
      <c r="BJ101">
        <v>6.623831</v>
      </c>
      <c r="BK101">
        <v>6.2790252500000001</v>
      </c>
      <c r="BL101">
        <v>6.6225451666666704</v>
      </c>
      <c r="BM101">
        <v>6.6140555000000001</v>
      </c>
      <c r="BN101">
        <v>6.3600831666666702</v>
      </c>
      <c r="BO101">
        <v>7.1597415</v>
      </c>
      <c r="BP101">
        <v>0.92483955847069799</v>
      </c>
      <c r="BQ101">
        <v>0.92388954611760699</v>
      </c>
    </row>
    <row r="102" spans="1:69" x14ac:dyDescent="0.3">
      <c r="A102" t="s">
        <v>206</v>
      </c>
      <c r="B102" t="s">
        <v>207</v>
      </c>
      <c r="C102" t="s">
        <v>6</v>
      </c>
      <c r="D102" t="s">
        <v>7</v>
      </c>
      <c r="E102">
        <v>5.0000000040000003</v>
      </c>
      <c r="F102">
        <v>5.0000000040000003</v>
      </c>
      <c r="G102">
        <v>5.0000000040000003</v>
      </c>
      <c r="H102">
        <v>5.0000000040000003</v>
      </c>
      <c r="I102">
        <v>5.0000000040000003</v>
      </c>
      <c r="J102">
        <v>5.0000000040000003</v>
      </c>
      <c r="K102">
        <v>5.0000000040000003</v>
      </c>
      <c r="L102">
        <v>5.0000000040000003</v>
      </c>
      <c r="M102">
        <v>5.0000000040000003</v>
      </c>
      <c r="N102">
        <v>5.0000000040000003</v>
      </c>
      <c r="O102">
        <v>5.0000000040000003</v>
      </c>
      <c r="P102">
        <v>5.0000000035833301</v>
      </c>
      <c r="Q102">
        <v>5.00001842480959</v>
      </c>
      <c r="R102">
        <v>5.0000084459708196</v>
      </c>
      <c r="S102">
        <v>5.0000041458920101</v>
      </c>
      <c r="T102">
        <v>4.9999999989999999</v>
      </c>
      <c r="U102">
        <v>4.9999999989999999</v>
      </c>
      <c r="V102">
        <v>4.9999999989999999</v>
      </c>
      <c r="W102">
        <v>4.9999999989999999</v>
      </c>
      <c r="X102">
        <v>4.9999999989999999</v>
      </c>
      <c r="Y102">
        <v>4.9999999989999999</v>
      </c>
      <c r="Z102">
        <v>4.9999999989999999</v>
      </c>
      <c r="AA102">
        <v>4.9999999989999999</v>
      </c>
      <c r="AB102">
        <v>4.9999999989999999</v>
      </c>
      <c r="AC102">
        <v>4.9999999995833297</v>
      </c>
      <c r="AD102">
        <v>5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6.0341666666666702</v>
      </c>
      <c r="AK102">
        <v>9.8016666666666694</v>
      </c>
      <c r="AL102">
        <v>12.8225</v>
      </c>
      <c r="AM102">
        <v>15.04</v>
      </c>
      <c r="AN102">
        <v>15.109733333333301</v>
      </c>
      <c r="AO102">
        <v>15.70115</v>
      </c>
      <c r="AP102">
        <v>16.654499999999999</v>
      </c>
      <c r="AQ102">
        <v>16.7656666666667</v>
      </c>
      <c r="AR102">
        <v>16.937891666666701</v>
      </c>
      <c r="AS102">
        <v>21.170666666666701</v>
      </c>
      <c r="AT102">
        <v>24.429083333333299</v>
      </c>
      <c r="AU102">
        <v>29.2504833333333</v>
      </c>
      <c r="AV102">
        <v>42.366758333333401</v>
      </c>
      <c r="AW102">
        <v>38.352033333333303</v>
      </c>
      <c r="AX102">
        <v>40.448549999999997</v>
      </c>
      <c r="AY102">
        <v>40.4085166666666</v>
      </c>
      <c r="AZ102">
        <v>36.861416666666699</v>
      </c>
      <c r="BA102">
        <v>39.1075916666667</v>
      </c>
      <c r="BB102">
        <v>41.197608333333299</v>
      </c>
      <c r="BC102">
        <v>39.797400000000003</v>
      </c>
      <c r="BD102">
        <v>40.522821939374502</v>
      </c>
      <c r="BE102">
        <v>41.949722952315597</v>
      </c>
      <c r="BF102">
        <v>43.462783333333299</v>
      </c>
      <c r="BG102">
        <v>45.2159808923792</v>
      </c>
      <c r="BH102">
        <v>50.706426673943902</v>
      </c>
      <c r="BI102">
        <v>63.335818369892401</v>
      </c>
      <c r="BJ102">
        <v>64.769680284992802</v>
      </c>
      <c r="BK102">
        <v>68.031753981281199</v>
      </c>
      <c r="BL102">
        <v>88.814966176919299</v>
      </c>
      <c r="BM102">
        <v>93.509807213621301</v>
      </c>
      <c r="BN102">
        <v>89.226636511630403</v>
      </c>
      <c r="BO102">
        <v>115.630715521746</v>
      </c>
      <c r="BP102">
        <v>141.03591270218899</v>
      </c>
      <c r="BQ102">
        <v>131.81099166666701</v>
      </c>
    </row>
    <row r="103" spans="1:69" x14ac:dyDescent="0.3">
      <c r="A103" t="s">
        <v>208</v>
      </c>
      <c r="B103" t="s">
        <v>209</v>
      </c>
      <c r="C103" t="s">
        <v>6</v>
      </c>
      <c r="D103" t="s">
        <v>7</v>
      </c>
      <c r="M103">
        <v>59.999999999000003</v>
      </c>
      <c r="N103">
        <v>59.999999999000003</v>
      </c>
      <c r="O103">
        <v>59.999999999000003</v>
      </c>
      <c r="P103">
        <v>59.821616665666703</v>
      </c>
      <c r="Q103">
        <v>55.259999999000001</v>
      </c>
      <c r="R103">
        <v>48.966224998999998</v>
      </c>
      <c r="S103">
        <v>46.752399998999998</v>
      </c>
      <c r="T103">
        <v>43.971383332333303</v>
      </c>
      <c r="U103">
        <v>41.575266665666703</v>
      </c>
      <c r="V103">
        <v>40.960749999000001</v>
      </c>
      <c r="W103">
        <v>37.911349999000002</v>
      </c>
      <c r="X103">
        <v>35.577999998999999</v>
      </c>
      <c r="Y103">
        <v>32.5322833323333</v>
      </c>
      <c r="Z103">
        <v>34.314291665666701</v>
      </c>
      <c r="AA103">
        <v>36.630549999000003</v>
      </c>
      <c r="AB103">
        <v>42.671149999000001</v>
      </c>
      <c r="AC103">
        <v>48.042208332916701</v>
      </c>
      <c r="AD103">
        <v>50.119399999999999</v>
      </c>
      <c r="AE103">
        <v>45.832149999999999</v>
      </c>
      <c r="AF103">
        <v>46.970541666666698</v>
      </c>
      <c r="AG103">
        <v>50.413208333333401</v>
      </c>
      <c r="AH103">
        <v>59.066341666666702</v>
      </c>
      <c r="AI103">
        <v>63.205866666666701</v>
      </c>
      <c r="AJ103">
        <v>74.735383333333303</v>
      </c>
      <c r="AK103">
        <v>78.988391666666701</v>
      </c>
      <c r="AL103">
        <v>91.933183333333304</v>
      </c>
      <c r="AM103">
        <v>105.160458333333</v>
      </c>
      <c r="AN103">
        <v>125.681425</v>
      </c>
      <c r="AO103">
        <v>152.64666666666699</v>
      </c>
      <c r="AP103">
        <v>186.789166666667</v>
      </c>
      <c r="AQ103">
        <v>214.40166666666701</v>
      </c>
      <c r="AR103">
        <v>237.145833333333</v>
      </c>
      <c r="AS103">
        <v>282.17916666666702</v>
      </c>
      <c r="AT103">
        <v>286.49</v>
      </c>
      <c r="AU103">
        <v>257.886666666667</v>
      </c>
      <c r="AV103">
        <v>224.30666666666701</v>
      </c>
      <c r="AW103">
        <v>202.745833333333</v>
      </c>
      <c r="AX103">
        <v>199.58250000000001</v>
      </c>
      <c r="AY103">
        <v>210.39</v>
      </c>
      <c r="AZ103">
        <v>183.62583333333299</v>
      </c>
      <c r="BA103">
        <v>172.113333333333</v>
      </c>
      <c r="BB103">
        <v>202.34166666666701</v>
      </c>
      <c r="BC103">
        <v>207.944166666667</v>
      </c>
      <c r="BD103">
        <v>201.05500000000001</v>
      </c>
      <c r="BE103">
        <v>225.104166666667</v>
      </c>
      <c r="BF103">
        <v>223.69499999999999</v>
      </c>
      <c r="BG103">
        <v>232.601666666667</v>
      </c>
      <c r="BH103">
        <v>279.33249999999998</v>
      </c>
      <c r="BI103">
        <v>281.52333333333303</v>
      </c>
      <c r="BJ103">
        <v>274.433333333333</v>
      </c>
      <c r="BK103">
        <v>270.21166666666699</v>
      </c>
      <c r="BL103">
        <v>290.66000000000003</v>
      </c>
      <c r="BM103">
        <v>307.99666666666701</v>
      </c>
      <c r="BN103">
        <v>303.14083333333298</v>
      </c>
      <c r="BO103">
        <v>372.59583333333302</v>
      </c>
      <c r="BP103">
        <v>353.08833333333303</v>
      </c>
      <c r="BQ103">
        <v>365.69083333333299</v>
      </c>
    </row>
    <row r="104" spans="1:69" x14ac:dyDescent="0.3">
      <c r="A104" t="s">
        <v>210</v>
      </c>
      <c r="B104" t="s">
        <v>211</v>
      </c>
      <c r="C104" t="s">
        <v>6</v>
      </c>
      <c r="D104" t="s">
        <v>7</v>
      </c>
    </row>
    <row r="105" spans="1:69" x14ac:dyDescent="0.3">
      <c r="A105" t="s">
        <v>212</v>
      </c>
      <c r="B105" t="s">
        <v>213</v>
      </c>
      <c r="C105" t="s">
        <v>6</v>
      </c>
      <c r="D105" t="s">
        <v>7</v>
      </c>
    </row>
    <row r="106" spans="1:69" x14ac:dyDescent="0.3">
      <c r="A106" t="s">
        <v>214</v>
      </c>
      <c r="B106" t="s">
        <v>215</v>
      </c>
      <c r="C106" t="s">
        <v>6</v>
      </c>
      <c r="D106" t="s">
        <v>7</v>
      </c>
    </row>
    <row r="107" spans="1:69" x14ac:dyDescent="0.3">
      <c r="A107" t="s">
        <v>216</v>
      </c>
      <c r="B107" t="s">
        <v>217</v>
      </c>
      <c r="C107" t="s">
        <v>6</v>
      </c>
      <c r="D107" t="s">
        <v>7</v>
      </c>
    </row>
    <row r="108" spans="1:69" x14ac:dyDescent="0.3">
      <c r="A108" t="s">
        <v>218</v>
      </c>
      <c r="B108" t="s">
        <v>219</v>
      </c>
      <c r="C108" t="s">
        <v>6</v>
      </c>
      <c r="D108" t="s">
        <v>7</v>
      </c>
      <c r="L108">
        <v>149.583333333333</v>
      </c>
      <c r="M108">
        <v>296.29166666666703</v>
      </c>
      <c r="N108">
        <v>326</v>
      </c>
      <c r="O108">
        <v>362.83333333333297</v>
      </c>
      <c r="P108">
        <v>391.875</v>
      </c>
      <c r="Q108">
        <v>415</v>
      </c>
      <c r="R108">
        <v>415</v>
      </c>
      <c r="S108">
        <v>415</v>
      </c>
      <c r="T108">
        <v>414.99999999900001</v>
      </c>
      <c r="U108">
        <v>414.99999999900001</v>
      </c>
      <c r="V108">
        <v>414.99999999900001</v>
      </c>
      <c r="W108">
        <v>442.045416665917</v>
      </c>
      <c r="X108">
        <v>623.05549999908305</v>
      </c>
      <c r="Y108">
        <v>626.99399999858304</v>
      </c>
      <c r="Z108">
        <v>631.75666666416703</v>
      </c>
      <c r="AA108">
        <v>661.42074999925001</v>
      </c>
      <c r="AB108">
        <v>909.26483333199997</v>
      </c>
      <c r="AC108">
        <v>1025.9448333314999</v>
      </c>
      <c r="AD108">
        <v>1110.57999999967</v>
      </c>
      <c r="AE108">
        <v>1282.5599999997501</v>
      </c>
      <c r="AF108">
        <v>1643.8483333333299</v>
      </c>
      <c r="AG108">
        <v>1685.7041666666701</v>
      </c>
      <c r="AH108">
        <v>1770.0591666666701</v>
      </c>
      <c r="AI108">
        <v>1842.8133333333301</v>
      </c>
      <c r="AJ108">
        <v>1950.3175000000001</v>
      </c>
      <c r="AK108">
        <v>2029.9208333333299</v>
      </c>
      <c r="AL108">
        <v>2087.10386666667</v>
      </c>
      <c r="AM108">
        <v>2160.7536749999999</v>
      </c>
      <c r="AN108">
        <v>2248.6079749999999</v>
      </c>
      <c r="AO108">
        <v>2342.2962916666702</v>
      </c>
      <c r="AP108">
        <v>2909.38</v>
      </c>
      <c r="AQ108">
        <v>10013.622499999999</v>
      </c>
      <c r="AR108">
        <v>7855.15</v>
      </c>
      <c r="AS108">
        <v>8421.7749999999996</v>
      </c>
      <c r="AT108">
        <v>10260.85</v>
      </c>
      <c r="AU108">
        <v>9311.1916666666693</v>
      </c>
      <c r="AV108">
        <v>8577.1333333333405</v>
      </c>
      <c r="AW108">
        <v>8938.85</v>
      </c>
      <c r="AX108">
        <v>9704.7416666666595</v>
      </c>
      <c r="AY108">
        <v>9159.3166666666693</v>
      </c>
      <c r="AZ108">
        <v>9141</v>
      </c>
      <c r="BA108">
        <v>9698.9624999999996</v>
      </c>
      <c r="BB108">
        <v>10389.9375</v>
      </c>
      <c r="BC108">
        <v>9090.4333333333307</v>
      </c>
      <c r="BD108">
        <v>8770.4333333333307</v>
      </c>
      <c r="BE108">
        <v>9386.6291666666693</v>
      </c>
      <c r="BF108">
        <v>10461.24</v>
      </c>
      <c r="BG108">
        <v>11865.2112962963</v>
      </c>
      <c r="BH108">
        <v>13389.412936507901</v>
      </c>
      <c r="BI108">
        <v>13308.3268020542</v>
      </c>
      <c r="BJ108">
        <v>13380.8338788891</v>
      </c>
      <c r="BK108">
        <v>14236.938773481799</v>
      </c>
      <c r="BL108">
        <v>14147.671360545401</v>
      </c>
      <c r="BM108">
        <v>14582.203467817701</v>
      </c>
      <c r="BN108">
        <v>14308.1439011897</v>
      </c>
      <c r="BO108">
        <v>14849.8539362105</v>
      </c>
      <c r="BP108">
        <v>15236.884662050599</v>
      </c>
      <c r="BQ108">
        <v>15855.448286671101</v>
      </c>
    </row>
    <row r="109" spans="1:69" x14ac:dyDescent="0.3">
      <c r="A109" t="s">
        <v>220</v>
      </c>
      <c r="B109" t="s">
        <v>221</v>
      </c>
      <c r="C109" t="s">
        <v>6</v>
      </c>
      <c r="D109" t="s">
        <v>7</v>
      </c>
    </row>
    <row r="110" spans="1:69" x14ac:dyDescent="0.3">
      <c r="A110" t="s">
        <v>222</v>
      </c>
      <c r="B110" t="s">
        <v>223</v>
      </c>
      <c r="C110" t="s">
        <v>6</v>
      </c>
      <c r="D110" t="s">
        <v>7</v>
      </c>
      <c r="E110">
        <v>0.357142999357143</v>
      </c>
      <c r="F110">
        <v>0.357142999357143</v>
      </c>
      <c r="G110">
        <v>0.357142999357143</v>
      </c>
      <c r="H110">
        <v>0.357142999357143</v>
      </c>
      <c r="I110">
        <v>0.357142999357143</v>
      </c>
      <c r="J110">
        <v>0.357142999357143</v>
      </c>
      <c r="K110">
        <v>0.357142999357143</v>
      </c>
      <c r="L110">
        <v>0.36210333266567502</v>
      </c>
      <c r="M110">
        <v>0.41666699941666702</v>
      </c>
      <c r="N110">
        <v>0.41666699941666702</v>
      </c>
      <c r="O110">
        <v>0.41666699941666702</v>
      </c>
      <c r="P110">
        <v>0.41092023742942502</v>
      </c>
      <c r="Q110">
        <v>0.40039046153000801</v>
      </c>
      <c r="R110">
        <v>0.40817094529930797</v>
      </c>
      <c r="S110">
        <v>0.42775643974766298</v>
      </c>
      <c r="T110">
        <v>0.45204116566666702</v>
      </c>
      <c r="U110">
        <v>0.55650983233333295</v>
      </c>
      <c r="V110">
        <v>0.57327199900000003</v>
      </c>
      <c r="W110">
        <v>0.52150458233333297</v>
      </c>
      <c r="X110">
        <v>0.47218116566666701</v>
      </c>
      <c r="Y110">
        <v>0.43029499900000001</v>
      </c>
      <c r="Z110">
        <v>0.49764133233333302</v>
      </c>
      <c r="AA110">
        <v>0.57244683233333304</v>
      </c>
      <c r="AB110">
        <v>0.65972458233333298</v>
      </c>
      <c r="AC110">
        <v>0.75180666625000003</v>
      </c>
      <c r="AD110">
        <v>0.77924599974999997</v>
      </c>
      <c r="AE110">
        <v>0.68219733333333299</v>
      </c>
      <c r="AF110">
        <v>0.61192650000000004</v>
      </c>
      <c r="AG110">
        <v>0.56217016666666697</v>
      </c>
      <c r="AH110">
        <v>0.61117275000000004</v>
      </c>
      <c r="AI110">
        <v>0.56317716666666695</v>
      </c>
      <c r="AJ110">
        <v>0.56701533333333298</v>
      </c>
      <c r="AK110">
        <v>0.56977416666666703</v>
      </c>
      <c r="AL110">
        <v>0.66675655333333295</v>
      </c>
      <c r="AM110">
        <v>0.65342660416666698</v>
      </c>
      <c r="AN110">
        <v>0.63366811999999995</v>
      </c>
      <c r="AO110">
        <v>0.64095825500000003</v>
      </c>
      <c r="AP110">
        <v>0.61083611416666705</v>
      </c>
      <c r="AQ110">
        <v>0.60382359416666698</v>
      </c>
      <c r="AR110">
        <v>0.61805684500000002</v>
      </c>
      <c r="AS110">
        <v>0.66093083333333302</v>
      </c>
      <c r="AT110">
        <v>0.69465500000000002</v>
      </c>
      <c r="AU110">
        <v>0.66722333333333295</v>
      </c>
      <c r="AV110">
        <v>0.61247249999999998</v>
      </c>
      <c r="AW110">
        <v>0.54618</v>
      </c>
      <c r="AX110">
        <v>0.54999833333333303</v>
      </c>
      <c r="AY110">
        <v>0.54348666666666701</v>
      </c>
      <c r="AZ110">
        <v>0.499771666666667</v>
      </c>
      <c r="BA110">
        <v>0.54396624999999998</v>
      </c>
      <c r="BB110">
        <v>0.64191926349599604</v>
      </c>
      <c r="BC110">
        <v>0.64717934556016499</v>
      </c>
      <c r="BD110">
        <v>0.62414083574049495</v>
      </c>
      <c r="BE110">
        <v>0.63304698885732702</v>
      </c>
      <c r="BF110">
        <v>0.63966057761347705</v>
      </c>
      <c r="BG110">
        <v>0.60772962687825505</v>
      </c>
      <c r="BH110">
        <v>0.65454547893142601</v>
      </c>
      <c r="BI110">
        <v>0.74063446369708397</v>
      </c>
      <c r="BJ110">
        <v>0.77697668234412298</v>
      </c>
      <c r="BK110">
        <v>0.74953154025984703</v>
      </c>
      <c r="BL110">
        <v>0.78344511001192896</v>
      </c>
      <c r="BM110">
        <v>0.77999957669715303</v>
      </c>
      <c r="BN110">
        <v>0.72706494468832195</v>
      </c>
      <c r="BO110">
        <v>0.811301715827773</v>
      </c>
      <c r="BP110">
        <v>0.80453890673435302</v>
      </c>
      <c r="BQ110">
        <v>0.78241458098626204</v>
      </c>
    </row>
    <row r="111" spans="1:69" x14ac:dyDescent="0.3">
      <c r="A111" t="s">
        <v>224</v>
      </c>
      <c r="B111" t="s">
        <v>225</v>
      </c>
      <c r="C111" t="s">
        <v>6</v>
      </c>
      <c r="D111" t="s">
        <v>7</v>
      </c>
      <c r="E111">
        <v>4.7619000037618999</v>
      </c>
      <c r="F111">
        <v>4.7619000037618999</v>
      </c>
      <c r="G111">
        <v>4.7619000037618999</v>
      </c>
      <c r="H111">
        <v>4.7619000037618999</v>
      </c>
      <c r="I111">
        <v>4.7619000037618999</v>
      </c>
      <c r="J111">
        <v>4.7619000037618999</v>
      </c>
      <c r="K111">
        <v>6.3591250053591297</v>
      </c>
      <c r="L111">
        <v>7.5000000064999996</v>
      </c>
      <c r="M111">
        <v>7.5000000064999996</v>
      </c>
      <c r="N111">
        <v>7.5000000064999996</v>
      </c>
      <c r="O111">
        <v>7.5000000064999996</v>
      </c>
      <c r="P111">
        <v>7.4919352309682399</v>
      </c>
      <c r="Q111">
        <v>7.5944683739493604</v>
      </c>
      <c r="R111">
        <v>7.7420385621496797</v>
      </c>
      <c r="S111">
        <v>8.1016032272183001</v>
      </c>
      <c r="T111">
        <v>8.3758919456538603</v>
      </c>
      <c r="U111">
        <v>8.9604127281239201</v>
      </c>
      <c r="V111">
        <v>8.7385761713145804</v>
      </c>
      <c r="W111">
        <v>8.1928403484039301</v>
      </c>
      <c r="X111">
        <v>8.12579094635689</v>
      </c>
      <c r="Y111">
        <v>7.8629447011379803</v>
      </c>
      <c r="Z111">
        <v>8.6585228170931696</v>
      </c>
      <c r="AA111">
        <v>9.4551319334863901</v>
      </c>
      <c r="AB111">
        <v>10.098898244046101</v>
      </c>
      <c r="AC111">
        <v>11.3625833326667</v>
      </c>
      <c r="AD111">
        <v>12.368749999583301</v>
      </c>
      <c r="AE111">
        <v>12.61083333325</v>
      </c>
      <c r="AF111">
        <v>12.961499999999999</v>
      </c>
      <c r="AG111">
        <v>13.9170833333333</v>
      </c>
      <c r="AH111">
        <v>16.2255</v>
      </c>
      <c r="AI111">
        <v>17.503499999999999</v>
      </c>
      <c r="AJ111">
        <v>22.742433333333299</v>
      </c>
      <c r="AK111">
        <v>25.9180833333333</v>
      </c>
      <c r="AL111">
        <v>30.4932916666667</v>
      </c>
      <c r="AM111">
        <v>31.373742499999999</v>
      </c>
      <c r="AN111">
        <v>32.4270766666667</v>
      </c>
      <c r="AO111">
        <v>35.433173333333301</v>
      </c>
      <c r="AP111">
        <v>36.313285833333303</v>
      </c>
      <c r="AQ111">
        <v>41.259365000000003</v>
      </c>
      <c r="AR111">
        <v>43.055428333333403</v>
      </c>
      <c r="AS111">
        <v>44.941605000000003</v>
      </c>
      <c r="AT111">
        <v>47.186414166666701</v>
      </c>
      <c r="AU111">
        <v>48.610319166666699</v>
      </c>
      <c r="AV111">
        <v>46.583284166666701</v>
      </c>
      <c r="AW111">
        <v>45.316466666666599</v>
      </c>
      <c r="AX111">
        <v>44.099975000000001</v>
      </c>
      <c r="AY111">
        <v>45.3070083333333</v>
      </c>
      <c r="AZ111">
        <v>41.3485333333333</v>
      </c>
      <c r="BA111">
        <v>43.505183333333299</v>
      </c>
      <c r="BB111">
        <v>48.405266666666598</v>
      </c>
      <c r="BC111">
        <v>45.725812121212101</v>
      </c>
      <c r="BD111">
        <v>46.670466666666698</v>
      </c>
      <c r="BE111">
        <v>53.437233333333303</v>
      </c>
      <c r="BF111">
        <v>58.597845416666701</v>
      </c>
      <c r="BG111">
        <v>61.029514460784299</v>
      </c>
      <c r="BH111">
        <v>64.151944463278596</v>
      </c>
      <c r="BI111">
        <v>67.195312807389399</v>
      </c>
      <c r="BJ111">
        <v>65.121568645065906</v>
      </c>
      <c r="BK111">
        <v>68.389467093542194</v>
      </c>
      <c r="BL111">
        <v>70.420340535955106</v>
      </c>
      <c r="BM111">
        <v>74.099566883605206</v>
      </c>
      <c r="BN111">
        <v>73.918012815435105</v>
      </c>
      <c r="BO111">
        <v>78.604490582991602</v>
      </c>
      <c r="BP111">
        <v>82.599276446078406</v>
      </c>
      <c r="BQ111">
        <v>83.669281580941004</v>
      </c>
    </row>
    <row r="112" spans="1:69" x14ac:dyDescent="0.3">
      <c r="A112" t="s">
        <v>226</v>
      </c>
      <c r="B112" t="s">
        <v>227</v>
      </c>
      <c r="C112" t="s">
        <v>6</v>
      </c>
      <c r="D112" t="s">
        <v>7</v>
      </c>
    </row>
    <row r="113" spans="1:69" x14ac:dyDescent="0.3">
      <c r="A113" t="s">
        <v>228</v>
      </c>
      <c r="B113" t="s">
        <v>229</v>
      </c>
      <c r="C113" t="s">
        <v>6</v>
      </c>
      <c r="D113" t="s">
        <v>7</v>
      </c>
      <c r="E113">
        <v>0.357142999357143</v>
      </c>
      <c r="F113">
        <v>0.357142999357143</v>
      </c>
      <c r="G113">
        <v>0.357142999357143</v>
      </c>
      <c r="H113">
        <v>0.357142999357143</v>
      </c>
      <c r="I113">
        <v>0.357142999357143</v>
      </c>
      <c r="J113">
        <v>0.357142999357143</v>
      </c>
      <c r="K113">
        <v>0.357142999357143</v>
      </c>
      <c r="L113">
        <v>0.36210333266567502</v>
      </c>
      <c r="M113">
        <v>0.41666699941666702</v>
      </c>
      <c r="N113">
        <v>0.41666699941666702</v>
      </c>
      <c r="O113">
        <v>0.41666699941666702</v>
      </c>
      <c r="P113">
        <v>0.41092022003512402</v>
      </c>
      <c r="Q113">
        <v>0.40039046153000801</v>
      </c>
      <c r="R113">
        <v>0.40817094529930797</v>
      </c>
      <c r="S113">
        <v>0.42775643974766298</v>
      </c>
      <c r="T113">
        <v>0.45204116566666702</v>
      </c>
      <c r="U113">
        <v>0.55650983233333295</v>
      </c>
      <c r="V113">
        <v>0.57327199900000003</v>
      </c>
      <c r="W113">
        <v>0.52150458233333297</v>
      </c>
      <c r="X113">
        <v>0.48859487408443097</v>
      </c>
      <c r="Y113">
        <v>0.48664527682958703</v>
      </c>
      <c r="Z113">
        <v>0.62129806687560296</v>
      </c>
      <c r="AA113">
        <v>0.70456163604996103</v>
      </c>
      <c r="AB113">
        <v>0.80467792271777405</v>
      </c>
      <c r="AC113">
        <v>0.92255349958333299</v>
      </c>
      <c r="AD113">
        <v>0.94561499991666698</v>
      </c>
      <c r="AE113">
        <v>0.74312833316666704</v>
      </c>
      <c r="AF113">
        <v>0.67291666666666705</v>
      </c>
      <c r="AG113">
        <v>0.65646749999999998</v>
      </c>
      <c r="AH113">
        <v>0.70554333333333297</v>
      </c>
      <c r="AI113">
        <v>0.60458833333333295</v>
      </c>
      <c r="AJ113">
        <v>0.62129749999999995</v>
      </c>
      <c r="AK113">
        <v>0.58772083333333303</v>
      </c>
      <c r="AL113">
        <v>0.67724930666666705</v>
      </c>
      <c r="AM113">
        <v>0.66862810166666697</v>
      </c>
      <c r="AN113">
        <v>0.62373307499999997</v>
      </c>
      <c r="AO113">
        <v>0.62502836833333297</v>
      </c>
      <c r="AP113">
        <v>0.65964312666666702</v>
      </c>
      <c r="AQ113">
        <v>0.70227099833333295</v>
      </c>
      <c r="AR113">
        <v>0.93828307239528297</v>
      </c>
      <c r="AS113">
        <v>1.0827050813260199</v>
      </c>
      <c r="AT113">
        <v>1.1165330856446201</v>
      </c>
      <c r="AU113">
        <v>1.0575589962396501</v>
      </c>
      <c r="AV113">
        <v>0.88404792718492997</v>
      </c>
      <c r="AW113">
        <v>0.80392164774761798</v>
      </c>
      <c r="AX113">
        <v>0.80380019216144205</v>
      </c>
      <c r="AY113">
        <v>0.79643273094910205</v>
      </c>
      <c r="AZ113">
        <v>0.72967239998408295</v>
      </c>
      <c r="BA113">
        <v>0.67992268004272904</v>
      </c>
      <c r="BB113">
        <v>0.71695770201613596</v>
      </c>
      <c r="BC113">
        <v>0.75430899010596097</v>
      </c>
      <c r="BD113">
        <v>0.71841389865331695</v>
      </c>
      <c r="BE113">
        <v>0.77833812041681205</v>
      </c>
      <c r="BF113">
        <v>0.75294512270199598</v>
      </c>
      <c r="BG113">
        <v>0.75272819693260296</v>
      </c>
      <c r="BH113">
        <v>0.90129642336709603</v>
      </c>
      <c r="BI113">
        <v>0.90342143625726301</v>
      </c>
      <c r="BJ113">
        <v>0.88520550826937205</v>
      </c>
      <c r="BK113">
        <v>0.84677266710811105</v>
      </c>
      <c r="BL113">
        <v>0.89327625706740899</v>
      </c>
      <c r="BM113">
        <v>0.87550639698799804</v>
      </c>
      <c r="BN113">
        <v>0.84549413889045</v>
      </c>
      <c r="BO113">
        <v>0.94962375315694103</v>
      </c>
      <c r="BP113">
        <v>0.92483955847069799</v>
      </c>
      <c r="BQ113">
        <v>0.92388954611760699</v>
      </c>
    </row>
    <row r="114" spans="1:69" x14ac:dyDescent="0.3">
      <c r="A114" t="s">
        <v>230</v>
      </c>
      <c r="B114" t="s">
        <v>231</v>
      </c>
      <c r="C114" t="s">
        <v>6</v>
      </c>
      <c r="D114" t="s">
        <v>7</v>
      </c>
      <c r="E114">
        <v>75.750000075749995</v>
      </c>
      <c r="F114">
        <v>75.750000075749995</v>
      </c>
      <c r="G114">
        <v>75.750000075749995</v>
      </c>
      <c r="H114">
        <v>75.750000075749995</v>
      </c>
      <c r="I114">
        <v>75.750000075749995</v>
      </c>
      <c r="J114">
        <v>75.750000075749995</v>
      </c>
      <c r="K114">
        <v>75.750000075749995</v>
      </c>
      <c r="L114">
        <v>75.750000075749995</v>
      </c>
      <c r="M114">
        <v>75.750000075749995</v>
      </c>
      <c r="N114">
        <v>75.750000075749995</v>
      </c>
      <c r="O114">
        <v>75.750000075749995</v>
      </c>
      <c r="P114">
        <v>75.750000069437505</v>
      </c>
      <c r="Q114">
        <v>75.749970134520197</v>
      </c>
      <c r="R114">
        <v>68.886041948258494</v>
      </c>
      <c r="S114">
        <v>67.641342246617</v>
      </c>
      <c r="T114">
        <v>67.654945532440607</v>
      </c>
      <c r="U114">
        <v>70.239069861051604</v>
      </c>
      <c r="V114">
        <v>70.633731878885499</v>
      </c>
      <c r="W114">
        <v>70.492030976158105</v>
      </c>
      <c r="X114">
        <v>70.492030976158105</v>
      </c>
      <c r="Y114">
        <v>70.631848089675998</v>
      </c>
      <c r="Z114">
        <v>78.346845377736102</v>
      </c>
      <c r="AA114">
        <v>83.622670024556896</v>
      </c>
      <c r="AB114">
        <v>86.378735894077494</v>
      </c>
      <c r="AC114">
        <v>90.051439891535594</v>
      </c>
      <c r="AD114">
        <v>91.073586843975207</v>
      </c>
      <c r="AE114">
        <v>78.778783068510094</v>
      </c>
      <c r="AF114">
        <v>71.4774357190432</v>
      </c>
      <c r="AG114">
        <v>68.699764629670099</v>
      </c>
      <c r="AH114">
        <v>72.032236426367206</v>
      </c>
      <c r="AI114">
        <v>68.112372714929606</v>
      </c>
      <c r="AJ114">
        <v>67.521730014794599</v>
      </c>
      <c r="AK114">
        <v>65.567841285770598</v>
      </c>
      <c r="AL114">
        <v>1268.07876133881</v>
      </c>
      <c r="AM114">
        <v>1749.1737362507899</v>
      </c>
      <c r="AN114">
        <v>1748.3502456275901</v>
      </c>
      <c r="AO114">
        <v>1751.18635583594</v>
      </c>
      <c r="AP114">
        <v>1753.3454774828599</v>
      </c>
      <c r="AQ114">
        <v>1752.28599459359</v>
      </c>
      <c r="AR114">
        <v>1753.35494977139</v>
      </c>
      <c r="AS114">
        <v>1764.85606929191</v>
      </c>
      <c r="AT114">
        <v>1753.98568465785</v>
      </c>
      <c r="AU114">
        <v>6907.0344556165301</v>
      </c>
      <c r="AV114">
        <v>8193.8875191666702</v>
      </c>
      <c r="AW114">
        <v>8613.9894207500001</v>
      </c>
      <c r="AX114">
        <v>8963.9589066666704</v>
      </c>
      <c r="AY114">
        <v>9170.9428774999997</v>
      </c>
      <c r="AZ114">
        <v>9281.1518283333407</v>
      </c>
      <c r="BA114">
        <v>9428.5282608333291</v>
      </c>
      <c r="BB114">
        <v>9864.3024562682094</v>
      </c>
      <c r="BC114">
        <v>10254.176470289</v>
      </c>
      <c r="BD114">
        <v>10616.306643907599</v>
      </c>
      <c r="BE114">
        <v>12175.5472222222</v>
      </c>
      <c r="BF114">
        <v>18414.448010037398</v>
      </c>
      <c r="BG114">
        <v>25941.664144597202</v>
      </c>
      <c r="BH114">
        <v>29011.491377052898</v>
      </c>
      <c r="BI114">
        <v>30914.8524362967</v>
      </c>
      <c r="BJ114">
        <v>33226.298152412703</v>
      </c>
      <c r="BK114">
        <v>40864.329009777</v>
      </c>
      <c r="BL114">
        <v>42000</v>
      </c>
      <c r="BM114">
        <v>42000</v>
      </c>
      <c r="BN114">
        <v>42000</v>
      </c>
      <c r="BO114">
        <v>42000</v>
      </c>
      <c r="BP114">
        <v>42000</v>
      </c>
    </row>
    <row r="115" spans="1:69" x14ac:dyDescent="0.3">
      <c r="A115" t="s">
        <v>232</v>
      </c>
      <c r="B115" t="s">
        <v>233</v>
      </c>
      <c r="C115" t="s">
        <v>6</v>
      </c>
      <c r="D115" t="s">
        <v>7</v>
      </c>
      <c r="E115">
        <v>0.357142999357143</v>
      </c>
      <c r="F115">
        <v>0.357142999357143</v>
      </c>
      <c r="G115">
        <v>0.357142999357143</v>
      </c>
      <c r="H115">
        <v>0.357142999357143</v>
      </c>
      <c r="I115">
        <v>0.357142999357143</v>
      </c>
      <c r="J115">
        <v>0.357142999357143</v>
      </c>
      <c r="K115">
        <v>0.357142999357143</v>
      </c>
      <c r="L115">
        <v>0.357142999357143</v>
      </c>
      <c r="M115">
        <v>0.357142999357143</v>
      </c>
      <c r="N115">
        <v>0.357142999357143</v>
      </c>
      <c r="O115">
        <v>0.357142999357143</v>
      </c>
      <c r="P115">
        <v>935.61783500527395</v>
      </c>
      <c r="Q115">
        <v>2144.56721419924</v>
      </c>
      <c r="R115">
        <v>1950.84444829616</v>
      </c>
      <c r="S115">
        <v>1902.2653339082201</v>
      </c>
      <c r="T115">
        <v>1902.2653339082201</v>
      </c>
      <c r="U115">
        <v>1902.2653339082201</v>
      </c>
      <c r="V115">
        <v>1902.2653339082201</v>
      </c>
      <c r="W115">
        <v>1902.2653339082201</v>
      </c>
      <c r="X115">
        <v>1902.2653339082201</v>
      </c>
      <c r="Y115">
        <v>1902.2653339082201</v>
      </c>
      <c r="Z115">
        <v>1902.2653339082201</v>
      </c>
      <c r="AA115">
        <v>1922.92537384858</v>
      </c>
      <c r="AB115">
        <v>2002.3855794267399</v>
      </c>
      <c r="AC115">
        <v>2002.38558318428</v>
      </c>
      <c r="AD115">
        <v>2002.38558586824</v>
      </c>
      <c r="AE115">
        <v>2002.38558586824</v>
      </c>
      <c r="AF115">
        <v>2002.38558586824</v>
      </c>
      <c r="AG115">
        <v>2002.38558586824</v>
      </c>
      <c r="AH115">
        <v>2002.38558586824</v>
      </c>
      <c r="AI115">
        <v>2002.38558586824</v>
      </c>
      <c r="AJ115">
        <v>2002.38558586824</v>
      </c>
      <c r="AK115">
        <v>2002.38558586824</v>
      </c>
      <c r="AL115">
        <v>2002.38629443332</v>
      </c>
      <c r="AM115">
        <v>2002.38738948844</v>
      </c>
      <c r="AN115">
        <v>2002.38722845093</v>
      </c>
      <c r="AO115">
        <v>2002.3872123471699</v>
      </c>
      <c r="AP115">
        <v>2002.3872123471699</v>
      </c>
      <c r="AQ115">
        <v>2002.3872445546799</v>
      </c>
      <c r="AR115">
        <v>2002.3897728437</v>
      </c>
      <c r="AS115">
        <v>2002.4034073535399</v>
      </c>
      <c r="AT115">
        <v>2002.4049103703701</v>
      </c>
      <c r="AU115">
        <v>2002.37270286683</v>
      </c>
      <c r="AW115">
        <v>1453.4166666666699</v>
      </c>
      <c r="AX115">
        <v>1472</v>
      </c>
      <c r="AY115">
        <v>1467.4166666666699</v>
      </c>
      <c r="AZ115">
        <v>1254.5672185870401</v>
      </c>
      <c r="BA115">
        <v>1193.0833333333301</v>
      </c>
      <c r="BB115">
        <v>1170</v>
      </c>
      <c r="BC115">
        <v>1170</v>
      </c>
      <c r="BD115">
        <v>1170</v>
      </c>
      <c r="BE115">
        <v>1166.1666666666699</v>
      </c>
      <c r="BF115">
        <v>1166</v>
      </c>
      <c r="BG115">
        <v>1166</v>
      </c>
      <c r="BH115">
        <v>1167.3333333333301</v>
      </c>
      <c r="BI115">
        <v>1182</v>
      </c>
      <c r="BJ115">
        <v>1184</v>
      </c>
      <c r="BK115">
        <v>1182.75</v>
      </c>
      <c r="BL115">
        <v>1182</v>
      </c>
      <c r="BM115">
        <v>1192</v>
      </c>
      <c r="BN115">
        <v>1450</v>
      </c>
      <c r="BO115">
        <v>1450</v>
      </c>
      <c r="BP115">
        <v>1312.5</v>
      </c>
      <c r="BQ115">
        <v>1300</v>
      </c>
    </row>
    <row r="116" spans="1:69" x14ac:dyDescent="0.3">
      <c r="A116" t="s">
        <v>234</v>
      </c>
      <c r="B116" t="s">
        <v>235</v>
      </c>
      <c r="C116" t="s">
        <v>6</v>
      </c>
      <c r="D116" t="s">
        <v>7</v>
      </c>
      <c r="E116">
        <v>0.36190474997773803</v>
      </c>
      <c r="F116">
        <v>0.40083333330882898</v>
      </c>
      <c r="G116">
        <v>0.42999999997444099</v>
      </c>
      <c r="H116">
        <v>0.42999999997444099</v>
      </c>
      <c r="I116">
        <v>0.42999999997444099</v>
      </c>
      <c r="J116">
        <v>0.42999999997444099</v>
      </c>
      <c r="K116">
        <v>0.42999999997444099</v>
      </c>
      <c r="L116">
        <v>0.441666666559482</v>
      </c>
      <c r="M116">
        <v>0.62166666663583903</v>
      </c>
      <c r="N116">
        <v>0.87999999996815803</v>
      </c>
      <c r="O116">
        <v>0.87999999996815803</v>
      </c>
      <c r="P116">
        <v>0.87999999988747801</v>
      </c>
      <c r="Q116">
        <v>0.88260354595338897</v>
      </c>
      <c r="R116">
        <v>0.90134166652092096</v>
      </c>
      <c r="S116">
        <v>0.99951666650049897</v>
      </c>
      <c r="T116">
        <v>1.53694999974941</v>
      </c>
      <c r="U116">
        <v>1.82171666637135</v>
      </c>
      <c r="V116">
        <v>1.98869999967762</v>
      </c>
      <c r="W116">
        <v>2.7111083328974801</v>
      </c>
      <c r="X116">
        <v>3.52599999943281</v>
      </c>
      <c r="Y116">
        <v>4.7976416658989001</v>
      </c>
      <c r="Z116">
        <v>7.2241833323333298</v>
      </c>
      <c r="AA116">
        <v>12.35153333275</v>
      </c>
      <c r="AB116">
        <v>24.842766665749998</v>
      </c>
      <c r="AC116">
        <v>31.693741666249998</v>
      </c>
      <c r="AD116">
        <v>41.507666666666701</v>
      </c>
      <c r="AE116">
        <v>41.104158333333302</v>
      </c>
      <c r="AF116">
        <v>38.677183333333303</v>
      </c>
      <c r="AG116">
        <v>43.0139833333333</v>
      </c>
      <c r="AH116">
        <v>57.041791666666597</v>
      </c>
      <c r="AI116">
        <v>58.283774999999999</v>
      </c>
      <c r="AJ116">
        <v>58.996341666666702</v>
      </c>
      <c r="AK116">
        <v>57.545933333333302</v>
      </c>
      <c r="AL116">
        <v>67.6031816666666</v>
      </c>
      <c r="AM116">
        <v>69.944378333333304</v>
      </c>
      <c r="AN116">
        <v>64.691666666666606</v>
      </c>
      <c r="AO116">
        <v>66.5</v>
      </c>
      <c r="AP116">
        <v>70.904290833333306</v>
      </c>
      <c r="AQ116">
        <v>70.9583333333334</v>
      </c>
      <c r="AR116">
        <v>72.335293333333297</v>
      </c>
      <c r="AS116">
        <v>78.615946666666702</v>
      </c>
      <c r="AT116">
        <v>97.424603333333295</v>
      </c>
      <c r="AU116">
        <v>91.661666666666704</v>
      </c>
      <c r="AV116">
        <v>76.708982500000005</v>
      </c>
      <c r="AW116">
        <v>70.191666666666706</v>
      </c>
      <c r="AX116">
        <v>62.981666666666698</v>
      </c>
      <c r="AY116">
        <v>70.180000000000007</v>
      </c>
      <c r="AZ116">
        <v>64.055000000000007</v>
      </c>
      <c r="BA116">
        <v>87.9479166666667</v>
      </c>
      <c r="BB116">
        <v>123.638381413044</v>
      </c>
      <c r="BC116">
        <v>122.24181120516501</v>
      </c>
      <c r="BD116">
        <v>115.954039762284</v>
      </c>
      <c r="BE116">
        <v>125.08278701376901</v>
      </c>
      <c r="BF116">
        <v>122.17912132045799</v>
      </c>
      <c r="BG116">
        <v>116.767352506899</v>
      </c>
      <c r="BH116">
        <v>131.91870843143201</v>
      </c>
      <c r="BI116">
        <v>120.81154806523899</v>
      </c>
      <c r="BJ116">
        <v>106.839572014</v>
      </c>
      <c r="BK116">
        <v>108.300176306626</v>
      </c>
      <c r="BL116">
        <v>122.60677360190699</v>
      </c>
      <c r="BM116">
        <v>135.42171162920499</v>
      </c>
      <c r="BN116">
        <v>126.988860204557</v>
      </c>
      <c r="BO116">
        <v>135.27990200138001</v>
      </c>
      <c r="BP116">
        <v>137.94295242996699</v>
      </c>
      <c r="BQ116">
        <v>137.95802597815401</v>
      </c>
    </row>
    <row r="117" spans="1:69" x14ac:dyDescent="0.3">
      <c r="A117" t="s">
        <v>236</v>
      </c>
      <c r="B117" t="s">
        <v>237</v>
      </c>
      <c r="C117" t="s">
        <v>6</v>
      </c>
      <c r="D117" t="s">
        <v>7</v>
      </c>
      <c r="E117">
        <v>1.7999960538263101E-4</v>
      </c>
      <c r="F117">
        <v>1.7999960538263101E-4</v>
      </c>
      <c r="G117">
        <v>2.89999364288684E-4</v>
      </c>
      <c r="H117">
        <v>2.9999934237105199E-4</v>
      </c>
      <c r="I117">
        <v>2.9999934237105199E-4</v>
      </c>
      <c r="J117">
        <v>2.9999934237105199E-4</v>
      </c>
      <c r="K117">
        <v>2.9999934237105199E-4</v>
      </c>
      <c r="L117">
        <v>3.0833265743969202E-4</v>
      </c>
      <c r="M117">
        <v>3.4999923278289402E-4</v>
      </c>
      <c r="N117">
        <v>3.4999923278289402E-4</v>
      </c>
      <c r="O117">
        <v>3.4999923278289402E-4</v>
      </c>
      <c r="P117">
        <v>3.79165835522199E-4</v>
      </c>
      <c r="Q117">
        <v>4.1797967141147098E-4</v>
      </c>
      <c r="R117">
        <v>4.1946923065525998E-4</v>
      </c>
      <c r="S117">
        <v>4.4515339823069901E-4</v>
      </c>
      <c r="T117">
        <v>6.3361493114652697E-4</v>
      </c>
      <c r="U117">
        <v>7.9255714918527302E-4</v>
      </c>
      <c r="V117">
        <v>1.0445457989628E-3</v>
      </c>
      <c r="W117">
        <v>1.7435371736355201E-3</v>
      </c>
      <c r="X117">
        <v>2.5406369082757699E-3</v>
      </c>
      <c r="Y117">
        <v>5.1242916656839398E-3</v>
      </c>
      <c r="Z117">
        <v>1.14305749992885E-2</v>
      </c>
      <c r="AA117">
        <v>2.4266999999081801E-2</v>
      </c>
      <c r="AB117">
        <v>5.6214491666022902E-2</v>
      </c>
      <c r="AC117">
        <v>0.29320966666707199</v>
      </c>
      <c r="AD117">
        <v>1.1788493333343899</v>
      </c>
      <c r="AE117">
        <v>1.4878416665833301</v>
      </c>
      <c r="AF117">
        <v>1.5946416666666701</v>
      </c>
      <c r="AG117">
        <v>1.59893333333333</v>
      </c>
      <c r="AH117">
        <v>1.91641666666667</v>
      </c>
      <c r="AI117">
        <v>2.0161750000000001</v>
      </c>
      <c r="AJ117">
        <v>2.2791083333333302</v>
      </c>
      <c r="AK117">
        <v>2.45908333333333</v>
      </c>
      <c r="AL117">
        <v>2.83008333333333</v>
      </c>
      <c r="AM117">
        <v>3.01105520833333</v>
      </c>
      <c r="AN117">
        <v>3.0112916666666698</v>
      </c>
      <c r="AO117">
        <v>3.1916500000000001</v>
      </c>
      <c r="AP117">
        <v>3.4493499999999999</v>
      </c>
      <c r="AQ117">
        <v>3.8000750000000001</v>
      </c>
      <c r="AR117">
        <v>4.1397166666666703</v>
      </c>
      <c r="AS117">
        <v>4.0773333333333301</v>
      </c>
      <c r="AT117">
        <v>4.2056500000000003</v>
      </c>
      <c r="AU117">
        <v>4.737825</v>
      </c>
      <c r="AV117">
        <v>4.55413333333333</v>
      </c>
      <c r="AW117">
        <v>4.4819833333333303</v>
      </c>
      <c r="AX117">
        <v>4.4877000000000002</v>
      </c>
      <c r="AY117">
        <v>4.4558083333333398</v>
      </c>
      <c r="AZ117">
        <v>4.1080829490557704</v>
      </c>
      <c r="BA117">
        <v>3.5880211940836899</v>
      </c>
      <c r="BB117">
        <v>3.9323354779166699</v>
      </c>
      <c r="BC117">
        <v>3.7389749999999999</v>
      </c>
      <c r="BD117">
        <v>3.5781293062201001</v>
      </c>
      <c r="BE117">
        <v>3.8559218253968299</v>
      </c>
      <c r="BF117">
        <v>3.61075833333333</v>
      </c>
      <c r="BG117">
        <v>3.577925</v>
      </c>
      <c r="BH117">
        <v>3.88683333333333</v>
      </c>
      <c r="BI117">
        <v>3.8405666666666698</v>
      </c>
      <c r="BJ117">
        <v>3.5995555481283401</v>
      </c>
      <c r="BK117">
        <v>3.59055812689938</v>
      </c>
      <c r="BL117">
        <v>3.5645273466109302</v>
      </c>
      <c r="BM117">
        <v>3.4424058519879299</v>
      </c>
      <c r="BN117">
        <v>3.23019832251082</v>
      </c>
      <c r="BO117">
        <v>3.3596144015818901</v>
      </c>
      <c r="BP117">
        <v>3.6673747160226</v>
      </c>
      <c r="BQ117">
        <v>3.69971964970892</v>
      </c>
    </row>
    <row r="118" spans="1:69" x14ac:dyDescent="0.3">
      <c r="A118" t="s">
        <v>238</v>
      </c>
      <c r="B118" t="s">
        <v>239</v>
      </c>
      <c r="C118" t="s">
        <v>6</v>
      </c>
      <c r="D118" t="s">
        <v>7</v>
      </c>
      <c r="E118">
        <v>623.98633587255995</v>
      </c>
      <c r="F118">
        <v>625.00000062499998</v>
      </c>
      <c r="G118">
        <v>625.00000062499998</v>
      </c>
      <c r="H118">
        <v>625.00000062499998</v>
      </c>
      <c r="I118">
        <v>625.00000062499998</v>
      </c>
      <c r="J118">
        <v>625.00000062499998</v>
      </c>
      <c r="K118">
        <v>625.00000062499998</v>
      </c>
      <c r="L118">
        <v>625.00000062499998</v>
      </c>
      <c r="M118">
        <v>625.00000062499998</v>
      </c>
      <c r="N118">
        <v>625.00000062499998</v>
      </c>
      <c r="O118">
        <v>625.00000062499998</v>
      </c>
      <c r="P118">
        <v>620.35928929756199</v>
      </c>
      <c r="Q118">
        <v>583.21749999941699</v>
      </c>
      <c r="R118">
        <v>582.99583333191697</v>
      </c>
      <c r="S118">
        <v>650.34333333183304</v>
      </c>
      <c r="T118">
        <v>652.84916666599997</v>
      </c>
      <c r="U118">
        <v>832.33499999966705</v>
      </c>
      <c r="V118">
        <v>882.38833333125001</v>
      </c>
      <c r="W118">
        <v>848.663333330917</v>
      </c>
      <c r="X118">
        <v>830.86166666591703</v>
      </c>
      <c r="Y118">
        <v>856.44749999741703</v>
      </c>
      <c r="Z118">
        <v>1136.7649999995799</v>
      </c>
      <c r="AA118">
        <v>1352.50999999808</v>
      </c>
      <c r="AB118">
        <v>1518.84833333283</v>
      </c>
      <c r="AC118">
        <v>1756.9608333318299</v>
      </c>
      <c r="AD118">
        <v>1909.4391666639999</v>
      </c>
      <c r="AE118">
        <v>1490.8099999987501</v>
      </c>
      <c r="AF118">
        <v>1296.07</v>
      </c>
      <c r="AG118">
        <v>1301.6275000000001</v>
      </c>
      <c r="AH118">
        <v>1372.0933333333301</v>
      </c>
      <c r="AI118">
        <v>1198.1016666666701</v>
      </c>
      <c r="AJ118">
        <v>1240.61333333333</v>
      </c>
      <c r="AK118">
        <v>1232.4058333333301</v>
      </c>
      <c r="AL118">
        <v>1573.6658666666699</v>
      </c>
      <c r="AM118">
        <v>1612.4449833333299</v>
      </c>
      <c r="AN118">
        <v>1628.9331583333301</v>
      </c>
      <c r="AO118">
        <v>1542.9469666666701</v>
      </c>
      <c r="AP118">
        <v>1703.09690833333</v>
      </c>
      <c r="AQ118">
        <v>1736.20738333333</v>
      </c>
      <c r="AR118">
        <v>0.93828307239528297</v>
      </c>
      <c r="AS118">
        <v>1.0827050813260199</v>
      </c>
      <c r="AT118">
        <v>1.1165330856446201</v>
      </c>
      <c r="AU118">
        <v>1.0575589962396501</v>
      </c>
      <c r="AV118">
        <v>0.88404792718492997</v>
      </c>
      <c r="AW118">
        <v>0.80392164774761798</v>
      </c>
      <c r="AX118">
        <v>0.80380019216144205</v>
      </c>
      <c r="AY118">
        <v>0.79643273094910205</v>
      </c>
      <c r="AZ118">
        <v>0.72967239998408295</v>
      </c>
      <c r="BA118">
        <v>0.67992268004272904</v>
      </c>
      <c r="BB118">
        <v>0.71695770201613596</v>
      </c>
      <c r="BC118">
        <v>0.75430899010596097</v>
      </c>
      <c r="BD118">
        <v>0.71841389865331695</v>
      </c>
      <c r="BE118">
        <v>0.77833812041681205</v>
      </c>
      <c r="BF118">
        <v>0.75294512270199598</v>
      </c>
      <c r="BG118">
        <v>0.75272819693260296</v>
      </c>
      <c r="BH118">
        <v>0.90129642336709603</v>
      </c>
      <c r="BI118">
        <v>0.90342143625726301</v>
      </c>
      <c r="BJ118">
        <v>0.88520550826937205</v>
      </c>
      <c r="BK118">
        <v>0.84677266710811105</v>
      </c>
      <c r="BL118">
        <v>0.89327625706740899</v>
      </c>
      <c r="BM118">
        <v>0.87550639698799804</v>
      </c>
      <c r="BN118">
        <v>0.84549413889045</v>
      </c>
      <c r="BO118">
        <v>0.94962375315694103</v>
      </c>
      <c r="BP118">
        <v>0.92483955847069799</v>
      </c>
      <c r="BQ118">
        <v>0.92388954611760699</v>
      </c>
    </row>
    <row r="119" spans="1:69" x14ac:dyDescent="0.3">
      <c r="A119" t="s">
        <v>240</v>
      </c>
      <c r="B119" t="s">
        <v>241</v>
      </c>
      <c r="C119" t="s">
        <v>6</v>
      </c>
      <c r="D119" t="s">
        <v>7</v>
      </c>
      <c r="E119">
        <v>0.71428599957142902</v>
      </c>
      <c r="F119">
        <v>0.71428599957142902</v>
      </c>
      <c r="G119">
        <v>0.71428599957142902</v>
      </c>
      <c r="H119">
        <v>0.71428599957142902</v>
      </c>
      <c r="I119">
        <v>0.71428599957142902</v>
      </c>
      <c r="J119">
        <v>0.71428599957142902</v>
      </c>
      <c r="K119">
        <v>0.71428599957142902</v>
      </c>
      <c r="L119">
        <v>0.72420699954563506</v>
      </c>
      <c r="M119">
        <v>0.833333999833334</v>
      </c>
      <c r="N119">
        <v>0.83333374983333397</v>
      </c>
      <c r="O119">
        <v>0.83333299983333298</v>
      </c>
      <c r="P119">
        <v>0.832801749902778</v>
      </c>
      <c r="Q119">
        <v>0.76746000000000003</v>
      </c>
      <c r="R119">
        <v>0.90908999999999995</v>
      </c>
      <c r="S119">
        <v>0.90908999999999995</v>
      </c>
      <c r="T119">
        <v>0.90908999999999995</v>
      </c>
      <c r="U119">
        <v>0.90908999999999995</v>
      </c>
      <c r="V119">
        <v>0.90908999999999995</v>
      </c>
      <c r="W119">
        <v>1.4132583330833299</v>
      </c>
      <c r="X119">
        <v>1.7647783326666699</v>
      </c>
      <c r="Y119">
        <v>1.7814199989999999</v>
      </c>
      <c r="Z119">
        <v>1.7814199989999999</v>
      </c>
      <c r="AA119">
        <v>1.7814199989999999</v>
      </c>
      <c r="AB119">
        <v>1.9322174990000001</v>
      </c>
      <c r="AC119">
        <v>3.94280416641667</v>
      </c>
      <c r="AD119">
        <v>5.5585583331666699</v>
      </c>
      <c r="AE119">
        <v>5.4778333332500004</v>
      </c>
      <c r="AF119">
        <v>5.4866666666666699</v>
      </c>
      <c r="AG119">
        <v>5.4885541666666704</v>
      </c>
      <c r="AH119">
        <v>5.74464166666667</v>
      </c>
      <c r="AI119">
        <v>7.1840250000000001</v>
      </c>
      <c r="AJ119">
        <v>12.115875000000001</v>
      </c>
      <c r="AK119">
        <v>22.960349999999998</v>
      </c>
      <c r="AL119">
        <v>24.948550000000001</v>
      </c>
      <c r="AM119">
        <v>33.085933333333301</v>
      </c>
      <c r="AN119">
        <v>35.142116666666702</v>
      </c>
      <c r="AO119">
        <v>37.119558333333302</v>
      </c>
      <c r="AP119">
        <v>35.4044666666667</v>
      </c>
      <c r="AQ119">
        <v>36.549999999999997</v>
      </c>
      <c r="AR119">
        <v>39.043516666666697</v>
      </c>
      <c r="AS119">
        <v>42.985700000000001</v>
      </c>
      <c r="AT119">
        <v>45.996250000000003</v>
      </c>
      <c r="AU119">
        <v>48.415941666666697</v>
      </c>
      <c r="AV119">
        <v>57.740873749999999</v>
      </c>
      <c r="AW119">
        <v>61.197200000000002</v>
      </c>
      <c r="AX119">
        <v>62.280714944083698</v>
      </c>
      <c r="AY119">
        <v>65.743857539682594</v>
      </c>
      <c r="AZ119">
        <v>69.1921618494152</v>
      </c>
      <c r="BA119">
        <v>72.756203406152096</v>
      </c>
      <c r="BB119">
        <v>87.894119810653507</v>
      </c>
      <c r="BC119">
        <v>87.196146330091494</v>
      </c>
      <c r="BD119">
        <v>85.893463202276493</v>
      </c>
      <c r="BE119">
        <v>88.749802387645204</v>
      </c>
      <c r="BF119">
        <v>100.39788320357999</v>
      </c>
      <c r="BG119">
        <v>110.934527811188</v>
      </c>
      <c r="BH119">
        <v>116.969776646049</v>
      </c>
      <c r="BI119">
        <v>125.095034603174</v>
      </c>
      <c r="BJ119">
        <v>127.964544179198</v>
      </c>
      <c r="BK119">
        <v>128.87151906465999</v>
      </c>
      <c r="BL119">
        <v>133.31211833795999</v>
      </c>
      <c r="BM119">
        <v>142.402832756013</v>
      </c>
      <c r="BN119">
        <v>150.79010594302599</v>
      </c>
      <c r="BO119">
        <v>153.426816475659</v>
      </c>
      <c r="BP119">
        <v>154.15877903172199</v>
      </c>
      <c r="BQ119">
        <v>156.439540115298</v>
      </c>
    </row>
    <row r="120" spans="1:69" x14ac:dyDescent="0.3">
      <c r="A120" t="s">
        <v>242</v>
      </c>
      <c r="B120" t="s">
        <v>243</v>
      </c>
      <c r="C120" t="s">
        <v>6</v>
      </c>
      <c r="D120" t="s">
        <v>7</v>
      </c>
      <c r="E120">
        <v>0.357142999357143</v>
      </c>
      <c r="F120">
        <v>0.357142999357143</v>
      </c>
      <c r="G120">
        <v>0.357142999357143</v>
      </c>
      <c r="H120">
        <v>0.357142999357143</v>
      </c>
      <c r="I120">
        <v>0.357142999357143</v>
      </c>
      <c r="J120">
        <v>0.357142999357143</v>
      </c>
      <c r="K120">
        <v>0.357142999357143</v>
      </c>
      <c r="L120">
        <v>0.357142999357143</v>
      </c>
      <c r="M120">
        <v>0.357142999357143</v>
      </c>
      <c r="N120">
        <v>0.357142999357143</v>
      </c>
      <c r="O120">
        <v>0.357142999357143</v>
      </c>
      <c r="P120">
        <v>0.35714299932738103</v>
      </c>
      <c r="Q120">
        <v>0.35714325128914998</v>
      </c>
      <c r="R120">
        <v>0.32857086795212997</v>
      </c>
      <c r="S120">
        <v>0.32209166566666703</v>
      </c>
      <c r="T120">
        <v>0.319791665666667</v>
      </c>
      <c r="U120">
        <v>0.33198333233333299</v>
      </c>
      <c r="V120">
        <v>0.32926666566666701</v>
      </c>
      <c r="W120">
        <v>0.30562499900000001</v>
      </c>
      <c r="X120">
        <v>0.30033333233333298</v>
      </c>
      <c r="Y120">
        <v>0.29792499900000002</v>
      </c>
      <c r="Z120">
        <v>0.330433332333333</v>
      </c>
      <c r="AA120">
        <v>0.35249166566666701</v>
      </c>
      <c r="AB120">
        <v>0.36307916566666698</v>
      </c>
      <c r="AC120">
        <v>0.38446499941666701</v>
      </c>
      <c r="AD120">
        <v>0.39462499974999998</v>
      </c>
      <c r="AE120">
        <v>0.34996583316666702</v>
      </c>
      <c r="AF120">
        <v>0.33845874999999997</v>
      </c>
      <c r="AG120">
        <v>0.37429249999999997</v>
      </c>
      <c r="AH120">
        <v>0.57457583333333295</v>
      </c>
      <c r="AI120">
        <v>0.66371166666666703</v>
      </c>
      <c r="AJ120">
        <v>0.68086583333333295</v>
      </c>
      <c r="AK120">
        <v>0.67981833333333297</v>
      </c>
      <c r="AL120">
        <v>0.69285083333333297</v>
      </c>
      <c r="AM120">
        <v>0.69876416666666696</v>
      </c>
      <c r="AN120">
        <v>0.70037749999999999</v>
      </c>
      <c r="AO120">
        <v>0.70899999999999996</v>
      </c>
      <c r="AP120">
        <v>0.70899999999999996</v>
      </c>
      <c r="AQ120">
        <v>0.70899999999999996</v>
      </c>
      <c r="AR120">
        <v>0.70899999999999996</v>
      </c>
      <c r="AS120">
        <v>0.70899999999999996</v>
      </c>
      <c r="AT120">
        <v>0.708983174066667</v>
      </c>
      <c r="AU120">
        <v>0.70899983333333305</v>
      </c>
      <c r="AV120">
        <v>0.70899999999999996</v>
      </c>
      <c r="AW120">
        <v>0.70899999999999996</v>
      </c>
      <c r="AX120">
        <v>0.70899999999999996</v>
      </c>
      <c r="AY120">
        <v>0.70899999999999996</v>
      </c>
      <c r="AZ120">
        <v>0.70899976666666698</v>
      </c>
      <c r="BA120">
        <v>0.70966655000000001</v>
      </c>
      <c r="BB120">
        <v>0.71</v>
      </c>
      <c r="BC120">
        <v>0.71</v>
      </c>
      <c r="BD120">
        <v>0.71</v>
      </c>
      <c r="BE120">
        <v>0.71</v>
      </c>
      <c r="BF120">
        <v>0.71</v>
      </c>
      <c r="BG120">
        <v>0.71</v>
      </c>
      <c r="BH120">
        <v>0.71</v>
      </c>
      <c r="BI120">
        <v>0.71</v>
      </c>
      <c r="BJ120">
        <v>0.71</v>
      </c>
      <c r="BK120">
        <v>0.71</v>
      </c>
      <c r="BL120">
        <v>0.71</v>
      </c>
      <c r="BM120">
        <v>0.71</v>
      </c>
      <c r="BN120">
        <v>0.71</v>
      </c>
      <c r="BO120">
        <v>0.71</v>
      </c>
      <c r="BP120">
        <v>0.71</v>
      </c>
      <c r="BQ120">
        <v>0.71</v>
      </c>
    </row>
    <row r="121" spans="1:69" x14ac:dyDescent="0.3">
      <c r="A121" t="s">
        <v>244</v>
      </c>
      <c r="B121" t="s">
        <v>245</v>
      </c>
      <c r="C121" t="s">
        <v>6</v>
      </c>
      <c r="D121" t="s">
        <v>7</v>
      </c>
      <c r="E121">
        <v>360.00000035900001</v>
      </c>
      <c r="F121">
        <v>360.00000035900001</v>
      </c>
      <c r="G121">
        <v>360.00000035900001</v>
      </c>
      <c r="H121">
        <v>360.00000035900001</v>
      </c>
      <c r="I121">
        <v>360.00000035900001</v>
      </c>
      <c r="J121">
        <v>360.00000035900001</v>
      </c>
      <c r="K121">
        <v>360.00000035900001</v>
      </c>
      <c r="L121">
        <v>360.00000035900001</v>
      </c>
      <c r="M121">
        <v>360.00000035900001</v>
      </c>
      <c r="N121">
        <v>360.00000035900001</v>
      </c>
      <c r="O121">
        <v>360.00000035900001</v>
      </c>
      <c r="P121">
        <v>350.677693533362</v>
      </c>
      <c r="Q121">
        <v>303.17249999900002</v>
      </c>
      <c r="R121">
        <v>271.70166666608299</v>
      </c>
      <c r="S121">
        <v>292.08249999924999</v>
      </c>
      <c r="T121">
        <v>296.78749999916698</v>
      </c>
      <c r="U121">
        <v>296.55249999916703</v>
      </c>
      <c r="V121">
        <v>268.50999999933299</v>
      </c>
      <c r="W121">
        <v>210.441666666</v>
      </c>
      <c r="X121">
        <v>219.13999999933301</v>
      </c>
      <c r="Y121">
        <v>226.74083333283301</v>
      </c>
      <c r="Z121">
        <v>220.53583333275</v>
      </c>
      <c r="AA121">
        <v>249.07666666583299</v>
      </c>
      <c r="AB121">
        <v>237.51166666608299</v>
      </c>
      <c r="AC121">
        <v>237.52249999933301</v>
      </c>
      <c r="AD121">
        <v>238.53583333275</v>
      </c>
      <c r="AE121">
        <v>168.519833333083</v>
      </c>
      <c r="AF121">
        <v>144.63749999999999</v>
      </c>
      <c r="AG121">
        <v>128.15166666666701</v>
      </c>
      <c r="AH121">
        <v>137.96441666666701</v>
      </c>
      <c r="AI121">
        <v>144.79249999999999</v>
      </c>
      <c r="AJ121">
        <v>134.70666666666699</v>
      </c>
      <c r="AK121">
        <v>126.651333333333</v>
      </c>
      <c r="AL121">
        <v>111.197785833333</v>
      </c>
      <c r="AM121">
        <v>102.207805833333</v>
      </c>
      <c r="AN121">
        <v>94.059579166666694</v>
      </c>
      <c r="AO121">
        <v>108.779056666667</v>
      </c>
      <c r="AP121">
        <v>120.99086250000001</v>
      </c>
      <c r="AQ121">
        <v>130.90530066666699</v>
      </c>
      <c r="AR121">
        <v>113.90680500000001</v>
      </c>
      <c r="AS121">
        <v>107.765498333333</v>
      </c>
      <c r="AT121">
        <v>121.5289475</v>
      </c>
      <c r="AU121">
        <v>125.38801916666699</v>
      </c>
      <c r="AV121">
        <v>115.93346416666699</v>
      </c>
      <c r="AW121">
        <v>108.192569166667</v>
      </c>
      <c r="AX121">
        <v>110.218211666667</v>
      </c>
      <c r="AY121">
        <v>116.29931166666699</v>
      </c>
      <c r="AZ121">
        <v>117.75352916666699</v>
      </c>
      <c r="BA121">
        <v>103.359493968254</v>
      </c>
      <c r="BB121">
        <v>93.570089087045602</v>
      </c>
      <c r="BC121">
        <v>87.779875000000004</v>
      </c>
      <c r="BD121">
        <v>79.807019832189198</v>
      </c>
      <c r="BE121">
        <v>79.790455417006498</v>
      </c>
      <c r="BF121">
        <v>97.595658277638506</v>
      </c>
      <c r="BG121">
        <v>105.944781034025</v>
      </c>
      <c r="BH121">
        <v>121.044025684011</v>
      </c>
      <c r="BI121">
        <v>108.79290004683401</v>
      </c>
      <c r="BJ121">
        <v>112.166141081871</v>
      </c>
      <c r="BK121">
        <v>110.42317934106001</v>
      </c>
      <c r="BL121">
        <v>109.009665900863</v>
      </c>
      <c r="BM121">
        <v>106.77458226243699</v>
      </c>
      <c r="BN121">
        <v>109.754323839417</v>
      </c>
      <c r="BO121">
        <v>131.49814044376399</v>
      </c>
      <c r="BP121">
        <v>140.49110006234</v>
      </c>
      <c r="BQ121">
        <v>151.36629130275199</v>
      </c>
    </row>
    <row r="122" spans="1:69" x14ac:dyDescent="0.3">
      <c r="A122" t="s">
        <v>246</v>
      </c>
      <c r="B122" t="s">
        <v>247</v>
      </c>
      <c r="C122" t="s">
        <v>6</v>
      </c>
      <c r="D122" t="s">
        <v>7</v>
      </c>
      <c r="AM122">
        <v>35.538333333333298</v>
      </c>
      <c r="AN122">
        <v>60.95</v>
      </c>
      <c r="AO122">
        <v>67.303333333333299</v>
      </c>
      <c r="AP122">
        <v>75.4375</v>
      </c>
      <c r="AQ122">
        <v>78.303333333333299</v>
      </c>
      <c r="AR122">
        <v>119.523333333333</v>
      </c>
      <c r="AS122">
        <v>142.13333333333301</v>
      </c>
      <c r="AT122">
        <v>146.73583333333301</v>
      </c>
      <c r="AU122">
        <v>153.27916666666701</v>
      </c>
      <c r="AV122">
        <v>149.57583333333301</v>
      </c>
      <c r="AW122">
        <v>136.035</v>
      </c>
      <c r="AX122">
        <v>132.88</v>
      </c>
      <c r="AY122">
        <v>126.089430555555</v>
      </c>
      <c r="AZ122">
        <v>122.554166666667</v>
      </c>
      <c r="BA122">
        <v>120.29916666666701</v>
      </c>
      <c r="BB122">
        <v>147.49666666666701</v>
      </c>
      <c r="BC122">
        <v>147.35499999999999</v>
      </c>
      <c r="BD122">
        <v>146.620833333333</v>
      </c>
      <c r="BE122">
        <v>149.11250000000001</v>
      </c>
      <c r="BF122">
        <v>152.129166666667</v>
      </c>
      <c r="BG122">
        <v>179.191666666667</v>
      </c>
      <c r="BH122">
        <v>221.72833333333301</v>
      </c>
      <c r="BI122">
        <v>342.16</v>
      </c>
      <c r="BJ122">
        <v>326.00102272727298</v>
      </c>
      <c r="BK122">
        <v>344.70583333333298</v>
      </c>
      <c r="BL122">
        <v>382.74731060606098</v>
      </c>
      <c r="BM122">
        <v>412.95333333333298</v>
      </c>
      <c r="BN122">
        <v>425.90750000000003</v>
      </c>
      <c r="BO122">
        <v>460.16500000000002</v>
      </c>
      <c r="BP122">
        <v>456.16500000000002</v>
      </c>
      <c r="BQ122">
        <v>468.96249999999998</v>
      </c>
    </row>
    <row r="123" spans="1:69" x14ac:dyDescent="0.3">
      <c r="A123" t="s">
        <v>248</v>
      </c>
      <c r="B123" t="s">
        <v>249</v>
      </c>
      <c r="C123" t="s">
        <v>6</v>
      </c>
      <c r="D123" t="s">
        <v>7</v>
      </c>
      <c r="E123">
        <v>7.1428600061428602</v>
      </c>
      <c r="F123">
        <v>7.1428600061428602</v>
      </c>
      <c r="G123">
        <v>7.1428600061428602</v>
      </c>
      <c r="H123">
        <v>7.1428600061428602</v>
      </c>
      <c r="I123">
        <v>7.1428600061428602</v>
      </c>
      <c r="J123">
        <v>7.1428600061428602</v>
      </c>
      <c r="K123">
        <v>7.1428600061428602</v>
      </c>
      <c r="L123">
        <v>7.1428600061428602</v>
      </c>
      <c r="M123">
        <v>7.1428600061428602</v>
      </c>
      <c r="N123">
        <v>7.1428600061428602</v>
      </c>
      <c r="O123">
        <v>7.1428600061428602</v>
      </c>
      <c r="P123">
        <v>7.1428599977626002</v>
      </c>
      <c r="Q123">
        <v>7.1428599989999997</v>
      </c>
      <c r="R123">
        <v>7.0011916656666697</v>
      </c>
      <c r="S123">
        <v>7.1428599989999997</v>
      </c>
      <c r="T123">
        <v>7.34319333233333</v>
      </c>
      <c r="U123">
        <v>8.3671449991666709</v>
      </c>
      <c r="V123">
        <v>8.2765608324166706</v>
      </c>
      <c r="W123">
        <v>7.7293833323333399</v>
      </c>
      <c r="X123">
        <v>7.4753091656666699</v>
      </c>
      <c r="Y123">
        <v>7.4201874989999999</v>
      </c>
      <c r="Z123">
        <v>9.0474983325833307</v>
      </c>
      <c r="AA123">
        <v>10.9223249994167</v>
      </c>
      <c r="AB123">
        <v>13.311516665916701</v>
      </c>
      <c r="AC123">
        <v>14.4138749994167</v>
      </c>
      <c r="AD123">
        <v>16.432116666500001</v>
      </c>
      <c r="AE123">
        <v>16.225741666499999</v>
      </c>
      <c r="AF123">
        <v>16.454491666666701</v>
      </c>
      <c r="AG123">
        <v>17.7471</v>
      </c>
      <c r="AH123">
        <v>20.572466666666699</v>
      </c>
      <c r="AI123">
        <v>22.914766666666701</v>
      </c>
      <c r="AJ123">
        <v>27.5078666666667</v>
      </c>
      <c r="AK123">
        <v>32.216833333333298</v>
      </c>
      <c r="AL123">
        <v>58.001333333333299</v>
      </c>
      <c r="AM123">
        <v>56.050575000000002</v>
      </c>
      <c r="AN123">
        <v>51.429833333333299</v>
      </c>
      <c r="AO123">
        <v>57.1148666666667</v>
      </c>
      <c r="AP123">
        <v>58.731841666666703</v>
      </c>
      <c r="AQ123">
        <v>60.366700000000002</v>
      </c>
      <c r="AR123">
        <v>70.326216666666696</v>
      </c>
      <c r="AS123">
        <v>76.175541666666703</v>
      </c>
      <c r="AT123">
        <v>78.563194999999993</v>
      </c>
      <c r="AU123">
        <v>78.749141666666702</v>
      </c>
      <c r="AV123">
        <v>75.935569444444496</v>
      </c>
      <c r="AW123">
        <v>79.173876064213502</v>
      </c>
      <c r="AX123">
        <v>75.554109451431103</v>
      </c>
      <c r="AY123">
        <v>72.100835017862195</v>
      </c>
      <c r="AZ123">
        <v>67.317638124285693</v>
      </c>
      <c r="BA123">
        <v>69.175319816225993</v>
      </c>
      <c r="BB123">
        <v>77.352012297578995</v>
      </c>
      <c r="BC123">
        <v>79.233151704545406</v>
      </c>
      <c r="BD123">
        <v>88.810769971045602</v>
      </c>
      <c r="BE123">
        <v>84.529601757352907</v>
      </c>
      <c r="BF123">
        <v>86.122878898265398</v>
      </c>
      <c r="BG123">
        <v>87.922163808972698</v>
      </c>
      <c r="BH123">
        <v>98.178453326527105</v>
      </c>
      <c r="BI123">
        <v>101.504369498594</v>
      </c>
      <c r="BJ123">
        <v>103.410004519014</v>
      </c>
      <c r="BK123">
        <v>101.301574049018</v>
      </c>
      <c r="BL123">
        <v>101.99129838935001</v>
      </c>
      <c r="BM123">
        <v>106.45078015851701</v>
      </c>
      <c r="BN123">
        <v>109.63774659236699</v>
      </c>
      <c r="BO123">
        <v>117.865989201682</v>
      </c>
      <c r="BP123">
        <v>139.846383759617</v>
      </c>
      <c r="BQ123">
        <v>134.822483279332</v>
      </c>
    </row>
    <row r="124" spans="1:69" x14ac:dyDescent="0.3">
      <c r="A124" t="s">
        <v>250</v>
      </c>
      <c r="B124" t="s">
        <v>251</v>
      </c>
      <c r="C124" t="s">
        <v>6</v>
      </c>
      <c r="D124" t="s">
        <v>7</v>
      </c>
      <c r="AM124">
        <v>10.8416833333333</v>
      </c>
      <c r="AN124">
        <v>10.8218833333333</v>
      </c>
      <c r="AO124">
        <v>12.8095583333333</v>
      </c>
      <c r="AP124">
        <v>17.362491666666699</v>
      </c>
      <c r="AQ124">
        <v>20.837566666666699</v>
      </c>
      <c r="AR124">
        <v>39.007733333333299</v>
      </c>
      <c r="AS124">
        <v>47.7038333333333</v>
      </c>
      <c r="AT124">
        <v>48.377958333333297</v>
      </c>
      <c r="AU124">
        <v>46.937066666666702</v>
      </c>
      <c r="AV124">
        <v>43.648375000000001</v>
      </c>
      <c r="AW124">
        <v>42.649941666666699</v>
      </c>
      <c r="AX124">
        <v>41.0118205059348</v>
      </c>
      <c r="AY124">
        <v>40.152899945420501</v>
      </c>
      <c r="AZ124">
        <v>37.316256805555597</v>
      </c>
      <c r="BA124">
        <v>36.574591666666699</v>
      </c>
      <c r="BB124">
        <v>42.904108333333298</v>
      </c>
      <c r="BC124">
        <v>45.964261400813903</v>
      </c>
      <c r="BD124">
        <v>46.143901317204303</v>
      </c>
      <c r="BE124">
        <v>47.004479142256798</v>
      </c>
      <c r="BF124">
        <v>48.438059008772598</v>
      </c>
      <c r="BG124">
        <v>53.654058312852001</v>
      </c>
      <c r="BH124">
        <v>64.462108272529406</v>
      </c>
      <c r="BI124">
        <v>69.914065825299701</v>
      </c>
      <c r="BJ124">
        <v>68.866667859063</v>
      </c>
      <c r="BK124">
        <v>68.840320327700994</v>
      </c>
      <c r="BL124">
        <v>69.789349180747607</v>
      </c>
      <c r="BM124">
        <v>77.346112703930302</v>
      </c>
      <c r="BN124">
        <v>84.640822006528495</v>
      </c>
      <c r="BO124">
        <v>84.116222570404503</v>
      </c>
      <c r="BP124">
        <v>87.856125586277599</v>
      </c>
      <c r="BQ124">
        <v>87.150312640588297</v>
      </c>
    </row>
    <row r="125" spans="1:69" x14ac:dyDescent="0.3">
      <c r="A125" t="s">
        <v>252</v>
      </c>
      <c r="B125" t="s">
        <v>253</v>
      </c>
      <c r="C125" t="s">
        <v>6</v>
      </c>
      <c r="D125" t="s">
        <v>7</v>
      </c>
      <c r="E125">
        <v>35</v>
      </c>
      <c r="F125">
        <v>35</v>
      </c>
      <c r="G125">
        <v>35</v>
      </c>
      <c r="H125">
        <v>35</v>
      </c>
      <c r="I125">
        <v>35</v>
      </c>
      <c r="J125">
        <v>35</v>
      </c>
      <c r="K125">
        <v>35</v>
      </c>
      <c r="L125">
        <v>35</v>
      </c>
      <c r="M125">
        <v>35</v>
      </c>
      <c r="N125">
        <v>43.558333332916703</v>
      </c>
      <c r="O125">
        <v>55.539999999000003</v>
      </c>
      <c r="P125">
        <v>75.821666665916695</v>
      </c>
      <c r="Q125">
        <v>162.25</v>
      </c>
      <c r="R125">
        <v>244.916666666667</v>
      </c>
      <c r="AI125">
        <v>426.25</v>
      </c>
      <c r="AJ125">
        <v>718.33333333333303</v>
      </c>
      <c r="AK125">
        <v>1266.5833333333301</v>
      </c>
      <c r="AL125">
        <v>2689</v>
      </c>
      <c r="AM125">
        <v>2545.25</v>
      </c>
      <c r="AN125">
        <v>2450.8333333333298</v>
      </c>
      <c r="AO125">
        <v>2624.0833333333298</v>
      </c>
      <c r="AP125">
        <v>2946.25</v>
      </c>
      <c r="AQ125">
        <v>3744.4166666666702</v>
      </c>
      <c r="AR125">
        <v>3807.8333333333298</v>
      </c>
      <c r="AS125">
        <v>3840.75</v>
      </c>
      <c r="AT125">
        <v>3916.3333333333298</v>
      </c>
      <c r="AU125">
        <v>3912.0833333333298</v>
      </c>
      <c r="AV125">
        <v>3973.3333333333298</v>
      </c>
      <c r="AW125">
        <v>4016.25</v>
      </c>
      <c r="AX125">
        <v>4092.5</v>
      </c>
      <c r="AY125">
        <v>4103.25</v>
      </c>
      <c r="AZ125">
        <v>4056.1666666666702</v>
      </c>
      <c r="BA125">
        <v>4054.1666666666702</v>
      </c>
      <c r="BB125">
        <v>4139.3333333333303</v>
      </c>
      <c r="BC125">
        <v>4184.9166666666697</v>
      </c>
      <c r="BD125">
        <v>4058.5</v>
      </c>
      <c r="BE125">
        <v>4033</v>
      </c>
      <c r="BF125">
        <v>4027.25</v>
      </c>
      <c r="BG125">
        <v>4037.5</v>
      </c>
      <c r="BH125">
        <v>4067.75</v>
      </c>
      <c r="BI125">
        <v>4058.6945788530502</v>
      </c>
      <c r="BJ125">
        <v>4050.5799859191002</v>
      </c>
      <c r="BK125">
        <v>4051.1669002816202</v>
      </c>
      <c r="BL125">
        <v>4061.1489631336399</v>
      </c>
      <c r="BM125">
        <v>4092.7832190087802</v>
      </c>
      <c r="BN125">
        <v>4098.7227950588804</v>
      </c>
      <c r="BO125">
        <v>4102.03786482335</v>
      </c>
      <c r="BP125">
        <v>4110.6527464157698</v>
      </c>
      <c r="BQ125">
        <v>4072.3972392164201</v>
      </c>
    </row>
    <row r="126" spans="1:69" x14ac:dyDescent="0.3">
      <c r="A126" t="s">
        <v>254</v>
      </c>
      <c r="B126" t="s">
        <v>255</v>
      </c>
      <c r="C126" t="s">
        <v>6</v>
      </c>
      <c r="D126" t="s">
        <v>7</v>
      </c>
      <c r="E126">
        <v>0.89285699989285705</v>
      </c>
      <c r="F126">
        <v>0.89285699989285705</v>
      </c>
      <c r="G126">
        <v>0.89285699989285705</v>
      </c>
      <c r="H126">
        <v>0.89285699989285705</v>
      </c>
      <c r="I126">
        <v>0.89285699989285705</v>
      </c>
      <c r="J126">
        <v>0.89285699989285705</v>
      </c>
      <c r="K126">
        <v>0.89285699989285705</v>
      </c>
      <c r="L126">
        <v>0.89285699989285705</v>
      </c>
      <c r="M126">
        <v>0.89285699989285705</v>
      </c>
      <c r="N126">
        <v>0.89285699989285705</v>
      </c>
      <c r="O126">
        <v>0.89285699989285705</v>
      </c>
      <c r="P126">
        <v>0.88267025929554799</v>
      </c>
      <c r="Q126">
        <v>0.838697807262207</v>
      </c>
      <c r="R126">
        <v>0.70411390796665796</v>
      </c>
      <c r="S126">
        <v>0.69666586863809599</v>
      </c>
      <c r="T126">
        <v>0.76387124900000003</v>
      </c>
      <c r="U126">
        <v>0.81828408233333305</v>
      </c>
      <c r="V126">
        <v>0.90182499900000002</v>
      </c>
      <c r="W126">
        <v>0.87365924900000003</v>
      </c>
      <c r="X126">
        <v>0.89464091566666704</v>
      </c>
      <c r="Y126">
        <v>0.87824433233333299</v>
      </c>
      <c r="Z126">
        <v>0.87021458233333304</v>
      </c>
      <c r="AA126">
        <v>0.98586283233333305</v>
      </c>
      <c r="AB126">
        <v>1.1100149991666699</v>
      </c>
      <c r="AC126">
        <v>1.1395191659166699</v>
      </c>
      <c r="AD126">
        <v>1.4318949995000001</v>
      </c>
      <c r="AE126">
        <v>1.4959741664166699</v>
      </c>
      <c r="AF126">
        <v>1.42818</v>
      </c>
      <c r="AG126">
        <v>1.2799083333333301</v>
      </c>
      <c r="AH126">
        <v>1.2645966666666699</v>
      </c>
      <c r="AI126">
        <v>1.2810566666666701</v>
      </c>
      <c r="AJ126">
        <v>1.2837558333333301</v>
      </c>
      <c r="AK126">
        <v>1.36164833333333</v>
      </c>
      <c r="AL126">
        <v>1.4705600000000001</v>
      </c>
      <c r="AM126">
        <v>1.3677508333333299</v>
      </c>
      <c r="AN126">
        <v>1.3490325000000001</v>
      </c>
      <c r="AO126">
        <v>1.27786333333333</v>
      </c>
      <c r="AP126">
        <v>1.34738</v>
      </c>
      <c r="AQ126">
        <v>1.5918283333333301</v>
      </c>
      <c r="AR126">
        <v>1.5499499999999999</v>
      </c>
      <c r="AS126">
        <v>1.7248266666666701</v>
      </c>
      <c r="AT126">
        <v>1.9334425</v>
      </c>
      <c r="AU126">
        <v>1.8405625000000001</v>
      </c>
      <c r="AV126">
        <v>1.54191416666667</v>
      </c>
      <c r="AW126">
        <v>1.3597524999999999</v>
      </c>
      <c r="AX126">
        <v>1.3094733333333299</v>
      </c>
      <c r="AY126">
        <v>1.3279734405000001</v>
      </c>
      <c r="AZ126">
        <v>1.1950725</v>
      </c>
      <c r="BA126">
        <v>1.19217833333333</v>
      </c>
      <c r="BB126">
        <v>1.28218881008452</v>
      </c>
      <c r="BC126">
        <v>1.0901594863867701</v>
      </c>
      <c r="BD126">
        <v>0.96946320149673504</v>
      </c>
      <c r="BE126">
        <v>0.96580103065870804</v>
      </c>
      <c r="BF126">
        <v>1.0358430965205401</v>
      </c>
      <c r="BG126">
        <v>1.1093632928169199</v>
      </c>
      <c r="BH126">
        <v>1.33109026245502</v>
      </c>
      <c r="BI126">
        <v>1.3452139760194699</v>
      </c>
      <c r="BJ126">
        <v>1.3047580767159199</v>
      </c>
      <c r="BK126">
        <v>1.33841214646451</v>
      </c>
      <c r="BL126">
        <v>1.4385065442138201</v>
      </c>
      <c r="BM126">
        <v>1.4530851184701601</v>
      </c>
      <c r="BN126">
        <v>1.3312242595708099</v>
      </c>
      <c r="BO126">
        <v>1.4416644589652201</v>
      </c>
      <c r="BP126">
        <v>1.50519106560508</v>
      </c>
      <c r="BQ126">
        <v>1.51535803855596</v>
      </c>
    </row>
    <row r="127" spans="1:69" x14ac:dyDescent="0.3">
      <c r="A127" t="s">
        <v>256</v>
      </c>
      <c r="B127" t="s">
        <v>257</v>
      </c>
      <c r="C127" t="s">
        <v>6</v>
      </c>
      <c r="D127" t="s">
        <v>7</v>
      </c>
      <c r="E127">
        <v>1.7142900007142901</v>
      </c>
      <c r="F127">
        <v>1.7142900007142901</v>
      </c>
      <c r="G127">
        <v>1.7142900007142901</v>
      </c>
      <c r="H127">
        <v>1.7142900007142901</v>
      </c>
      <c r="I127">
        <v>1.7142900007142901</v>
      </c>
      <c r="J127">
        <v>1.7142900007142901</v>
      </c>
      <c r="K127">
        <v>1.7142900007142901</v>
      </c>
      <c r="L127">
        <v>1.7619083340952399</v>
      </c>
      <c r="M127">
        <v>2.0000000010000001</v>
      </c>
      <c r="N127">
        <v>2.0000000010000001</v>
      </c>
      <c r="O127">
        <v>2.0000000010000001</v>
      </c>
      <c r="P127">
        <v>1.97487273321145</v>
      </c>
      <c r="Q127">
        <v>1.9212781494760101</v>
      </c>
      <c r="R127">
        <v>1.9592192359816101</v>
      </c>
      <c r="S127">
        <v>2.0532324085176299</v>
      </c>
      <c r="T127">
        <v>2.16979583233333</v>
      </c>
      <c r="U127">
        <v>2.6146708328333301</v>
      </c>
      <c r="V127">
        <v>2.7</v>
      </c>
      <c r="W127">
        <v>2.7</v>
      </c>
      <c r="X127">
        <v>2.7</v>
      </c>
      <c r="Y127">
        <v>2.7</v>
      </c>
      <c r="Z127">
        <v>2.7</v>
      </c>
      <c r="AA127">
        <v>2.7</v>
      </c>
      <c r="AB127">
        <v>2.7</v>
      </c>
      <c r="AC127">
        <v>2.7</v>
      </c>
      <c r="AD127">
        <v>2.7</v>
      </c>
      <c r="AE127">
        <v>2.7</v>
      </c>
      <c r="AF127">
        <v>2.7</v>
      </c>
      <c r="AG127">
        <v>2.7</v>
      </c>
      <c r="AH127">
        <v>2.7</v>
      </c>
      <c r="AI127">
        <v>2.7</v>
      </c>
      <c r="AJ127">
        <v>2.7</v>
      </c>
      <c r="AK127">
        <v>2.7</v>
      </c>
      <c r="AL127">
        <v>2.7</v>
      </c>
      <c r="AM127">
        <v>2.7</v>
      </c>
      <c r="AN127">
        <v>2.7</v>
      </c>
      <c r="AO127">
        <v>2.7</v>
      </c>
      <c r="AP127">
        <v>2.7</v>
      </c>
      <c r="AQ127">
        <v>2.7</v>
      </c>
      <c r="AR127">
        <v>2.7</v>
      </c>
      <c r="AS127">
        <v>2.7</v>
      </c>
      <c r="AT127">
        <v>2.7</v>
      </c>
      <c r="AU127">
        <v>2.7</v>
      </c>
      <c r="AV127">
        <v>2.7</v>
      </c>
      <c r="AW127">
        <v>2.7</v>
      </c>
      <c r="AX127">
        <v>2.7</v>
      </c>
      <c r="AY127">
        <v>2.7</v>
      </c>
      <c r="AZ127">
        <v>2.7</v>
      </c>
      <c r="BA127">
        <v>2.7</v>
      </c>
      <c r="BB127">
        <v>2.7</v>
      </c>
      <c r="BC127">
        <v>2.7</v>
      </c>
      <c r="BD127">
        <v>2.7</v>
      </c>
      <c r="BE127">
        <v>2.7</v>
      </c>
      <c r="BF127">
        <v>2.7</v>
      </c>
      <c r="BG127">
        <v>2.7</v>
      </c>
      <c r="BH127">
        <v>2.7</v>
      </c>
      <c r="BI127">
        <v>2.7</v>
      </c>
      <c r="BJ127">
        <v>2.7</v>
      </c>
      <c r="BK127">
        <v>2.7</v>
      </c>
      <c r="BL127">
        <v>2.7</v>
      </c>
      <c r="BM127">
        <v>2.7</v>
      </c>
      <c r="BN127">
        <v>2.7</v>
      </c>
      <c r="BO127">
        <v>2.7</v>
      </c>
      <c r="BP127">
        <v>2.7</v>
      </c>
      <c r="BQ127">
        <v>2.7</v>
      </c>
    </row>
    <row r="128" spans="1:69" x14ac:dyDescent="0.3">
      <c r="A128" t="s">
        <v>258</v>
      </c>
      <c r="B128" t="s">
        <v>259</v>
      </c>
      <c r="C128" t="s">
        <v>6</v>
      </c>
      <c r="D128" t="s">
        <v>7</v>
      </c>
      <c r="E128">
        <v>63.125</v>
      </c>
      <c r="F128">
        <v>124.791666666667</v>
      </c>
      <c r="G128">
        <v>130</v>
      </c>
      <c r="H128">
        <v>130</v>
      </c>
      <c r="I128">
        <v>213.84666666666701</v>
      </c>
      <c r="J128">
        <v>266.27</v>
      </c>
      <c r="K128">
        <v>271.134166666667</v>
      </c>
      <c r="L128">
        <v>270.511666666667</v>
      </c>
      <c r="M128">
        <v>276.64333333333298</v>
      </c>
      <c r="N128">
        <v>288.24166666666702</v>
      </c>
      <c r="O128">
        <v>310.555833333333</v>
      </c>
      <c r="P128">
        <v>347.14749999999998</v>
      </c>
      <c r="Q128">
        <v>392.89416666666602</v>
      </c>
      <c r="R128">
        <v>398.32166666666598</v>
      </c>
      <c r="S128">
        <v>404.47250000000003</v>
      </c>
      <c r="T128">
        <v>484</v>
      </c>
      <c r="U128">
        <v>484</v>
      </c>
      <c r="V128">
        <v>484</v>
      </c>
      <c r="W128">
        <v>484</v>
      </c>
      <c r="X128">
        <v>484</v>
      </c>
      <c r="Y128">
        <v>607.71666666666601</v>
      </c>
      <c r="Z128">
        <v>681.02833333333297</v>
      </c>
      <c r="AA128">
        <v>731.16750000000002</v>
      </c>
      <c r="AB128">
        <v>775.74833333333299</v>
      </c>
      <c r="AC128">
        <v>805.97083333333399</v>
      </c>
      <c r="AD128">
        <v>870.02</v>
      </c>
      <c r="AE128">
        <v>881.45583333333298</v>
      </c>
      <c r="AF128">
        <v>822.56416666666701</v>
      </c>
      <c r="AG128">
        <v>731.46333333333303</v>
      </c>
      <c r="AH128">
        <v>671.45583333333298</v>
      </c>
      <c r="AI128">
        <v>707.76583333333303</v>
      </c>
      <c r="AJ128">
        <v>733.32916666666699</v>
      </c>
      <c r="AK128">
        <v>780.67083333333301</v>
      </c>
      <c r="AL128">
        <v>802.53833333333296</v>
      </c>
      <c r="AM128">
        <v>803.77166666666699</v>
      </c>
      <c r="AN128">
        <v>771.25416666666695</v>
      </c>
      <c r="AO128">
        <v>804.45749999999998</v>
      </c>
      <c r="AP128">
        <v>949.89</v>
      </c>
      <c r="AQ128">
        <v>1403.18333333333</v>
      </c>
      <c r="AR128">
        <v>1189.43916666667</v>
      </c>
      <c r="AS128">
        <v>1130.3625</v>
      </c>
      <c r="AT128">
        <v>1290.79</v>
      </c>
      <c r="AU128">
        <v>1251.6025</v>
      </c>
      <c r="AV128">
        <v>1191.6458333333301</v>
      </c>
      <c r="AW128">
        <v>1146.2491666666699</v>
      </c>
      <c r="AX128">
        <v>1024.32833333333</v>
      </c>
      <c r="AY128">
        <v>955.34083333333297</v>
      </c>
      <c r="AZ128">
        <v>929.37583333333305</v>
      </c>
      <c r="BA128">
        <v>1100.1258333333301</v>
      </c>
      <c r="BB128">
        <v>1277.24583333333</v>
      </c>
      <c r="BC128">
        <v>1156.46</v>
      </c>
      <c r="BD128">
        <v>1108.2333333333299</v>
      </c>
      <c r="BE128">
        <v>1126.80666666667</v>
      </c>
      <c r="BF128">
        <v>1094.9825000000001</v>
      </c>
      <c r="BG128">
        <v>1052.8399999999999</v>
      </c>
      <c r="BH128">
        <v>1130.9525000000001</v>
      </c>
      <c r="BI128">
        <v>1160.7674999999999</v>
      </c>
      <c r="BJ128">
        <v>1131.0008333333301</v>
      </c>
      <c r="BK128">
        <v>1100.16333333333</v>
      </c>
      <c r="BL128">
        <v>1165.3575000000001</v>
      </c>
      <c r="BM128">
        <v>1180.26583333333</v>
      </c>
      <c r="BN128">
        <v>1143.95166666667</v>
      </c>
      <c r="BO128">
        <v>1291.4466666666699</v>
      </c>
      <c r="BP128">
        <v>1305.6624999999999</v>
      </c>
      <c r="BQ128">
        <v>1363.375</v>
      </c>
    </row>
    <row r="129" spans="1:69" x14ac:dyDescent="0.3">
      <c r="A129" t="s">
        <v>260</v>
      </c>
      <c r="B129" t="s">
        <v>261</v>
      </c>
      <c r="C129" t="s">
        <v>6</v>
      </c>
      <c r="D129" t="s">
        <v>7</v>
      </c>
      <c r="E129">
        <v>0.357142999357143</v>
      </c>
      <c r="F129">
        <v>0.357142999357143</v>
      </c>
      <c r="G129">
        <v>0.357142999357143</v>
      </c>
      <c r="H129">
        <v>0.357142999357143</v>
      </c>
      <c r="I129">
        <v>0.357142999357143</v>
      </c>
      <c r="J129">
        <v>0.357142999357143</v>
      </c>
      <c r="K129">
        <v>0.357142999357143</v>
      </c>
      <c r="L129">
        <v>0.357142999357143</v>
      </c>
      <c r="M129">
        <v>0.357142999357143</v>
      </c>
      <c r="N129">
        <v>0.357142999357143</v>
      </c>
      <c r="O129">
        <v>0.357142999357143</v>
      </c>
      <c r="P129">
        <v>0.35609771386009298</v>
      </c>
      <c r="Q129">
        <v>0.32894879786402298</v>
      </c>
      <c r="R129">
        <v>0.29657231557200198</v>
      </c>
      <c r="S129">
        <v>0.29315141566666703</v>
      </c>
      <c r="T129">
        <v>0.29003233233333298</v>
      </c>
      <c r="U129">
        <v>0.29238741566666698</v>
      </c>
      <c r="V129">
        <v>0.28656599900000002</v>
      </c>
      <c r="W129">
        <v>0.27505274899999999</v>
      </c>
      <c r="X129">
        <v>0.27636608233333299</v>
      </c>
      <c r="Y129">
        <v>0.27029741566666698</v>
      </c>
      <c r="Z129">
        <v>0.27878533233333302</v>
      </c>
      <c r="AA129">
        <v>0.287910999</v>
      </c>
      <c r="AB129">
        <v>0.29147666566666702</v>
      </c>
      <c r="AC129">
        <v>0.29606191616666699</v>
      </c>
      <c r="AD129">
        <v>0.30075324991666702</v>
      </c>
      <c r="AE129">
        <v>0.29059466658333299</v>
      </c>
      <c r="AF129">
        <v>0.27866324999999997</v>
      </c>
      <c r="AG129">
        <v>0.27902925000000001</v>
      </c>
      <c r="AH129">
        <v>0.29377941666666701</v>
      </c>
      <c r="AK129">
        <v>0.29322266666666702</v>
      </c>
      <c r="AL129">
        <v>0.30183860000000001</v>
      </c>
      <c r="AM129">
        <v>0.296870315</v>
      </c>
      <c r="AN129">
        <v>0.29844772083333299</v>
      </c>
      <c r="AO129">
        <v>0.29940856333333299</v>
      </c>
      <c r="AP129">
        <v>0.30334883499999998</v>
      </c>
      <c r="AQ129">
        <v>0.30475563999999999</v>
      </c>
      <c r="AR129">
        <v>0.304414666666667</v>
      </c>
      <c r="AS129">
        <v>0.30675158333333302</v>
      </c>
      <c r="AT129">
        <v>0.30668166666666702</v>
      </c>
      <c r="AU129">
        <v>0.30391425166666702</v>
      </c>
      <c r="AV129">
        <v>0.29801152108333301</v>
      </c>
      <c r="AW129">
        <v>0.29470000000000002</v>
      </c>
      <c r="AX129">
        <v>0.29199999999999998</v>
      </c>
      <c r="AY129">
        <v>0.29017622500000001</v>
      </c>
      <c r="AZ129">
        <v>0.28421395833333302</v>
      </c>
      <c r="BA129">
        <v>0.26882836666666698</v>
      </c>
      <c r="BB129">
        <v>0.28778541666666702</v>
      </c>
      <c r="BC129">
        <v>0.28660659166666702</v>
      </c>
      <c r="BD129">
        <v>0.27597894444444399</v>
      </c>
      <c r="BE129">
        <v>0.279935558333333</v>
      </c>
      <c r="BF129">
        <v>0.283589441666667</v>
      </c>
      <c r="BG129">
        <v>0.28456714166666702</v>
      </c>
      <c r="BH129">
        <v>0.30085202500000002</v>
      </c>
      <c r="BI129">
        <v>0.302137441178496</v>
      </c>
      <c r="BJ129">
        <v>0.303349758333333</v>
      </c>
      <c r="BK129">
        <v>0.30195649352417703</v>
      </c>
      <c r="BL129">
        <v>0.30361116303575503</v>
      </c>
      <c r="BM129">
        <v>0.30623312175671602</v>
      </c>
      <c r="BN129">
        <v>0.30164311076994899</v>
      </c>
      <c r="BO129">
        <v>0.306250154417753</v>
      </c>
      <c r="BP129">
        <v>0.30718535125087998</v>
      </c>
      <c r="BQ129">
        <v>0.30669064859704598</v>
      </c>
    </row>
    <row r="130" spans="1:69" x14ac:dyDescent="0.3">
      <c r="A130" t="s">
        <v>262</v>
      </c>
      <c r="B130" t="s">
        <v>263</v>
      </c>
      <c r="C130" t="s">
        <v>6</v>
      </c>
      <c r="D130" t="s">
        <v>7</v>
      </c>
    </row>
    <row r="131" spans="1:69" x14ac:dyDescent="0.3">
      <c r="A131" t="s">
        <v>264</v>
      </c>
      <c r="B131" t="s">
        <v>265</v>
      </c>
      <c r="C131" t="s">
        <v>6</v>
      </c>
      <c r="D131" t="s">
        <v>7</v>
      </c>
      <c r="E131">
        <v>80.000154725774706</v>
      </c>
      <c r="F131">
        <v>80.000154725774706</v>
      </c>
      <c r="G131">
        <v>80.000154725774706</v>
      </c>
      <c r="H131">
        <v>80.000154725774706</v>
      </c>
      <c r="I131">
        <v>240.00046417732401</v>
      </c>
      <c r="J131">
        <v>240.00046417732401</v>
      </c>
      <c r="K131">
        <v>240.00046417732401</v>
      </c>
      <c r="L131">
        <v>240.00046417732401</v>
      </c>
      <c r="M131">
        <v>240.00046417732401</v>
      </c>
      <c r="N131">
        <v>240.00046417732401</v>
      </c>
      <c r="O131">
        <v>240.00046417732401</v>
      </c>
      <c r="P131">
        <v>240.00046417732401</v>
      </c>
      <c r="Q131">
        <v>510.00098637681401</v>
      </c>
      <c r="R131">
        <v>600.00116044331003</v>
      </c>
      <c r="S131">
        <v>600.00116044331003</v>
      </c>
      <c r="T131">
        <v>725.001402202333</v>
      </c>
      <c r="U131">
        <v>429.16726794781601</v>
      </c>
      <c r="V131">
        <v>199.99999465758501</v>
      </c>
      <c r="W131">
        <v>333.33332442930799</v>
      </c>
      <c r="X131">
        <v>367.49999018331198</v>
      </c>
      <c r="Y131">
        <v>9.9999997328792301</v>
      </c>
      <c r="Z131">
        <v>21.666666087905</v>
      </c>
      <c r="AA131">
        <v>34.999999065077297</v>
      </c>
      <c r="AB131">
        <v>34.999999065077297</v>
      </c>
      <c r="AC131">
        <v>34.999999065077297</v>
      </c>
      <c r="AD131">
        <v>54.999998530835803</v>
      </c>
      <c r="AE131">
        <v>94.999997462352695</v>
      </c>
      <c r="AF131">
        <v>187.49999499148601</v>
      </c>
      <c r="AG131">
        <v>400.37498930515198</v>
      </c>
      <c r="AH131">
        <v>591.49998419980602</v>
      </c>
      <c r="AI131">
        <v>707.74998109452702</v>
      </c>
      <c r="AJ131">
        <v>702.08331457922895</v>
      </c>
      <c r="AK131">
        <v>716.08331420525997</v>
      </c>
      <c r="AL131">
        <v>716.24998086747496</v>
      </c>
      <c r="AM131">
        <v>717.66664749629899</v>
      </c>
      <c r="AN131">
        <v>804.69082007172199</v>
      </c>
      <c r="AO131">
        <v>921.02166666666699</v>
      </c>
      <c r="AP131">
        <v>1259.9791666666699</v>
      </c>
      <c r="AQ131">
        <v>3298.3333333333298</v>
      </c>
      <c r="AR131">
        <v>7102.0249999999996</v>
      </c>
      <c r="AS131">
        <v>7887.6433333333298</v>
      </c>
      <c r="AT131">
        <v>8954.5833333333303</v>
      </c>
      <c r="AU131">
        <v>10056.333333333299</v>
      </c>
      <c r="AV131">
        <v>10569.0375</v>
      </c>
      <c r="AW131">
        <v>10585.375</v>
      </c>
      <c r="AX131">
        <v>10655.166666666701</v>
      </c>
      <c r="AY131">
        <v>10153.6240754273</v>
      </c>
      <c r="AZ131">
        <v>9602.7288182027405</v>
      </c>
      <c r="BA131">
        <v>8740.18140302543</v>
      </c>
      <c r="BB131">
        <v>8511.3511630569301</v>
      </c>
      <c r="BC131">
        <v>8254.1630297334195</v>
      </c>
      <c r="BD131">
        <v>8029.2625550618995</v>
      </c>
      <c r="BE131">
        <v>8006.5820318805399</v>
      </c>
      <c r="BF131">
        <v>7833.2299898296496</v>
      </c>
      <c r="BG131">
        <v>8042.42157002354</v>
      </c>
      <c r="BH131">
        <v>8127.6105984658598</v>
      </c>
      <c r="BI131">
        <v>8124.3667561622797</v>
      </c>
      <c r="BJ131">
        <v>8244.8431892101908</v>
      </c>
      <c r="BK131">
        <v>8401.3347661396601</v>
      </c>
      <c r="BL131">
        <v>8679.4090930967104</v>
      </c>
      <c r="BM131">
        <v>9045.7878338247901</v>
      </c>
      <c r="BN131">
        <v>9697.91578947368</v>
      </c>
      <c r="BO131">
        <v>14035.2266926511</v>
      </c>
      <c r="BP131">
        <v>17688.873590905401</v>
      </c>
      <c r="BQ131">
        <v>20167.331380314499</v>
      </c>
    </row>
    <row r="132" spans="1:69" x14ac:dyDescent="0.3">
      <c r="A132" t="s">
        <v>266</v>
      </c>
      <c r="B132" t="s">
        <v>267</v>
      </c>
      <c r="C132" t="s">
        <v>6</v>
      </c>
      <c r="D132" t="s">
        <v>7</v>
      </c>
      <c r="E132">
        <v>3.169349999</v>
      </c>
      <c r="F132">
        <v>3.07861666566667</v>
      </c>
      <c r="G132">
        <v>3.0090416656666701</v>
      </c>
      <c r="H132">
        <v>3.09729166566667</v>
      </c>
      <c r="I132">
        <v>3.0736583323333302</v>
      </c>
      <c r="J132">
        <v>3.0718499989999999</v>
      </c>
      <c r="K132">
        <v>3.1307499989999998</v>
      </c>
      <c r="L132">
        <v>3.2045166656666701</v>
      </c>
      <c r="M132">
        <v>3.1568249989999999</v>
      </c>
      <c r="N132">
        <v>3.25458333233333</v>
      </c>
      <c r="O132">
        <v>3.2689833323333302</v>
      </c>
      <c r="P132">
        <v>3.2277333323333299</v>
      </c>
      <c r="Q132">
        <v>3.0507166656666702</v>
      </c>
      <c r="R132">
        <v>2.61039999908333</v>
      </c>
      <c r="S132">
        <v>2.32775833241667</v>
      </c>
      <c r="T132">
        <v>2.3019833324166701</v>
      </c>
      <c r="U132">
        <v>2.8715916659166698</v>
      </c>
      <c r="V132">
        <v>3.06895833233333</v>
      </c>
      <c r="W132">
        <v>2.955374999</v>
      </c>
      <c r="X132">
        <v>3.2427499989999999</v>
      </c>
      <c r="Y132">
        <v>3.4361083323333399</v>
      </c>
      <c r="Z132">
        <v>4.3138749990000003</v>
      </c>
      <c r="AA132">
        <v>4.74353333233333</v>
      </c>
      <c r="AB132">
        <v>4.5281666656666699</v>
      </c>
      <c r="AC132">
        <v>6.5110916662499996</v>
      </c>
      <c r="AD132">
        <v>16.417024999666701</v>
      </c>
      <c r="AE132">
        <v>38.3699166665833</v>
      </c>
      <c r="AF132">
        <v>224.59633333333301</v>
      </c>
      <c r="AG132">
        <v>409.23</v>
      </c>
      <c r="AH132">
        <v>496.68916666666701</v>
      </c>
      <c r="AI132">
        <v>695.08916666666698</v>
      </c>
      <c r="AJ132">
        <v>928.22749999999996</v>
      </c>
      <c r="AK132">
        <v>1712.7908333333301</v>
      </c>
      <c r="AL132">
        <v>1741.36333333333</v>
      </c>
      <c r="AM132">
        <v>1680.0733333333301</v>
      </c>
      <c r="AN132">
        <v>1621.41333333333</v>
      </c>
      <c r="AO132">
        <v>1571.4441666666701</v>
      </c>
      <c r="AP132">
        <v>1539.45</v>
      </c>
      <c r="AQ132">
        <v>1516.1316666666701</v>
      </c>
      <c r="AR132">
        <v>1507.5</v>
      </c>
      <c r="AS132">
        <v>1507.5</v>
      </c>
      <c r="AT132">
        <v>1507.5</v>
      </c>
      <c r="AU132">
        <v>1507.5</v>
      </c>
      <c r="AV132">
        <v>1507.5</v>
      </c>
      <c r="AW132">
        <v>1507.5</v>
      </c>
      <c r="AX132">
        <v>1507.5</v>
      </c>
      <c r="AY132">
        <v>1507.5</v>
      </c>
      <c r="AZ132">
        <v>1507.5</v>
      </c>
      <c r="BA132">
        <v>1507.5</v>
      </c>
      <c r="BB132">
        <v>1507.5</v>
      </c>
      <c r="BC132">
        <v>1507.5</v>
      </c>
      <c r="BD132">
        <v>1507.5</v>
      </c>
      <c r="BE132">
        <v>1507.5</v>
      </c>
      <c r="BF132">
        <v>1507.5</v>
      </c>
      <c r="BG132">
        <v>1507.5</v>
      </c>
      <c r="BH132">
        <v>1507.5</v>
      </c>
      <c r="BI132">
        <v>1507.5</v>
      </c>
      <c r="BJ132">
        <v>1507.5</v>
      </c>
      <c r="BK132">
        <v>1507.5</v>
      </c>
      <c r="BL132">
        <v>1507.5</v>
      </c>
      <c r="BM132">
        <v>1507.5</v>
      </c>
      <c r="BN132">
        <v>1507.5</v>
      </c>
      <c r="BO132">
        <v>1507.5</v>
      </c>
      <c r="BP132">
        <v>13875.625</v>
      </c>
      <c r="BQ132">
        <v>89500</v>
      </c>
    </row>
    <row r="133" spans="1:69" x14ac:dyDescent="0.3">
      <c r="A133" t="s">
        <v>268</v>
      </c>
      <c r="B133" t="s">
        <v>269</v>
      </c>
      <c r="C133" t="s">
        <v>6</v>
      </c>
      <c r="D133" t="s">
        <v>7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0.99999999991666699</v>
      </c>
      <c r="Q133">
        <v>1</v>
      </c>
      <c r="R133">
        <v>0.99999999991666699</v>
      </c>
      <c r="S133">
        <v>23.7193640227995</v>
      </c>
      <c r="T133">
        <v>46.438728045599099</v>
      </c>
      <c r="U133">
        <v>46.438728045599099</v>
      </c>
      <c r="V133">
        <v>46.438728045599099</v>
      </c>
      <c r="W133">
        <v>46.438728045599099</v>
      </c>
      <c r="X133">
        <v>46.438728045599099</v>
      </c>
      <c r="Y133">
        <v>46.438728045599099</v>
      </c>
      <c r="Z133">
        <v>46.438728045599099</v>
      </c>
      <c r="AA133">
        <v>46.438728045599099</v>
      </c>
      <c r="AB133">
        <v>46.438728045599099</v>
      </c>
      <c r="AC133">
        <v>46.438728072688399</v>
      </c>
      <c r="AD133">
        <v>46.438728092037898</v>
      </c>
      <c r="AE133">
        <v>46.438728092037898</v>
      </c>
      <c r="AF133">
        <v>46.438728092037898</v>
      </c>
      <c r="AG133">
        <v>46.438728092037898</v>
      </c>
      <c r="AH133">
        <v>46.438728092037898</v>
      </c>
      <c r="AI133">
        <v>46.438728092037898</v>
      </c>
      <c r="AJ133">
        <v>46.438728092037898</v>
      </c>
      <c r="AK133">
        <v>46.438728092037898</v>
      </c>
      <c r="AL133">
        <v>46.438728092037898</v>
      </c>
      <c r="AM133">
        <v>46.438728092037898</v>
      </c>
      <c r="AN133">
        <v>49.838333333333303</v>
      </c>
      <c r="AO133">
        <v>46.837499999999999</v>
      </c>
      <c r="AP133">
        <v>50.57</v>
      </c>
      <c r="AQ133">
        <v>41.5075</v>
      </c>
      <c r="AR133">
        <v>41.902500000000003</v>
      </c>
      <c r="AS133">
        <v>40.902500000000003</v>
      </c>
      <c r="AT133">
        <v>48.591908993784003</v>
      </c>
      <c r="AU133">
        <v>61.754166666666698</v>
      </c>
      <c r="AV133">
        <v>59.378833333333297</v>
      </c>
      <c r="AW133">
        <v>54.905833333333298</v>
      </c>
      <c r="AX133">
        <v>57.095833333333303</v>
      </c>
      <c r="AY133">
        <v>58.0133333333333</v>
      </c>
      <c r="AZ133">
        <v>61.272222222222197</v>
      </c>
      <c r="BA133">
        <v>63.207500000000003</v>
      </c>
      <c r="BB133">
        <v>68.286666666666605</v>
      </c>
      <c r="BC133">
        <v>71.403333333333293</v>
      </c>
      <c r="BD133">
        <v>72.226666666666702</v>
      </c>
      <c r="BE133">
        <v>73.514772079772101</v>
      </c>
      <c r="BF133">
        <v>77.52</v>
      </c>
      <c r="BG133">
        <v>83.892499999999998</v>
      </c>
      <c r="BH133">
        <v>86.188366571699902</v>
      </c>
      <c r="BI133">
        <v>94.427243589743597</v>
      </c>
      <c r="BJ133">
        <v>112.706666666667</v>
      </c>
      <c r="BK133">
        <v>144.055575801282</v>
      </c>
      <c r="BL133">
        <v>186.42974455107199</v>
      </c>
      <c r="BM133">
        <v>191.51795764346301</v>
      </c>
      <c r="BN133">
        <v>166.15370075244201</v>
      </c>
      <c r="BO133">
        <v>152.933756840022</v>
      </c>
      <c r="BP133">
        <v>174.955982783514</v>
      </c>
    </row>
    <row r="134" spans="1:69" x14ac:dyDescent="0.3">
      <c r="A134" t="s">
        <v>270</v>
      </c>
      <c r="B134" t="s">
        <v>271</v>
      </c>
      <c r="C134" t="s">
        <v>6</v>
      </c>
      <c r="D134" t="s">
        <v>7</v>
      </c>
      <c r="E134">
        <v>0.35714299900000002</v>
      </c>
      <c r="F134">
        <v>0.35714299900000002</v>
      </c>
      <c r="G134">
        <v>0.35714299900000002</v>
      </c>
      <c r="H134">
        <v>0.35714299900000002</v>
      </c>
      <c r="I134">
        <v>0.35714299900000002</v>
      </c>
      <c r="J134">
        <v>0.35714299900000002</v>
      </c>
      <c r="K134">
        <v>0.35714299900000002</v>
      </c>
      <c r="L134">
        <v>0.35714299900000002</v>
      </c>
      <c r="M134">
        <v>0.35714299900000002</v>
      </c>
      <c r="N134">
        <v>0.35714299900000002</v>
      </c>
      <c r="O134">
        <v>0.35714299900000002</v>
      </c>
      <c r="P134">
        <v>0.35632574900000002</v>
      </c>
      <c r="Q134">
        <v>0.32894699900000002</v>
      </c>
      <c r="R134">
        <v>0.30002599899999999</v>
      </c>
      <c r="S134">
        <v>0.29605099899999998</v>
      </c>
      <c r="T134">
        <v>0.29605099899999998</v>
      </c>
      <c r="U134">
        <v>0.29605099899999998</v>
      </c>
      <c r="V134">
        <v>0.29605099899999998</v>
      </c>
      <c r="W134">
        <v>0.29605099899999998</v>
      </c>
      <c r="X134">
        <v>0.29605099899999998</v>
      </c>
      <c r="Y134">
        <v>0.296050749</v>
      </c>
      <c r="Z134">
        <v>0.29605174899999998</v>
      </c>
      <c r="AA134">
        <v>0.29605299899999998</v>
      </c>
      <c r="AB134">
        <v>0.29605299908333299</v>
      </c>
      <c r="AC134">
        <v>0.29605299958333298</v>
      </c>
      <c r="AD134">
        <v>0.29605300000000001</v>
      </c>
      <c r="AE134">
        <v>0.31539580253923399</v>
      </c>
      <c r="AF134">
        <v>0.29702864435074999</v>
      </c>
      <c r="AG134">
        <v>0.285766198804</v>
      </c>
      <c r="AH134">
        <v>0.29960165611424999</v>
      </c>
      <c r="AI134">
        <v>0.28317718970299999</v>
      </c>
      <c r="AJ134">
        <v>0.28072831727850001</v>
      </c>
      <c r="AK134">
        <v>0.28155335412458299</v>
      </c>
      <c r="AL134">
        <v>0.30437021879031601</v>
      </c>
      <c r="AM134">
        <v>0.34836821013777403</v>
      </c>
      <c r="AN134">
        <v>0.41814493434980698</v>
      </c>
      <c r="AO134">
        <v>0.43679976921490199</v>
      </c>
      <c r="AP134">
        <v>0.46086611531154498</v>
      </c>
      <c r="AQ134">
        <v>0.46757443745260102</v>
      </c>
      <c r="AR134">
        <v>0.463810768619975</v>
      </c>
      <c r="AS134">
        <v>0.51218961330833301</v>
      </c>
      <c r="AT134">
        <v>0.60506425362333305</v>
      </c>
      <c r="AU134">
        <v>1.2706791739733301</v>
      </c>
      <c r="AV134">
        <v>1.29294412808415</v>
      </c>
      <c r="AW134">
        <v>1.3049661442676701</v>
      </c>
      <c r="AX134">
        <v>1.3083848239159199</v>
      </c>
      <c r="AY134">
        <v>1.3135716247906699</v>
      </c>
      <c r="AZ134">
        <v>1.26264486767833</v>
      </c>
      <c r="BA134">
        <v>1.2235623934186699</v>
      </c>
      <c r="BB134">
        <v>1.2535344886256801</v>
      </c>
      <c r="BC134">
        <v>1.26678941001316</v>
      </c>
      <c r="BD134">
        <v>1.2241524946034601</v>
      </c>
      <c r="BE134">
        <v>1.26165963821484</v>
      </c>
      <c r="BF134">
        <v>1.2716918211177399</v>
      </c>
      <c r="BG134">
        <v>1.27240206718888</v>
      </c>
      <c r="BH134">
        <v>1.38120985962103</v>
      </c>
      <c r="BI134">
        <v>1.39036867889833</v>
      </c>
      <c r="BJ134">
        <v>1.3938200108234999</v>
      </c>
      <c r="BK134">
        <v>1.36496666666667</v>
      </c>
      <c r="BL134">
        <v>1.3982628973692799</v>
      </c>
      <c r="BM134">
        <v>1.3886666834646499</v>
      </c>
      <c r="BN134">
        <v>4.5144250000000001</v>
      </c>
      <c r="BO134">
        <v>4.8131750000000002</v>
      </c>
      <c r="BP134">
        <v>4.8128833333333398</v>
      </c>
      <c r="BQ134">
        <v>4.8322083333333303</v>
      </c>
    </row>
    <row r="135" spans="1:69" x14ac:dyDescent="0.3">
      <c r="A135" t="s">
        <v>272</v>
      </c>
      <c r="B135" t="s">
        <v>273</v>
      </c>
      <c r="C135" t="s">
        <v>6</v>
      </c>
      <c r="D135" t="s">
        <v>7</v>
      </c>
      <c r="E135">
        <v>1.7142900007142901</v>
      </c>
      <c r="F135">
        <v>1.7142900007142901</v>
      </c>
      <c r="G135">
        <v>1.7142900007142901</v>
      </c>
      <c r="H135">
        <v>1.7142900007142901</v>
      </c>
      <c r="I135">
        <v>1.7142900007142901</v>
      </c>
      <c r="J135">
        <v>1.7142900007142901</v>
      </c>
      <c r="K135">
        <v>1.7142900007142901</v>
      </c>
      <c r="L135">
        <v>1.7619083340952399</v>
      </c>
      <c r="M135">
        <v>2.0000000010000001</v>
      </c>
      <c r="N135">
        <v>2.0000000010000001</v>
      </c>
      <c r="O135">
        <v>2.0000000010000001</v>
      </c>
      <c r="P135">
        <v>1.97487273321145</v>
      </c>
      <c r="Q135">
        <v>1.9212781494760101</v>
      </c>
      <c r="R135">
        <v>1.9592192359816101</v>
      </c>
      <c r="S135">
        <v>2.0532324085176299</v>
      </c>
      <c r="T135">
        <v>2.16979583233333</v>
      </c>
      <c r="U135">
        <v>2.6146708328333301</v>
      </c>
      <c r="V135">
        <v>2.7</v>
      </c>
      <c r="W135">
        <v>2.7</v>
      </c>
      <c r="X135">
        <v>2.7</v>
      </c>
      <c r="Y135">
        <v>2.7</v>
      </c>
      <c r="Z135">
        <v>2.7</v>
      </c>
      <c r="AA135">
        <v>2.7</v>
      </c>
      <c r="AB135">
        <v>2.7</v>
      </c>
      <c r="AC135">
        <v>2.7</v>
      </c>
      <c r="AD135">
        <v>2.7</v>
      </c>
      <c r="AE135">
        <v>2.7</v>
      </c>
      <c r="AF135">
        <v>2.7</v>
      </c>
      <c r="AG135">
        <v>2.7</v>
      </c>
      <c r="AH135">
        <v>2.7</v>
      </c>
      <c r="AI135">
        <v>2.7</v>
      </c>
      <c r="AJ135">
        <v>2.7</v>
      </c>
      <c r="AK135">
        <v>2.7</v>
      </c>
      <c r="AL135">
        <v>2.7</v>
      </c>
      <c r="AM135">
        <v>2.7</v>
      </c>
      <c r="AN135">
        <v>2.7</v>
      </c>
      <c r="AO135">
        <v>2.7</v>
      </c>
      <c r="AP135">
        <v>2.7</v>
      </c>
      <c r="AQ135">
        <v>2.7</v>
      </c>
      <c r="AR135">
        <v>2.7</v>
      </c>
      <c r="AS135">
        <v>2.7</v>
      </c>
      <c r="AT135">
        <v>2.7</v>
      </c>
      <c r="AU135">
        <v>2.7</v>
      </c>
      <c r="AV135">
        <v>2.7</v>
      </c>
      <c r="AW135">
        <v>2.7</v>
      </c>
      <c r="AX135">
        <v>2.7</v>
      </c>
      <c r="AY135">
        <v>2.7</v>
      </c>
      <c r="AZ135">
        <v>2.7</v>
      </c>
      <c r="BA135">
        <v>2.7</v>
      </c>
      <c r="BB135">
        <v>2.7</v>
      </c>
      <c r="BC135">
        <v>2.7</v>
      </c>
      <c r="BD135">
        <v>2.7</v>
      </c>
      <c r="BE135">
        <v>2.7</v>
      </c>
      <c r="BF135">
        <v>2.7</v>
      </c>
      <c r="BG135">
        <v>2.7</v>
      </c>
      <c r="BH135">
        <v>2.7</v>
      </c>
      <c r="BI135">
        <v>2.7</v>
      </c>
      <c r="BJ135">
        <v>2.7</v>
      </c>
      <c r="BK135">
        <v>2.7</v>
      </c>
      <c r="BL135">
        <v>2.7</v>
      </c>
      <c r="BM135">
        <v>2.7</v>
      </c>
      <c r="BN135">
        <v>2.7</v>
      </c>
      <c r="BO135">
        <v>2.7</v>
      </c>
      <c r="BP135">
        <v>2.7</v>
      </c>
      <c r="BQ135">
        <v>2.7</v>
      </c>
    </row>
    <row r="136" spans="1:69" x14ac:dyDescent="0.3">
      <c r="A136" t="s">
        <v>274</v>
      </c>
      <c r="B136" t="s">
        <v>275</v>
      </c>
      <c r="C136" t="s">
        <v>6</v>
      </c>
      <c r="D136" t="s">
        <v>7</v>
      </c>
    </row>
    <row r="137" spans="1:69" x14ac:dyDescent="0.3">
      <c r="A137" t="s">
        <v>276</v>
      </c>
      <c r="B137" t="s">
        <v>277</v>
      </c>
      <c r="C137" t="s">
        <v>6</v>
      </c>
      <c r="D137" t="s">
        <v>7</v>
      </c>
    </row>
    <row r="138" spans="1:69" x14ac:dyDescent="0.3">
      <c r="A138" t="s">
        <v>278</v>
      </c>
      <c r="B138" t="s">
        <v>279</v>
      </c>
      <c r="C138" t="s">
        <v>6</v>
      </c>
      <c r="D138" t="s">
        <v>7</v>
      </c>
    </row>
    <row r="139" spans="1:69" x14ac:dyDescent="0.3">
      <c r="A139" t="s">
        <v>280</v>
      </c>
      <c r="B139" t="s">
        <v>281</v>
      </c>
      <c r="C139" t="s">
        <v>6</v>
      </c>
      <c r="D139" t="s">
        <v>7</v>
      </c>
      <c r="E139">
        <v>4.3729500033729503</v>
      </c>
      <c r="F139">
        <v>4.3729500033729503</v>
      </c>
      <c r="G139">
        <v>4.3729500033729503</v>
      </c>
      <c r="H139">
        <v>4.3729500033729503</v>
      </c>
      <c r="I139">
        <v>4.3729500033729503</v>
      </c>
      <c r="J139">
        <v>4.3729500033729503</v>
      </c>
      <c r="K139">
        <v>4.3729500033729503</v>
      </c>
      <c r="L139">
        <v>4.3729500033729503</v>
      </c>
      <c r="M139">
        <v>4.3729500033729503</v>
      </c>
      <c r="N139">
        <v>4.3729500033729503</v>
      </c>
      <c r="O139">
        <v>4.3729500033729503</v>
      </c>
      <c r="P139">
        <v>4.1338541683120198</v>
      </c>
      <c r="Q139">
        <v>3.8192499990000002</v>
      </c>
      <c r="R139">
        <v>3.16483333241667</v>
      </c>
      <c r="S139">
        <v>2.9792499989999999</v>
      </c>
      <c r="T139">
        <v>2.5812833324166702</v>
      </c>
      <c r="U139">
        <v>2.49964166575</v>
      </c>
      <c r="V139">
        <v>2.4035249993333299</v>
      </c>
      <c r="W139">
        <v>1.7880249992499999</v>
      </c>
      <c r="X139">
        <v>1.6627249990833299</v>
      </c>
      <c r="Y139">
        <v>1.67570833258333</v>
      </c>
      <c r="Z139">
        <v>1.9642416659166699</v>
      </c>
      <c r="AA139">
        <v>2.0302749990833302</v>
      </c>
      <c r="AB139">
        <v>2.0991416657499999</v>
      </c>
      <c r="AC139">
        <v>2.34968333283333</v>
      </c>
      <c r="AD139">
        <v>2.457125</v>
      </c>
      <c r="AE139">
        <v>1.7989166665</v>
      </c>
      <c r="AF139">
        <v>1.49119166666667</v>
      </c>
      <c r="AG139">
        <v>1.4633</v>
      </c>
      <c r="AH139">
        <v>1.6359250000000001</v>
      </c>
      <c r="AI139">
        <v>1.3891583333333299</v>
      </c>
      <c r="AJ139">
        <v>1.4339916666666701</v>
      </c>
      <c r="AK139">
        <v>1.40621833333333</v>
      </c>
      <c r="AL139">
        <v>1.4776166666666699</v>
      </c>
      <c r="AM139">
        <v>1.3676925</v>
      </c>
      <c r="AN139">
        <v>1.18246916666667</v>
      </c>
      <c r="AO139">
        <v>1.2360100000000001</v>
      </c>
      <c r="AP139">
        <v>1.4513125</v>
      </c>
      <c r="AQ139">
        <v>1.44981330833333</v>
      </c>
      <c r="AR139">
        <v>1.5021549999999999</v>
      </c>
      <c r="AS139">
        <v>1.6888425</v>
      </c>
      <c r="AT139">
        <v>1.6876150000000001</v>
      </c>
      <c r="AU139">
        <v>1.5586074999999999</v>
      </c>
      <c r="AV139">
        <v>1.34665083333333</v>
      </c>
      <c r="AW139">
        <v>1.2434958333333299</v>
      </c>
      <c r="AX139">
        <v>1.2451766666666699</v>
      </c>
      <c r="AY139">
        <v>1.2538433333333301</v>
      </c>
      <c r="AZ139">
        <v>1.20036583333333</v>
      </c>
      <c r="BA139">
        <v>1.0830900000000001</v>
      </c>
      <c r="BB139">
        <v>1.08814169630268</v>
      </c>
      <c r="BC139">
        <v>1.04290564573352</v>
      </c>
      <c r="BD139">
        <v>0.88804202822328104</v>
      </c>
      <c r="BE139">
        <v>0.93768448070934896</v>
      </c>
      <c r="BF139">
        <v>0.92690354775828498</v>
      </c>
      <c r="BG139">
        <v>0.91615104728361296</v>
      </c>
      <c r="BH139">
        <v>0.96238132800435405</v>
      </c>
      <c r="BI139">
        <v>0.98539439424483499</v>
      </c>
      <c r="BJ139">
        <v>0.98469166666666696</v>
      </c>
      <c r="BK139">
        <v>0.97789166666666705</v>
      </c>
      <c r="BL139">
        <v>0.99370916666666698</v>
      </c>
      <c r="BM139">
        <v>0.93896500000000005</v>
      </c>
      <c r="BN139">
        <v>0.91384583333333302</v>
      </c>
      <c r="BO139">
        <v>0.95483249999999997</v>
      </c>
      <c r="BP139">
        <v>0.89849000000000001</v>
      </c>
      <c r="BQ139">
        <v>0.88044083333333301</v>
      </c>
    </row>
    <row r="140" spans="1:69" x14ac:dyDescent="0.3">
      <c r="A140" t="s">
        <v>282</v>
      </c>
      <c r="B140" t="s">
        <v>283</v>
      </c>
      <c r="C140" t="s">
        <v>6</v>
      </c>
      <c r="D140" t="s">
        <v>7</v>
      </c>
      <c r="E140">
        <v>4.7619000037618999</v>
      </c>
      <c r="F140">
        <v>4.7619000037618999</v>
      </c>
      <c r="G140">
        <v>4.7619000037618999</v>
      </c>
      <c r="H140">
        <v>4.7619000037618999</v>
      </c>
      <c r="I140">
        <v>4.7619000037618999</v>
      </c>
      <c r="J140">
        <v>4.7619000037618999</v>
      </c>
      <c r="K140">
        <v>4.7619000037618999</v>
      </c>
      <c r="L140">
        <v>4.8611058367976199</v>
      </c>
      <c r="M140">
        <v>5.9523700049523702</v>
      </c>
      <c r="N140">
        <v>5.9523700049523702</v>
      </c>
      <c r="O140">
        <v>5.9523700049523702</v>
      </c>
      <c r="P140">
        <v>5.9349486209637803</v>
      </c>
      <c r="Q140">
        <v>5.9703171818733498</v>
      </c>
      <c r="R140">
        <v>6.4024999989999998</v>
      </c>
      <c r="S140">
        <v>6.6507499990000003</v>
      </c>
      <c r="T140">
        <v>7.0071666656666602</v>
      </c>
      <c r="U140">
        <v>8.4119999990833296</v>
      </c>
      <c r="V140">
        <v>8.8728333326666693</v>
      </c>
      <c r="W140">
        <v>15.610666665749999</v>
      </c>
      <c r="X140">
        <v>15.571833332583299</v>
      </c>
      <c r="Y140">
        <v>16.534416666166699</v>
      </c>
      <c r="Z140">
        <v>19.245749999166701</v>
      </c>
      <c r="AA140">
        <v>20.812249998999999</v>
      </c>
      <c r="AB140">
        <v>23.528583332416702</v>
      </c>
      <c r="AC140">
        <v>25.438166666083301</v>
      </c>
      <c r="AD140">
        <v>27.162583333000001</v>
      </c>
      <c r="AE140">
        <v>28.017333333250001</v>
      </c>
      <c r="AF140">
        <v>29.444749999999999</v>
      </c>
      <c r="AG140">
        <v>31.806750000000001</v>
      </c>
      <c r="AH140">
        <v>36.047083333333298</v>
      </c>
      <c r="AI140">
        <v>40.062916666666702</v>
      </c>
      <c r="AJ140">
        <v>41.371499999999997</v>
      </c>
      <c r="AK140">
        <v>43.829625</v>
      </c>
      <c r="AL140">
        <v>48.322167499999999</v>
      </c>
      <c r="AM140">
        <v>49.415141666666699</v>
      </c>
      <c r="AN140">
        <v>51.251589166666697</v>
      </c>
      <c r="AO140">
        <v>55.271444166666697</v>
      </c>
      <c r="AP140">
        <v>58.994605</v>
      </c>
      <c r="AQ140">
        <v>64.450118333333293</v>
      </c>
      <c r="AR140">
        <v>70.635450000000006</v>
      </c>
      <c r="AS140">
        <v>77.005116666666694</v>
      </c>
      <c r="AT140">
        <v>89.383013333333395</v>
      </c>
      <c r="AU140">
        <v>95.662064999999998</v>
      </c>
      <c r="AV140">
        <v>96.520950833333302</v>
      </c>
      <c r="AW140">
        <v>101.1944575</v>
      </c>
      <c r="AX140">
        <v>100.498051666667</v>
      </c>
      <c r="AY140">
        <v>103.914445833333</v>
      </c>
      <c r="AZ140">
        <v>110.623233333333</v>
      </c>
      <c r="BA140">
        <v>108.33376271929799</v>
      </c>
      <c r="BB140">
        <v>114.94478333333301</v>
      </c>
      <c r="BC140">
        <v>113.064480448821</v>
      </c>
      <c r="BD140">
        <v>110.565207851396</v>
      </c>
      <c r="BE140">
        <v>127.60335350681</v>
      </c>
      <c r="BF140">
        <v>129.06903093288801</v>
      </c>
      <c r="BG140">
        <v>130.564685218829</v>
      </c>
      <c r="BH140">
        <v>135.856912797089</v>
      </c>
      <c r="BI140">
        <v>145.58166749202601</v>
      </c>
      <c r="BJ140">
        <v>152.446413948767</v>
      </c>
      <c r="BK140">
        <v>162.46485873677801</v>
      </c>
      <c r="BL140">
        <v>178.74492504584799</v>
      </c>
      <c r="BM140">
        <v>185.59255777221301</v>
      </c>
      <c r="BN140">
        <v>198.76431684465601</v>
      </c>
      <c r="BO140">
        <v>322.63267425647501</v>
      </c>
      <c r="BP140">
        <v>327.50653333333298</v>
      </c>
    </row>
    <row r="141" spans="1:69" x14ac:dyDescent="0.3">
      <c r="A141" t="s">
        <v>284</v>
      </c>
      <c r="B141" t="s">
        <v>285</v>
      </c>
      <c r="C141" t="s">
        <v>6</v>
      </c>
      <c r="D141" t="s">
        <v>7</v>
      </c>
    </row>
    <row r="142" spans="1:69" x14ac:dyDescent="0.3">
      <c r="A142" t="s">
        <v>286</v>
      </c>
      <c r="B142" t="s">
        <v>287</v>
      </c>
      <c r="C142" t="s">
        <v>6</v>
      </c>
      <c r="D142" t="s">
        <v>7</v>
      </c>
    </row>
    <row r="143" spans="1:69" x14ac:dyDescent="0.3">
      <c r="A143" t="s">
        <v>288</v>
      </c>
      <c r="B143" t="s">
        <v>289</v>
      </c>
      <c r="C143" t="s">
        <v>6</v>
      </c>
      <c r="D143" t="s">
        <v>7</v>
      </c>
      <c r="E143">
        <v>0.71428599971428597</v>
      </c>
      <c r="F143">
        <v>0.71428599971428597</v>
      </c>
      <c r="G143">
        <v>0.71428599971428597</v>
      </c>
      <c r="H143">
        <v>0.71428599971428597</v>
      </c>
      <c r="I143">
        <v>0.71428599971428597</v>
      </c>
      <c r="J143">
        <v>0.71428599971428597</v>
      </c>
      <c r="K143">
        <v>0.71428599971428597</v>
      </c>
      <c r="L143">
        <v>0.71428599971428597</v>
      </c>
      <c r="M143">
        <v>0.71428599971428597</v>
      </c>
      <c r="N143">
        <v>0.71428599971428597</v>
      </c>
      <c r="O143">
        <v>0.71428599971428597</v>
      </c>
      <c r="P143">
        <v>0.71521691632142903</v>
      </c>
      <c r="Q143">
        <v>0.76872523719602703</v>
      </c>
      <c r="R143">
        <v>0.69395909802109201</v>
      </c>
      <c r="S143">
        <v>0.67947700357025098</v>
      </c>
      <c r="T143">
        <v>0.73950775529633594</v>
      </c>
      <c r="U143">
        <v>0.86956521814744803</v>
      </c>
      <c r="V143">
        <v>0.86956521814744803</v>
      </c>
      <c r="W143">
        <v>0.86956521814744803</v>
      </c>
      <c r="X143">
        <v>0.84202260193494305</v>
      </c>
      <c r="Y143">
        <v>0.77883373727604199</v>
      </c>
      <c r="Z143">
        <v>0.87757894275815396</v>
      </c>
      <c r="AA143">
        <v>1.0858158330833301</v>
      </c>
      <c r="AB143">
        <v>1.1140999997500001</v>
      </c>
      <c r="AC143">
        <v>1.47527749975</v>
      </c>
      <c r="AD143">
        <v>2.2286749994166701</v>
      </c>
      <c r="AE143">
        <v>2.2850316664166699</v>
      </c>
      <c r="AF143">
        <v>2.03603333333333</v>
      </c>
      <c r="AG143">
        <v>2.2734675000000002</v>
      </c>
      <c r="AH143">
        <v>2.6226775</v>
      </c>
      <c r="AI143">
        <v>2.58732083333333</v>
      </c>
      <c r="AJ143">
        <v>2.7613150000000002</v>
      </c>
      <c r="AK143">
        <v>2.8520141666666698</v>
      </c>
      <c r="AL143">
        <v>3.2677415833333301</v>
      </c>
      <c r="AM143">
        <v>3.5507983333333399</v>
      </c>
      <c r="AN143">
        <v>3.6270850000000001</v>
      </c>
      <c r="AO143">
        <v>4.2993491666666701</v>
      </c>
      <c r="AP143">
        <v>4.6079616666666698</v>
      </c>
      <c r="AQ143">
        <v>5.52828416666667</v>
      </c>
      <c r="AR143">
        <v>6.1094841666666699</v>
      </c>
      <c r="AS143">
        <v>6.9398283333333302</v>
      </c>
      <c r="AT143">
        <v>8.6091808333333404</v>
      </c>
      <c r="AU143">
        <v>10.540746666666699</v>
      </c>
      <c r="AV143">
        <v>7.5647491666666697</v>
      </c>
      <c r="AW143">
        <v>6.4596925000000001</v>
      </c>
      <c r="AX143">
        <v>6.3593283333333304</v>
      </c>
      <c r="AY143">
        <v>6.7715491666666701</v>
      </c>
      <c r="AZ143">
        <v>7.0453650000000003</v>
      </c>
      <c r="BA143">
        <v>8.26122333333333</v>
      </c>
      <c r="BB143">
        <v>8.4736741582488797</v>
      </c>
      <c r="BC143">
        <v>7.3212219611528804</v>
      </c>
      <c r="BD143">
        <v>7.2611321323273499</v>
      </c>
      <c r="BE143">
        <v>8.2099686265933194</v>
      </c>
      <c r="BF143">
        <v>9.6550560691352594</v>
      </c>
      <c r="BG143">
        <v>10.852655568783099</v>
      </c>
      <c r="BH143">
        <v>12.7589308811644</v>
      </c>
      <c r="BI143">
        <v>14.7096108855267</v>
      </c>
      <c r="BJ143">
        <v>13.3238014244992</v>
      </c>
      <c r="BK143">
        <v>13.233926471583301</v>
      </c>
      <c r="BL143">
        <v>14.448427054833299</v>
      </c>
      <c r="BM143">
        <v>16.459105390333299</v>
      </c>
      <c r="BN143">
        <v>14.778678213916701</v>
      </c>
      <c r="BO143">
        <v>16.355853484499999</v>
      </c>
      <c r="BP143">
        <v>18.4502441785</v>
      </c>
      <c r="BQ143">
        <v>18.328657550500001</v>
      </c>
    </row>
    <row r="144" spans="1:69" x14ac:dyDescent="0.3">
      <c r="A144" t="s">
        <v>290</v>
      </c>
      <c r="B144" t="s">
        <v>291</v>
      </c>
      <c r="C144" t="s">
        <v>6</v>
      </c>
      <c r="D144" t="s">
        <v>7</v>
      </c>
    </row>
    <row r="145" spans="1:69" x14ac:dyDescent="0.3">
      <c r="A145" t="s">
        <v>292</v>
      </c>
      <c r="B145" t="s">
        <v>293</v>
      </c>
      <c r="C145" t="s">
        <v>6</v>
      </c>
      <c r="D145" t="s">
        <v>7</v>
      </c>
      <c r="AK145">
        <v>1.77275</v>
      </c>
      <c r="AL145">
        <v>4.3440633333333301</v>
      </c>
      <c r="AM145">
        <v>3.9777499999999999</v>
      </c>
      <c r="AN145">
        <v>4</v>
      </c>
      <c r="AO145">
        <v>4</v>
      </c>
      <c r="AP145">
        <v>4</v>
      </c>
      <c r="AQ145">
        <v>4</v>
      </c>
      <c r="AR145">
        <v>4</v>
      </c>
      <c r="AS145">
        <v>4</v>
      </c>
      <c r="AT145">
        <v>4</v>
      </c>
      <c r="AU145">
        <v>3.6769583333333302</v>
      </c>
      <c r="AV145">
        <v>3.0608666666666702</v>
      </c>
      <c r="AW145">
        <v>2.7805916666666701</v>
      </c>
      <c r="AX145">
        <v>2.774025</v>
      </c>
      <c r="AY145">
        <v>2.7522250000000001</v>
      </c>
      <c r="AZ145">
        <v>2.5237250000000002</v>
      </c>
      <c r="BA145">
        <v>2.357075</v>
      </c>
      <c r="BB145">
        <v>2.48403333333333</v>
      </c>
      <c r="BC145">
        <v>2.6063333333333301</v>
      </c>
      <c r="BD145">
        <v>2.4811000000000001</v>
      </c>
      <c r="BE145">
        <v>2.6862916666666701</v>
      </c>
      <c r="BF145">
        <v>2.60100833333333</v>
      </c>
      <c r="BG145">
        <v>2.6002916666666702</v>
      </c>
      <c r="BH145">
        <v>0.90129642336709603</v>
      </c>
      <c r="BI145">
        <v>0.90342143625726301</v>
      </c>
      <c r="BJ145">
        <v>0.88520550826937205</v>
      </c>
      <c r="BK145">
        <v>0.84677266710811105</v>
      </c>
      <c r="BL145">
        <v>0.89327625706740899</v>
      </c>
      <c r="BM145">
        <v>0.87550639698799804</v>
      </c>
      <c r="BN145">
        <v>0.84549413889045</v>
      </c>
      <c r="BO145">
        <v>0.94962375315694103</v>
      </c>
      <c r="BP145">
        <v>0.92483955847069799</v>
      </c>
      <c r="BQ145">
        <v>0.92388954611760699</v>
      </c>
    </row>
    <row r="146" spans="1:69" x14ac:dyDescent="0.3">
      <c r="A146" t="s">
        <v>294</v>
      </c>
      <c r="B146" t="s">
        <v>295</v>
      </c>
      <c r="C146" t="s">
        <v>6</v>
      </c>
      <c r="D146" t="s">
        <v>7</v>
      </c>
      <c r="E146">
        <v>50.000000049000001</v>
      </c>
      <c r="F146">
        <v>50.000000049000001</v>
      </c>
      <c r="G146">
        <v>50.000000049000001</v>
      </c>
      <c r="H146">
        <v>50.000000049000001</v>
      </c>
      <c r="I146">
        <v>50.000000049000001</v>
      </c>
      <c r="J146">
        <v>50.000000049000001</v>
      </c>
      <c r="K146">
        <v>50.000000049000001</v>
      </c>
      <c r="L146">
        <v>50.000000049000001</v>
      </c>
      <c r="M146">
        <v>50.000000049000001</v>
      </c>
      <c r="N146">
        <v>50.000000049000001</v>
      </c>
      <c r="O146">
        <v>50.000000049000001</v>
      </c>
      <c r="P146">
        <v>49.056977421689901</v>
      </c>
      <c r="Q146">
        <v>44.014583332333302</v>
      </c>
      <c r="R146">
        <v>38.976499998999998</v>
      </c>
      <c r="S146">
        <v>38.951499998999999</v>
      </c>
      <c r="T146">
        <v>36.778916665666699</v>
      </c>
      <c r="U146">
        <v>38.605166665666701</v>
      </c>
      <c r="V146">
        <v>35.842749998999999</v>
      </c>
      <c r="W146">
        <v>31.492083332333301</v>
      </c>
      <c r="X146">
        <v>29.318666665666701</v>
      </c>
      <c r="Y146">
        <v>29.24166666575</v>
      </c>
      <c r="Z146">
        <v>37.129249999166703</v>
      </c>
      <c r="AA146">
        <v>45.690583332333297</v>
      </c>
      <c r="AB146">
        <v>51.131666665833301</v>
      </c>
      <c r="AC146">
        <v>57.783916666416701</v>
      </c>
      <c r="AD146">
        <v>59.378</v>
      </c>
      <c r="AE146">
        <v>44.671916666666696</v>
      </c>
      <c r="AF146">
        <v>37.334083333333297</v>
      </c>
      <c r="AG146">
        <v>36.768333333333302</v>
      </c>
      <c r="AH146">
        <v>39.404000000000003</v>
      </c>
      <c r="AI146">
        <v>33.417916666666699</v>
      </c>
      <c r="AJ146">
        <v>34.148249999999997</v>
      </c>
      <c r="AK146">
        <v>32.149500000000003</v>
      </c>
      <c r="AL146">
        <v>34.596520833333301</v>
      </c>
      <c r="AM146">
        <v>33.456497499999998</v>
      </c>
      <c r="AN146">
        <v>29.4800166666667</v>
      </c>
      <c r="AO146">
        <v>30.961513333333301</v>
      </c>
      <c r="AP146">
        <v>35.773890833333297</v>
      </c>
      <c r="AQ146">
        <v>36.298640833333302</v>
      </c>
      <c r="AR146">
        <v>0.93828307239528297</v>
      </c>
      <c r="AS146">
        <v>1.0827050813260199</v>
      </c>
      <c r="AT146">
        <v>1.1165330856446201</v>
      </c>
      <c r="AU146">
        <v>1.0575589962396501</v>
      </c>
      <c r="AV146">
        <v>0.88404792718492997</v>
      </c>
      <c r="AW146">
        <v>0.80392164774761798</v>
      </c>
      <c r="AX146">
        <v>0.80380019216144205</v>
      </c>
      <c r="AY146">
        <v>0.79643273094910205</v>
      </c>
      <c r="AZ146">
        <v>0.72967239998408295</v>
      </c>
      <c r="BA146">
        <v>0.67992268004272904</v>
      </c>
      <c r="BB146">
        <v>0.71695770201613596</v>
      </c>
      <c r="BC146">
        <v>0.75430899010596097</v>
      </c>
      <c r="BD146">
        <v>0.71841389865331695</v>
      </c>
      <c r="BE146">
        <v>0.77833812041681205</v>
      </c>
      <c r="BF146">
        <v>0.75294512270199598</v>
      </c>
      <c r="BG146">
        <v>0.75272819693260296</v>
      </c>
      <c r="BH146">
        <v>0.90129642336709603</v>
      </c>
      <c r="BI146">
        <v>0.90342143625726301</v>
      </c>
      <c r="BJ146">
        <v>0.88520550826937205</v>
      </c>
      <c r="BK146">
        <v>0.84677266710811105</v>
      </c>
      <c r="BL146">
        <v>0.89327625706740899</v>
      </c>
      <c r="BM146">
        <v>0.87550639698799804</v>
      </c>
      <c r="BN146">
        <v>0.84549413889045</v>
      </c>
      <c r="BO146">
        <v>0.94962375315694103</v>
      </c>
      <c r="BP146">
        <v>0.92483955847069799</v>
      </c>
      <c r="BQ146">
        <v>0.92388954611760699</v>
      </c>
    </row>
    <row r="147" spans="1:69" x14ac:dyDescent="0.3">
      <c r="A147" t="s">
        <v>296</v>
      </c>
      <c r="B147" t="s">
        <v>297</v>
      </c>
      <c r="C147" t="s">
        <v>6</v>
      </c>
      <c r="D147" t="s">
        <v>7</v>
      </c>
      <c r="AK147">
        <v>0.73646666666666605</v>
      </c>
      <c r="AL147">
        <v>0.67533333333333301</v>
      </c>
      <c r="AM147">
        <v>0.55974999999999997</v>
      </c>
      <c r="AN147">
        <v>0.52758333333333296</v>
      </c>
      <c r="AO147">
        <v>0.55074999999999996</v>
      </c>
      <c r="AP147">
        <v>0.58091666666666697</v>
      </c>
      <c r="AQ147">
        <v>0.58983333333333299</v>
      </c>
      <c r="AR147">
        <v>0.58516666666666695</v>
      </c>
      <c r="AS147">
        <v>0.60650000000000004</v>
      </c>
      <c r="AT147">
        <v>0.62791666666666701</v>
      </c>
      <c r="AU147">
        <v>0.61819166666666703</v>
      </c>
      <c r="AV147">
        <v>0.57147499999999996</v>
      </c>
      <c r="AW147">
        <v>0.54023333333333301</v>
      </c>
      <c r="AX147">
        <v>0.56471666666666698</v>
      </c>
      <c r="AY147">
        <v>0.56040833333333295</v>
      </c>
      <c r="AZ147">
        <v>0.51379166666666698</v>
      </c>
      <c r="BA147">
        <v>0.480816666666667</v>
      </c>
      <c r="BB147">
        <v>0.50555000000000005</v>
      </c>
      <c r="BC147">
        <v>0.53047500000000003</v>
      </c>
      <c r="BD147">
        <v>0.50123333333333298</v>
      </c>
      <c r="BE147">
        <v>0.546875</v>
      </c>
      <c r="BF147">
        <v>0.52939166666666704</v>
      </c>
      <c r="BG147">
        <v>0.75272819693260296</v>
      </c>
      <c r="BH147">
        <v>0.90129642336709603</v>
      </c>
      <c r="BI147">
        <v>0.90342143625726301</v>
      </c>
      <c r="BJ147">
        <v>0.88520550826937205</v>
      </c>
      <c r="BK147">
        <v>0.84677266710811105</v>
      </c>
      <c r="BL147">
        <v>0.89327625706740899</v>
      </c>
      <c r="BM147">
        <v>0.87550639698799804</v>
      </c>
      <c r="BN147">
        <v>0.84549413889045</v>
      </c>
      <c r="BO147">
        <v>0.94962375315694103</v>
      </c>
      <c r="BP147">
        <v>0.92483955847069799</v>
      </c>
      <c r="BQ147">
        <v>0.92388954611760699</v>
      </c>
    </row>
    <row r="148" spans="1:69" x14ac:dyDescent="0.3">
      <c r="A148" t="s">
        <v>298</v>
      </c>
      <c r="B148" t="s">
        <v>299</v>
      </c>
      <c r="C148" t="s">
        <v>6</v>
      </c>
      <c r="D148" t="s">
        <v>7</v>
      </c>
      <c r="L148">
        <v>6.0757894730000004</v>
      </c>
      <c r="M148">
        <v>6.0715789468333297</v>
      </c>
      <c r="N148">
        <v>6.0361403504166704</v>
      </c>
      <c r="O148">
        <v>6.05140350825</v>
      </c>
      <c r="P148">
        <v>5.9473684206666704</v>
      </c>
      <c r="Q148">
        <v>5.7145614030000003</v>
      </c>
      <c r="R148">
        <v>4.9287547528333304</v>
      </c>
      <c r="S148">
        <v>5.0397640408333304</v>
      </c>
      <c r="T148">
        <v>5.1264373541666703</v>
      </c>
      <c r="U148">
        <v>6.0614489860000003</v>
      </c>
      <c r="V148">
        <v>5.5737853099999999</v>
      </c>
      <c r="W148">
        <v>5.02916666575</v>
      </c>
      <c r="X148">
        <v>5.1766666656666702</v>
      </c>
      <c r="Y148">
        <v>5.0949999990833303</v>
      </c>
      <c r="Z148">
        <v>5.75166666583333</v>
      </c>
      <c r="AA148">
        <v>6.2258333324999997</v>
      </c>
      <c r="AB148">
        <v>7.4641666659999997</v>
      </c>
      <c r="AC148">
        <v>8.0353499999999993</v>
      </c>
      <c r="AD148">
        <v>7.9988416666666602</v>
      </c>
      <c r="AE148">
        <v>8.0131583333333296</v>
      </c>
      <c r="AF148">
        <v>8.0098083333333303</v>
      </c>
      <c r="AG148">
        <v>8.0405916666666695</v>
      </c>
      <c r="AH148">
        <v>8.0338833333333302</v>
      </c>
      <c r="AI148">
        <v>8.0209916666666707</v>
      </c>
      <c r="AJ148">
        <v>8.0042500000000008</v>
      </c>
      <c r="AK148">
        <v>7.9723416666666704</v>
      </c>
      <c r="AL148">
        <v>7.9675500000000001</v>
      </c>
      <c r="AM148">
        <v>7.9602833333333303</v>
      </c>
      <c r="AN148">
        <v>7.9677583333333297</v>
      </c>
      <c r="AO148">
        <v>7.9664000000000001</v>
      </c>
      <c r="AP148">
        <v>7.9752916666666698</v>
      </c>
      <c r="AQ148">
        <v>7.9787666666666697</v>
      </c>
      <c r="AR148">
        <v>7.9918500000000003</v>
      </c>
      <c r="AS148">
        <v>8.0259</v>
      </c>
      <c r="AT148">
        <v>8.0335000000000001</v>
      </c>
      <c r="AU148">
        <v>8.0334333333333294</v>
      </c>
      <c r="AV148">
        <v>8.0212411666666696</v>
      </c>
      <c r="AW148">
        <v>8.0221710833333297</v>
      </c>
      <c r="AX148">
        <v>8.0110645833333294</v>
      </c>
      <c r="AY148">
        <v>8.0014261666666702</v>
      </c>
      <c r="AZ148">
        <v>8.0358539166666692</v>
      </c>
      <c r="BA148">
        <v>8.0201099166666694</v>
      </c>
      <c r="BB148">
        <v>7.9842833333333303</v>
      </c>
      <c r="BC148">
        <v>8.0022166666666692</v>
      </c>
      <c r="BD148">
        <v>8.0182083333333303</v>
      </c>
      <c r="BE148">
        <v>7.9898635000000002</v>
      </c>
      <c r="BF148">
        <v>7.9892553333333298</v>
      </c>
      <c r="BG148">
        <v>7.9871290000000004</v>
      </c>
      <c r="BH148">
        <v>7.9849604166666701</v>
      </c>
      <c r="BI148">
        <v>7.9950642500000004</v>
      </c>
      <c r="BJ148">
        <v>8.0260010000000008</v>
      </c>
      <c r="BK148">
        <v>8.0725074166666708</v>
      </c>
      <c r="BL148">
        <v>8.0704703333333292</v>
      </c>
      <c r="BM148">
        <v>7.9890619166666603</v>
      </c>
      <c r="BN148">
        <v>8.0055317499999994</v>
      </c>
      <c r="BO148">
        <v>8.0652060833333294</v>
      </c>
      <c r="BP148">
        <v>8.0633900833333296</v>
      </c>
      <c r="BQ148">
        <v>8.03683075</v>
      </c>
    </row>
    <row r="149" spans="1:69" x14ac:dyDescent="0.3">
      <c r="A149" t="s">
        <v>300</v>
      </c>
      <c r="B149" t="s">
        <v>301</v>
      </c>
      <c r="C149" t="s">
        <v>6</v>
      </c>
      <c r="D149" t="s">
        <v>7</v>
      </c>
      <c r="E149">
        <v>4.9370600039370602</v>
      </c>
      <c r="F149">
        <v>4.9370600039370602</v>
      </c>
      <c r="G149">
        <v>4.9370600039370602</v>
      </c>
      <c r="H149">
        <v>4.9370600039370602</v>
      </c>
      <c r="I149">
        <v>4.9370600039370602</v>
      </c>
      <c r="J149">
        <v>4.9370600039370602</v>
      </c>
      <c r="K149">
        <v>4.9370600039370602</v>
      </c>
      <c r="L149">
        <v>4.9370600039370602</v>
      </c>
      <c r="M149">
        <v>4.9370600039370602</v>
      </c>
      <c r="N149">
        <v>5.1941975041942001</v>
      </c>
      <c r="O149">
        <v>5.5541900045541901</v>
      </c>
      <c r="P149">
        <v>5.5406013547209296</v>
      </c>
      <c r="Q149">
        <v>5.0445445156406201</v>
      </c>
      <c r="R149">
        <v>4.4527796739908299</v>
      </c>
      <c r="S149">
        <v>4.8096184728558304</v>
      </c>
      <c r="T149">
        <v>4.2877995153765696</v>
      </c>
      <c r="U149">
        <v>4.8028783632131002</v>
      </c>
      <c r="V149">
        <v>4.9051733225321703</v>
      </c>
      <c r="W149">
        <v>4.5130999993333303</v>
      </c>
      <c r="X149">
        <v>4.2544166660833298</v>
      </c>
      <c r="Y149">
        <v>4.2255749990833298</v>
      </c>
      <c r="Z149">
        <v>5.4346083325833296</v>
      </c>
      <c r="AA149">
        <v>6.5720999990833304</v>
      </c>
      <c r="AB149">
        <v>7.6212916657500003</v>
      </c>
      <c r="AC149">
        <v>8.7390999995833294</v>
      </c>
      <c r="AD149">
        <v>8.9852249997500007</v>
      </c>
      <c r="AE149">
        <v>6.9260916666666699</v>
      </c>
      <c r="AF149">
        <v>6.01070833333333</v>
      </c>
      <c r="AG149">
        <v>5.9569416666666699</v>
      </c>
      <c r="AH149">
        <v>6.3801416666666704</v>
      </c>
      <c r="AI149">
        <v>5.4452749999999996</v>
      </c>
      <c r="AJ149">
        <v>5.64211666666667</v>
      </c>
      <c r="AK149">
        <v>5.2938158333333298</v>
      </c>
      <c r="AL149">
        <v>5.6632300000000004</v>
      </c>
      <c r="AM149">
        <v>5.5520449999999997</v>
      </c>
      <c r="AN149">
        <v>4.9914825</v>
      </c>
      <c r="AO149">
        <v>5.1155225</v>
      </c>
      <c r="AP149">
        <v>5.8366916666666704</v>
      </c>
      <c r="AQ149">
        <v>5.8995156666666704</v>
      </c>
      <c r="AR149">
        <v>0.93828307239528297</v>
      </c>
      <c r="AS149">
        <v>1.0827050813260199</v>
      </c>
      <c r="AT149">
        <v>1.1165330856446201</v>
      </c>
      <c r="AU149">
        <v>1.0575589962396501</v>
      </c>
      <c r="AV149">
        <v>0.88404792718492997</v>
      </c>
      <c r="AW149">
        <v>0.80392164774761798</v>
      </c>
      <c r="AX149">
        <v>0.80380019216144205</v>
      </c>
      <c r="AY149">
        <v>0.79643273094910205</v>
      </c>
      <c r="AZ149">
        <v>0.72967239998408295</v>
      </c>
      <c r="BA149">
        <v>0.67992268004272904</v>
      </c>
      <c r="BB149">
        <v>0.71695770201613596</v>
      </c>
      <c r="BC149">
        <v>0.75430899010596097</v>
      </c>
      <c r="BD149">
        <v>0.71841389865331695</v>
      </c>
      <c r="BE149">
        <v>0.77833812041681205</v>
      </c>
      <c r="BF149">
        <v>0.75294512270199598</v>
      </c>
      <c r="BG149">
        <v>0.75272819693260296</v>
      </c>
      <c r="BH149">
        <v>0.90129642336709603</v>
      </c>
      <c r="BI149">
        <v>0.90342143625726301</v>
      </c>
      <c r="BJ149">
        <v>0.88520550826937205</v>
      </c>
      <c r="BK149">
        <v>0.84677266710811105</v>
      </c>
      <c r="BL149">
        <v>0.89327625706740899</v>
      </c>
      <c r="BM149">
        <v>0.87550639698799804</v>
      </c>
      <c r="BN149">
        <v>0.84549413889045</v>
      </c>
      <c r="BO149">
        <v>0.94962375315694103</v>
      </c>
      <c r="BP149">
        <v>0.92483955847069799</v>
      </c>
      <c r="BQ149">
        <v>0.92388954611760699</v>
      </c>
    </row>
    <row r="150" spans="1:69" x14ac:dyDescent="0.3">
      <c r="A150" t="s">
        <v>302</v>
      </c>
      <c r="B150" t="s">
        <v>303</v>
      </c>
      <c r="C150" t="s">
        <v>6</v>
      </c>
      <c r="D150" t="s">
        <v>7</v>
      </c>
      <c r="E150">
        <v>5.0604900040604903</v>
      </c>
      <c r="F150">
        <v>5.0604900040604903</v>
      </c>
      <c r="G150">
        <v>5.0604900040604903</v>
      </c>
      <c r="H150">
        <v>5.0604900040604903</v>
      </c>
      <c r="I150">
        <v>5.0604900040604903</v>
      </c>
      <c r="J150">
        <v>5.0604900040604903</v>
      </c>
      <c r="K150">
        <v>5.0604900040604903</v>
      </c>
      <c r="L150">
        <v>5.0604900040604903</v>
      </c>
      <c r="M150">
        <v>5.0604900040604903</v>
      </c>
      <c r="N150">
        <v>5.0604900040604903</v>
      </c>
      <c r="O150">
        <v>5.0604900040604903</v>
      </c>
      <c r="P150">
        <v>5.0499588536115603</v>
      </c>
      <c r="Q150">
        <v>4.5924803201409503</v>
      </c>
      <c r="R150">
        <v>4.1069208323333397</v>
      </c>
      <c r="S150">
        <v>4.3697666656666696</v>
      </c>
      <c r="T150">
        <v>4.0524874989999997</v>
      </c>
      <c r="U150">
        <v>4.4193124990000001</v>
      </c>
      <c r="V150">
        <v>4.5033458323333297</v>
      </c>
      <c r="W150">
        <v>4.1666708323333301</v>
      </c>
      <c r="X150">
        <v>3.8991341656666698</v>
      </c>
      <c r="Y150">
        <v>3.93664583233334</v>
      </c>
      <c r="Z150">
        <v>5.1722958323333303</v>
      </c>
      <c r="AA150">
        <v>6.0230224989999996</v>
      </c>
      <c r="AB150">
        <v>7.1113233323333302</v>
      </c>
      <c r="AC150">
        <v>8.8105358327500003</v>
      </c>
      <c r="AD150">
        <v>10.0624941664167</v>
      </c>
      <c r="AE150">
        <v>9.1044416664166707</v>
      </c>
      <c r="AF150">
        <v>8.3592250000000003</v>
      </c>
      <c r="AG150">
        <v>8.2091499999999993</v>
      </c>
      <c r="AH150">
        <v>8.4881700000000002</v>
      </c>
      <c r="AI150">
        <v>8.2423416666666593</v>
      </c>
      <c r="AJ150">
        <v>8.70655</v>
      </c>
      <c r="AK150">
        <v>8.5378749999999997</v>
      </c>
      <c r="AL150">
        <v>9.2987091666666704</v>
      </c>
      <c r="AM150">
        <v>9.2027149999999995</v>
      </c>
      <c r="AN150">
        <v>8.5402358333333392</v>
      </c>
      <c r="AO150">
        <v>8.7158758333333299</v>
      </c>
      <c r="AP150">
        <v>9.5271066666666702</v>
      </c>
      <c r="AQ150">
        <v>9.6044158333333307</v>
      </c>
      <c r="AR150">
        <v>9.8044191666666691</v>
      </c>
      <c r="AS150">
        <v>10.6256361666667</v>
      </c>
      <c r="AT150">
        <v>11.302975</v>
      </c>
      <c r="AU150">
        <v>11.020583333333301</v>
      </c>
      <c r="AV150">
        <v>9.5743833333333299</v>
      </c>
      <c r="AW150">
        <v>8.8680166666666693</v>
      </c>
      <c r="AX150">
        <v>8.8650083333333392</v>
      </c>
      <c r="AY150">
        <v>8.7955833333333295</v>
      </c>
      <c r="AZ150">
        <v>8.1923333333333304</v>
      </c>
      <c r="BA150">
        <v>7.7503250000000001</v>
      </c>
      <c r="BB150">
        <v>8.0571000000000002</v>
      </c>
      <c r="BC150">
        <v>8.4171583333333295</v>
      </c>
      <c r="BD150">
        <v>8.0898749999999993</v>
      </c>
      <c r="BE150">
        <v>8.6284445833333301</v>
      </c>
      <c r="BF150">
        <v>8.4055039167442995</v>
      </c>
      <c r="BG150">
        <v>8.4063366882615203</v>
      </c>
      <c r="BH150">
        <v>9.7643482795011103</v>
      </c>
      <c r="BI150">
        <v>9.8074760315024996</v>
      </c>
      <c r="BJ150">
        <v>9.6919978888288991</v>
      </c>
      <c r="BK150">
        <v>9.3861024209197197</v>
      </c>
      <c r="BL150">
        <v>9.6170760995074307</v>
      </c>
      <c r="BM150">
        <v>9.4968473222196899</v>
      </c>
      <c r="BN150">
        <v>8.9884840241413801</v>
      </c>
      <c r="BO150">
        <v>10.160660243035901</v>
      </c>
      <c r="BP150">
        <v>10.131426097089699</v>
      </c>
      <c r="BQ150">
        <v>9.9423592167919796</v>
      </c>
    </row>
    <row r="151" spans="1:69" x14ac:dyDescent="0.3">
      <c r="A151" t="s">
        <v>304</v>
      </c>
      <c r="B151" t="s">
        <v>305</v>
      </c>
      <c r="C151" t="s">
        <v>6</v>
      </c>
      <c r="D151" t="s">
        <v>7</v>
      </c>
      <c r="E151">
        <v>4.9370600039370602</v>
      </c>
      <c r="F151">
        <v>4.9370600039370602</v>
      </c>
      <c r="G151">
        <v>4.9370600039370602</v>
      </c>
      <c r="H151">
        <v>4.9370600039370602</v>
      </c>
      <c r="I151">
        <v>4.9370600039370602</v>
      </c>
      <c r="J151">
        <v>4.9370600039370602</v>
      </c>
      <c r="K151">
        <v>4.9370600039370602</v>
      </c>
      <c r="L151">
        <v>4.9370600039370602</v>
      </c>
      <c r="M151">
        <v>4.9370600039370602</v>
      </c>
      <c r="N151">
        <v>5.1941975041942001</v>
      </c>
      <c r="O151">
        <v>5.5541900045541901</v>
      </c>
      <c r="P151">
        <v>5.5406013547209296</v>
      </c>
      <c r="Q151">
        <v>5.0445445156406201</v>
      </c>
      <c r="R151">
        <v>4.4527796739908299</v>
      </c>
      <c r="S151">
        <v>4.8096184728558304</v>
      </c>
      <c r="T151">
        <v>4.2877995153765696</v>
      </c>
      <c r="U151">
        <v>4.8028783632131002</v>
      </c>
      <c r="V151">
        <v>4.9051733225321703</v>
      </c>
      <c r="W151">
        <v>4.5130999993333303</v>
      </c>
      <c r="X151">
        <v>4.2544166660833298</v>
      </c>
      <c r="Y151">
        <v>4.2255749990833298</v>
      </c>
      <c r="Z151">
        <v>5.4346083325833296</v>
      </c>
      <c r="AA151">
        <v>6.5720999990833304</v>
      </c>
      <c r="AB151">
        <v>7.6212916657500003</v>
      </c>
      <c r="AC151">
        <v>8.7390999995833294</v>
      </c>
      <c r="AD151">
        <v>8.9852249997500007</v>
      </c>
      <c r="AE151">
        <v>6.9260916666666699</v>
      </c>
      <c r="AF151">
        <v>6.01070833333333</v>
      </c>
      <c r="AG151">
        <v>5.9569416666666699</v>
      </c>
      <c r="AH151">
        <v>6.3801416666666704</v>
      </c>
      <c r="AI151">
        <v>5.4452749999999996</v>
      </c>
      <c r="AJ151">
        <v>5.64211666666667</v>
      </c>
      <c r="AK151">
        <v>5.2938158333333298</v>
      </c>
      <c r="AL151">
        <v>5.6632300000000004</v>
      </c>
      <c r="AM151">
        <v>5.5520449999999997</v>
      </c>
      <c r="AN151">
        <v>4.9914825</v>
      </c>
      <c r="AO151">
        <v>5.1155225</v>
      </c>
      <c r="AP151">
        <v>5.8366916666666704</v>
      </c>
      <c r="AQ151">
        <v>5.8995156666666704</v>
      </c>
      <c r="AR151">
        <v>0.93828307239528297</v>
      </c>
      <c r="AS151">
        <v>1.0827050813260199</v>
      </c>
      <c r="AT151">
        <v>1.1165330856446201</v>
      </c>
      <c r="AU151">
        <v>1.0575589962396501</v>
      </c>
      <c r="AV151">
        <v>0.88404792718492997</v>
      </c>
      <c r="AW151">
        <v>0.80392164774761798</v>
      </c>
      <c r="AX151">
        <v>0.80380019216144205</v>
      </c>
      <c r="AY151">
        <v>0.79643273094910205</v>
      </c>
      <c r="AZ151">
        <v>0.72967239998408295</v>
      </c>
      <c r="BA151">
        <v>0.67992268004272904</v>
      </c>
      <c r="BB151">
        <v>0.71695770201613596</v>
      </c>
      <c r="BC151">
        <v>0.75430899010596097</v>
      </c>
      <c r="BD151">
        <v>0.71841389865331695</v>
      </c>
      <c r="BE151">
        <v>0.77833812041681205</v>
      </c>
      <c r="BF151">
        <v>0.75294512270199598</v>
      </c>
      <c r="BG151">
        <v>0.75272819693260296</v>
      </c>
      <c r="BH151">
        <v>0.90129642336709603</v>
      </c>
      <c r="BI151">
        <v>0.90342143625726301</v>
      </c>
      <c r="BJ151">
        <v>0.88520550826937205</v>
      </c>
      <c r="BK151">
        <v>0.84677266710811105</v>
      </c>
      <c r="BL151">
        <v>0.89327625706740899</v>
      </c>
      <c r="BM151">
        <v>0.87550639698799804</v>
      </c>
      <c r="BN151">
        <v>0.84549413889045</v>
      </c>
      <c r="BO151">
        <v>0.94962375315694103</v>
      </c>
      <c r="BP151">
        <v>0.92483955847069799</v>
      </c>
      <c r="BQ151">
        <v>0.92388954611760699</v>
      </c>
    </row>
    <row r="152" spans="1:69" x14ac:dyDescent="0.3">
      <c r="A152" t="s">
        <v>306</v>
      </c>
      <c r="B152" t="s">
        <v>307</v>
      </c>
      <c r="C152" t="s">
        <v>6</v>
      </c>
      <c r="D152" t="s">
        <v>7</v>
      </c>
      <c r="AN152">
        <v>4.4958</v>
      </c>
      <c r="AO152">
        <v>4.6044833333333397</v>
      </c>
      <c r="AP152">
        <v>4.6235833333333298</v>
      </c>
      <c r="AQ152">
        <v>5.3707000000000003</v>
      </c>
      <c r="AR152">
        <v>10.5158083333333</v>
      </c>
      <c r="AS152">
        <v>12.4342166666667</v>
      </c>
      <c r="AT152">
        <v>12.8651416666667</v>
      </c>
      <c r="AU152">
        <v>13.5704975</v>
      </c>
      <c r="AV152">
        <v>13.9448833333333</v>
      </c>
      <c r="AW152">
        <v>12.3297166666667</v>
      </c>
      <c r="AX152">
        <v>12.599625</v>
      </c>
      <c r="AY152">
        <v>13.1310583333333</v>
      </c>
      <c r="AZ152">
        <v>12.1399449731183</v>
      </c>
      <c r="BA152">
        <v>10.3920436827957</v>
      </c>
      <c r="BB152">
        <v>11.1095754339478</v>
      </c>
      <c r="BC152">
        <v>12.369260961341499</v>
      </c>
      <c r="BD152">
        <v>11.7386124865591</v>
      </c>
      <c r="BE152">
        <v>12.1114368159066</v>
      </c>
      <c r="BF152">
        <v>12.5867562314388</v>
      </c>
      <c r="BG152">
        <v>14.035630049923199</v>
      </c>
      <c r="BH152">
        <v>18.818475145289302</v>
      </c>
      <c r="BI152">
        <v>19.923827563342002</v>
      </c>
      <c r="BJ152">
        <v>18.499034887352799</v>
      </c>
      <c r="BK152">
        <v>16.8020517223502</v>
      </c>
      <c r="BL152">
        <v>17.573468866487499</v>
      </c>
      <c r="BM152">
        <v>17.321835209183099</v>
      </c>
      <c r="BN152">
        <v>17.680466141833101</v>
      </c>
      <c r="BO152">
        <v>18.897189619815698</v>
      </c>
      <c r="BP152">
        <v>18.163937759216601</v>
      </c>
      <c r="BQ152">
        <v>17.791907688172</v>
      </c>
    </row>
    <row r="153" spans="1:69" x14ac:dyDescent="0.3">
      <c r="A153" t="s">
        <v>308</v>
      </c>
      <c r="B153" t="s">
        <v>309</v>
      </c>
      <c r="C153" t="s">
        <v>6</v>
      </c>
      <c r="D153" t="s">
        <v>7</v>
      </c>
      <c r="E153">
        <v>49.370600049526097</v>
      </c>
      <c r="F153">
        <v>49.370600049526097</v>
      </c>
      <c r="G153">
        <v>49.370600049526097</v>
      </c>
      <c r="H153">
        <v>49.370600049526097</v>
      </c>
      <c r="I153">
        <v>49.370600049526097</v>
      </c>
      <c r="J153">
        <v>49.370600049526097</v>
      </c>
      <c r="K153">
        <v>49.370600049526097</v>
      </c>
      <c r="L153">
        <v>49.370600049526097</v>
      </c>
      <c r="M153">
        <v>49.370600049526097</v>
      </c>
      <c r="N153">
        <v>51.941975052032703</v>
      </c>
      <c r="O153">
        <v>55.541900055541902</v>
      </c>
      <c r="P153">
        <v>55.426325050080102</v>
      </c>
      <c r="Q153">
        <v>50.405333331666597</v>
      </c>
      <c r="R153">
        <v>44.577666666666701</v>
      </c>
      <c r="S153">
        <v>48.140749999999997</v>
      </c>
      <c r="T153">
        <v>42.862416663333299</v>
      </c>
      <c r="U153">
        <v>47.789916663333301</v>
      </c>
      <c r="V153">
        <v>49.135749992500003</v>
      </c>
      <c r="W153">
        <v>45.130999993333297</v>
      </c>
      <c r="X153">
        <v>42.544166660833298</v>
      </c>
      <c r="Y153">
        <v>42.255749990833301</v>
      </c>
      <c r="Z153">
        <v>54.346083325833298</v>
      </c>
      <c r="AA153">
        <v>69.947166664166701</v>
      </c>
      <c r="AB153">
        <v>86.089833333333303</v>
      </c>
      <c r="AC153">
        <v>115.32850000000001</v>
      </c>
      <c r="AD153">
        <v>132.49549999999999</v>
      </c>
      <c r="AE153">
        <v>135.26816666666701</v>
      </c>
      <c r="AF153">
        <v>213.84266666666699</v>
      </c>
      <c r="AG153">
        <v>281.421333333333</v>
      </c>
      <c r="AH153">
        <v>320.6875</v>
      </c>
      <c r="AI153">
        <v>298.82933333333301</v>
      </c>
      <c r="AJ153">
        <v>367.072</v>
      </c>
      <c r="AK153">
        <v>372.79333333333398</v>
      </c>
      <c r="AL153">
        <v>382.75650000000002</v>
      </c>
      <c r="AM153">
        <v>613.467166666666</v>
      </c>
      <c r="AN153">
        <v>853.12633333333304</v>
      </c>
      <c r="AO153">
        <v>812.25033333333397</v>
      </c>
      <c r="AP153">
        <v>1018.17716666667</v>
      </c>
      <c r="AQ153">
        <v>1088.27966666667</v>
      </c>
      <c r="AR153">
        <v>1256.7550000000001</v>
      </c>
      <c r="AS153">
        <v>1353.49616666667</v>
      </c>
      <c r="AT153">
        <v>1317.69883333333</v>
      </c>
      <c r="AU153">
        <v>1366.39116666667</v>
      </c>
      <c r="AV153">
        <v>1238.32766666667</v>
      </c>
      <c r="AW153">
        <v>1868.8578333333301</v>
      </c>
      <c r="AX153">
        <v>2003.02583333333</v>
      </c>
      <c r="AY153">
        <v>2142.3016666666699</v>
      </c>
      <c r="AZ153">
        <v>1873.87666666667</v>
      </c>
      <c r="BA153">
        <v>1708.37083333333</v>
      </c>
      <c r="BB153">
        <v>1956.20583333333</v>
      </c>
      <c r="BC153">
        <v>2089.9499999999998</v>
      </c>
      <c r="BD153">
        <v>2025.1175000000001</v>
      </c>
      <c r="BE153">
        <v>2194.9666666666699</v>
      </c>
      <c r="BF153">
        <v>2206.9141666666701</v>
      </c>
      <c r="BG153">
        <v>2414.8116666666701</v>
      </c>
      <c r="BH153">
        <v>2933.50833333333</v>
      </c>
      <c r="BI153">
        <v>3176.5391666666701</v>
      </c>
      <c r="BJ153">
        <v>3116.11</v>
      </c>
      <c r="BK153">
        <v>3334.75225490196</v>
      </c>
      <c r="BL153">
        <v>3618.3218581607198</v>
      </c>
      <c r="BM153">
        <v>3787.7540581757398</v>
      </c>
      <c r="BN153">
        <v>3829.9778493297599</v>
      </c>
      <c r="BO153">
        <v>4096.1161837453501</v>
      </c>
      <c r="BP153">
        <v>4429.5792141902202</v>
      </c>
      <c r="BQ153">
        <v>4525.4247209915202</v>
      </c>
    </row>
    <row r="154" spans="1:69" x14ac:dyDescent="0.3">
      <c r="A154" t="s">
        <v>310</v>
      </c>
      <c r="B154" t="s">
        <v>311</v>
      </c>
      <c r="C154" t="s">
        <v>6</v>
      </c>
      <c r="D154" t="s">
        <v>7</v>
      </c>
      <c r="E154">
        <v>4.7619000037618999</v>
      </c>
      <c r="F154">
        <v>4.7619000037618999</v>
      </c>
      <c r="G154">
        <v>4.7619000037618999</v>
      </c>
      <c r="H154">
        <v>4.7619000037618999</v>
      </c>
      <c r="I154">
        <v>4.7619000037618999</v>
      </c>
      <c r="J154">
        <v>4.7619000037618999</v>
      </c>
      <c r="K154">
        <v>4.7619000037618999</v>
      </c>
      <c r="L154">
        <v>4.7609083363015801</v>
      </c>
      <c r="M154">
        <v>4.7499999989999999</v>
      </c>
      <c r="N154">
        <v>4.7499999989999999</v>
      </c>
      <c r="O154">
        <v>4.7499999989999999</v>
      </c>
      <c r="P154">
        <v>4.7344166656666697</v>
      </c>
      <c r="Q154">
        <v>4.3749999989999999</v>
      </c>
      <c r="R154">
        <v>3.9856666656666699</v>
      </c>
      <c r="S154">
        <v>3.9299999990000001</v>
      </c>
      <c r="T154">
        <v>5.7648333323333301</v>
      </c>
      <c r="U154">
        <v>8.3646666663333296</v>
      </c>
      <c r="V154">
        <v>8.7667499995</v>
      </c>
      <c r="W154">
        <v>8.9687499994166693</v>
      </c>
      <c r="X154">
        <v>7.48858333233333</v>
      </c>
      <c r="Y154">
        <v>7.5499999989999997</v>
      </c>
      <c r="Z154">
        <v>7.5499999989999997</v>
      </c>
      <c r="AA154">
        <v>7.1736666656666701</v>
      </c>
      <c r="AB154">
        <v>7.0499999989999997</v>
      </c>
      <c r="AC154">
        <v>7.0499999995833296</v>
      </c>
      <c r="AD154">
        <v>7.0980833333333297</v>
      </c>
      <c r="AE154">
        <v>7.1507333333333296</v>
      </c>
      <c r="AF154">
        <v>9.2230000000000008</v>
      </c>
      <c r="AG154">
        <v>8.7845833333333303</v>
      </c>
      <c r="AH154">
        <v>9.0408333333333299</v>
      </c>
      <c r="AI154">
        <v>9.5517416666666701</v>
      </c>
      <c r="AJ154">
        <v>10.2526666666667</v>
      </c>
      <c r="AK154">
        <v>10.5691666666667</v>
      </c>
      <c r="AL154">
        <v>10.956991666666701</v>
      </c>
      <c r="AM154">
        <v>11.585750000000001</v>
      </c>
      <c r="AN154">
        <v>11.77</v>
      </c>
      <c r="AO154">
        <v>11.77</v>
      </c>
      <c r="AP154">
        <v>11.77</v>
      </c>
      <c r="AQ154">
        <v>11.77</v>
      </c>
      <c r="AR154">
        <v>11.77</v>
      </c>
      <c r="AS154">
        <v>11.77</v>
      </c>
      <c r="AT154">
        <v>12.2420833333333</v>
      </c>
      <c r="AU154">
        <v>12.8</v>
      </c>
      <c r="AV154">
        <v>12.8</v>
      </c>
      <c r="AW154">
        <v>12.8</v>
      </c>
      <c r="AX154">
        <v>12.8</v>
      </c>
      <c r="AY154">
        <v>12.8</v>
      </c>
      <c r="AZ154">
        <v>12.8</v>
      </c>
      <c r="BA154">
        <v>12.8</v>
      </c>
      <c r="BB154">
        <v>12.8</v>
      </c>
      <c r="BC154">
        <v>12.8</v>
      </c>
      <c r="BD154">
        <v>14.6020084036964</v>
      </c>
      <c r="BE154">
        <v>15.364835316359599</v>
      </c>
      <c r="BF154">
        <v>15.3667100302841</v>
      </c>
      <c r="BG154">
        <v>15.380393518089299</v>
      </c>
      <c r="BH154">
        <v>15.3663312211982</v>
      </c>
      <c r="BI154">
        <v>15.3684076818158</v>
      </c>
      <c r="BJ154">
        <v>15.3869685099846</v>
      </c>
      <c r="BK154">
        <v>15.3908372695852</v>
      </c>
      <c r="BL154">
        <v>15.382041922683101</v>
      </c>
      <c r="BM154">
        <v>15.381269527870501</v>
      </c>
      <c r="BN154">
        <v>15.3726984126984</v>
      </c>
      <c r="BO154">
        <v>15.386625</v>
      </c>
      <c r="BP154">
        <v>15.386794354838701</v>
      </c>
      <c r="BQ154">
        <v>15.3891963292547</v>
      </c>
    </row>
    <row r="155" spans="1:69" x14ac:dyDescent="0.3">
      <c r="A155" t="s">
        <v>312</v>
      </c>
      <c r="B155" t="s">
        <v>313</v>
      </c>
      <c r="C155" t="s">
        <v>6</v>
      </c>
      <c r="D155" t="s">
        <v>7</v>
      </c>
    </row>
    <row r="156" spans="1:69" x14ac:dyDescent="0.3">
      <c r="A156" t="s">
        <v>314</v>
      </c>
      <c r="B156" t="s">
        <v>315</v>
      </c>
      <c r="C156" t="s">
        <v>6</v>
      </c>
      <c r="D156" t="s">
        <v>7</v>
      </c>
      <c r="E156">
        <v>1.25000000125E-2</v>
      </c>
      <c r="F156">
        <v>1.25000000125E-2</v>
      </c>
      <c r="G156">
        <v>1.25000000125E-2</v>
      </c>
      <c r="H156">
        <v>1.25000000125E-2</v>
      </c>
      <c r="I156">
        <v>1.25000000125E-2</v>
      </c>
      <c r="J156">
        <v>1.25000000125E-2</v>
      </c>
      <c r="K156">
        <v>1.25000000125E-2</v>
      </c>
      <c r="L156">
        <v>1.25000000125E-2</v>
      </c>
      <c r="M156">
        <v>1.25000000125E-2</v>
      </c>
      <c r="N156">
        <v>1.25000000125E-2</v>
      </c>
      <c r="O156">
        <v>1.25000000125E-2</v>
      </c>
      <c r="P156">
        <v>1.25000000114583E-2</v>
      </c>
      <c r="Q156">
        <v>1.2500023037919901E-2</v>
      </c>
      <c r="R156">
        <v>1.24999519112712E-2</v>
      </c>
      <c r="S156">
        <v>1.24999689192605E-2</v>
      </c>
      <c r="T156">
        <v>1.2500000000000001E-2</v>
      </c>
      <c r="U156">
        <v>1.54258499996667E-2</v>
      </c>
      <c r="V156">
        <v>2.2572866665750001E-2</v>
      </c>
      <c r="W156">
        <v>2.2767283332333299E-2</v>
      </c>
      <c r="X156">
        <v>2.2805383332333298E-2</v>
      </c>
      <c r="Y156">
        <v>2.2951008332333302E-2</v>
      </c>
      <c r="Z156">
        <v>2.45145999990833E-2</v>
      </c>
      <c r="AA156">
        <v>5.6401699999250002E-2</v>
      </c>
      <c r="AB156">
        <v>0.1200935833325</v>
      </c>
      <c r="AC156">
        <v>0.16782758333266701</v>
      </c>
      <c r="AD156">
        <v>0.25687158333316701</v>
      </c>
      <c r="AE156">
        <v>0.611772583333</v>
      </c>
      <c r="AF156">
        <v>1.3781825000000001</v>
      </c>
      <c r="AG156">
        <v>2.2731050000000002</v>
      </c>
      <c r="AH156">
        <v>2.4614725000000002</v>
      </c>
      <c r="AI156">
        <v>2.8125991666666699</v>
      </c>
      <c r="AJ156">
        <v>3.0184299999999999</v>
      </c>
      <c r="AK156">
        <v>3.09489833333333</v>
      </c>
      <c r="AL156">
        <v>3.11561666666667</v>
      </c>
      <c r="AM156">
        <v>3.3751166666666701</v>
      </c>
      <c r="AN156">
        <v>6.4194250000000004</v>
      </c>
      <c r="AO156">
        <v>7.5994484166666698</v>
      </c>
      <c r="AP156">
        <v>7.9184599999999996</v>
      </c>
      <c r="AQ156">
        <v>9.1360417500000004</v>
      </c>
      <c r="AR156">
        <v>9.5603975000000005</v>
      </c>
      <c r="AS156">
        <v>9.4555583333333306</v>
      </c>
      <c r="AT156">
        <v>9.3423416666666697</v>
      </c>
      <c r="AU156">
        <v>9.6559583333333308</v>
      </c>
      <c r="AV156">
        <v>10.7890191666667</v>
      </c>
      <c r="AW156">
        <v>11.285966666666701</v>
      </c>
      <c r="AX156">
        <v>10.8978916666667</v>
      </c>
      <c r="AY156">
        <v>10.8992416666667</v>
      </c>
      <c r="AZ156">
        <v>10.9281916666667</v>
      </c>
      <c r="BA156">
        <v>11.129716666666701</v>
      </c>
      <c r="BB156">
        <v>13.513475</v>
      </c>
      <c r="BC156">
        <v>12.636008333333301</v>
      </c>
      <c r="BD156">
        <v>12.423325</v>
      </c>
      <c r="BE156">
        <v>13.169458333333299</v>
      </c>
      <c r="BF156">
        <v>12.7719916666667</v>
      </c>
      <c r="BG156">
        <v>13.292450000000001</v>
      </c>
      <c r="BH156">
        <v>15.848266666666699</v>
      </c>
      <c r="BI156">
        <v>18.664058333333301</v>
      </c>
      <c r="BJ156">
        <v>18.9265166666667</v>
      </c>
      <c r="BK156">
        <v>19.244341666666699</v>
      </c>
      <c r="BL156">
        <v>19.263633333333299</v>
      </c>
      <c r="BM156">
        <v>21.4856083333333</v>
      </c>
      <c r="BN156">
        <v>20.272408333333299</v>
      </c>
      <c r="BO156">
        <v>20.12735</v>
      </c>
      <c r="BP156">
        <v>17.7587166666667</v>
      </c>
      <c r="BQ156">
        <v>18.3048583333333</v>
      </c>
    </row>
    <row r="157" spans="1:69" x14ac:dyDescent="0.3">
      <c r="A157" t="s">
        <v>316</v>
      </c>
      <c r="B157" t="s">
        <v>317</v>
      </c>
      <c r="C157" t="s">
        <v>6</v>
      </c>
      <c r="D157" t="s">
        <v>7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</row>
    <row r="158" spans="1:69" x14ac:dyDescent="0.3">
      <c r="A158" t="s">
        <v>318</v>
      </c>
      <c r="B158" t="s">
        <v>319</v>
      </c>
      <c r="C158" t="s">
        <v>6</v>
      </c>
      <c r="D158" t="s">
        <v>7</v>
      </c>
    </row>
    <row r="159" spans="1:69" x14ac:dyDescent="0.3">
      <c r="A159" t="s">
        <v>320</v>
      </c>
      <c r="B159" t="s">
        <v>321</v>
      </c>
      <c r="C159" t="s">
        <v>6</v>
      </c>
      <c r="D159" t="s">
        <v>7</v>
      </c>
      <c r="AM159">
        <v>43.263183333333302</v>
      </c>
      <c r="AN159">
        <v>37.881758333333302</v>
      </c>
      <c r="AO159">
        <v>39.981074999999997</v>
      </c>
      <c r="AP159">
        <v>50.003549999999997</v>
      </c>
      <c r="AQ159">
        <v>54.461733333333299</v>
      </c>
      <c r="AR159">
        <v>56.901828333333299</v>
      </c>
      <c r="AS159">
        <v>65.903866666666602</v>
      </c>
      <c r="AT159">
        <v>68.037133333333301</v>
      </c>
      <c r="AU159">
        <v>64.349791666666704</v>
      </c>
      <c r="AV159">
        <v>54.322258333333302</v>
      </c>
      <c r="AW159">
        <v>49.409933333333299</v>
      </c>
      <c r="AX159">
        <v>49.2836833333333</v>
      </c>
      <c r="AY159">
        <v>48.801766666666701</v>
      </c>
      <c r="AZ159">
        <v>44.7298166666667</v>
      </c>
      <c r="BA159">
        <v>41.867683333333297</v>
      </c>
      <c r="BB159">
        <v>44.100574999999999</v>
      </c>
      <c r="BC159">
        <v>46.4853916666667</v>
      </c>
      <c r="BD159">
        <v>44.230825000000003</v>
      </c>
      <c r="BE159">
        <v>47.890250000000002</v>
      </c>
      <c r="BF159">
        <v>46.395341666666702</v>
      </c>
      <c r="BG159">
        <v>46.437130833333299</v>
      </c>
      <c r="BH159">
        <v>55.537075000000002</v>
      </c>
      <c r="BI159">
        <v>55.731724999999997</v>
      </c>
      <c r="BJ159">
        <v>54.665458333333298</v>
      </c>
      <c r="BK159">
        <v>52.107108333333301</v>
      </c>
      <c r="BL159">
        <v>54.947200000000002</v>
      </c>
      <c r="BM159">
        <v>54.144325000000002</v>
      </c>
      <c r="BN159">
        <v>52.1021583333333</v>
      </c>
      <c r="BO159">
        <v>58.574391666666699</v>
      </c>
      <c r="BP159">
        <v>56.947191666666697</v>
      </c>
      <c r="BQ159">
        <v>56.872633333333297</v>
      </c>
    </row>
    <row r="160" spans="1:69" x14ac:dyDescent="0.3">
      <c r="A160" t="s">
        <v>322</v>
      </c>
      <c r="B160" t="s">
        <v>323</v>
      </c>
      <c r="C160" t="s">
        <v>6</v>
      </c>
      <c r="D160" t="s">
        <v>7</v>
      </c>
      <c r="E160">
        <v>245.19510139835899</v>
      </c>
      <c r="F160">
        <v>245.26010162116</v>
      </c>
      <c r="G160">
        <v>245.013850686544</v>
      </c>
      <c r="H160">
        <v>245.01635069607499</v>
      </c>
      <c r="I160">
        <v>245.027184079042</v>
      </c>
      <c r="J160">
        <v>245.06093420770799</v>
      </c>
      <c r="K160">
        <v>245.67843655764401</v>
      </c>
      <c r="L160">
        <v>246.00093779128099</v>
      </c>
      <c r="M160">
        <v>247.56469375695099</v>
      </c>
      <c r="N160">
        <v>259.960574351236</v>
      </c>
      <c r="O160">
        <v>276.403137026845</v>
      </c>
      <c r="P160">
        <v>275.35645668533198</v>
      </c>
      <c r="Q160">
        <v>252.02762746264901</v>
      </c>
      <c r="R160">
        <v>222.88918305322699</v>
      </c>
      <c r="S160">
        <v>240.70466763782301</v>
      </c>
      <c r="T160">
        <v>214.31290034121901</v>
      </c>
      <c r="U160">
        <v>238.95049426705901</v>
      </c>
      <c r="V160">
        <v>245.67968656657601</v>
      </c>
      <c r="W160">
        <v>225.65586023395699</v>
      </c>
      <c r="X160">
        <v>212.721644262377</v>
      </c>
      <c r="Y160">
        <v>211.27955541470499</v>
      </c>
      <c r="Z160">
        <v>271.73145255032699</v>
      </c>
      <c r="AA160">
        <v>328.60625269898998</v>
      </c>
      <c r="AB160">
        <v>381.06603602462798</v>
      </c>
      <c r="AC160">
        <v>436.95666578800802</v>
      </c>
      <c r="AD160">
        <v>449.26296271160697</v>
      </c>
      <c r="AE160">
        <v>346.305903554493</v>
      </c>
      <c r="AF160">
        <v>300.53656240147802</v>
      </c>
      <c r="AG160">
        <v>297.84821881937802</v>
      </c>
      <c r="AH160">
        <v>319.008299487903</v>
      </c>
      <c r="AI160">
        <v>272.264787954393</v>
      </c>
      <c r="AJ160">
        <v>282.10690880881998</v>
      </c>
      <c r="AK160">
        <v>264.69180075057898</v>
      </c>
      <c r="AL160">
        <v>283.16257950001801</v>
      </c>
      <c r="AM160">
        <v>555.20469565569704</v>
      </c>
      <c r="AN160">
        <v>499.14842590131002</v>
      </c>
      <c r="AO160">
        <v>511.55243027251601</v>
      </c>
      <c r="AP160">
        <v>583.66937235339606</v>
      </c>
      <c r="AQ160">
        <v>589.951774567332</v>
      </c>
      <c r="AR160">
        <v>615.47334931916396</v>
      </c>
      <c r="AS160">
        <v>710.20797703136702</v>
      </c>
      <c r="AT160">
        <v>732.39769326022804</v>
      </c>
      <c r="AU160">
        <v>693.71322649637398</v>
      </c>
      <c r="AV160">
        <v>579.897426172466</v>
      </c>
      <c r="AW160">
        <v>527.33803229157604</v>
      </c>
      <c r="AX160">
        <v>527.25836264962595</v>
      </c>
      <c r="AY160">
        <v>522.42562489517604</v>
      </c>
      <c r="AZ160">
        <v>478.63371847636301</v>
      </c>
      <c r="BA160">
        <v>446.00004143278801</v>
      </c>
      <c r="BB160">
        <v>470.29342334139801</v>
      </c>
      <c r="BC160">
        <v>494.794262222947</v>
      </c>
      <c r="BD160">
        <v>471.24862571893698</v>
      </c>
      <c r="BE160">
        <v>510.55633845425098</v>
      </c>
      <c r="BF160">
        <v>493.89962385223703</v>
      </c>
      <c r="BG160">
        <v>493.757329875312</v>
      </c>
      <c r="BH160">
        <v>591.21169798260996</v>
      </c>
      <c r="BI160">
        <v>592.60561506302201</v>
      </c>
      <c r="BJ160">
        <v>580.65674958785803</v>
      </c>
      <c r="BK160">
        <v>555.44645839822601</v>
      </c>
      <c r="BL160">
        <v>585.91101318036897</v>
      </c>
      <c r="BM160">
        <v>575.58600451094503</v>
      </c>
      <c r="BN160">
        <v>554.53067503310399</v>
      </c>
      <c r="BO160">
        <v>623.75970091118199</v>
      </c>
      <c r="BP160">
        <v>606.56975016591696</v>
      </c>
      <c r="BQ160">
        <v>606.34529760906298</v>
      </c>
    </row>
    <row r="161" spans="1:69" x14ac:dyDescent="0.3">
      <c r="A161" t="s">
        <v>324</v>
      </c>
      <c r="B161" t="s">
        <v>325</v>
      </c>
      <c r="C161" t="s">
        <v>6</v>
      </c>
      <c r="D161" t="s">
        <v>7</v>
      </c>
      <c r="E161">
        <v>0.357142999357143</v>
      </c>
      <c r="F161">
        <v>0.357142999357143</v>
      </c>
      <c r="G161">
        <v>0.357142999357143</v>
      </c>
      <c r="H161">
        <v>0.357142999357143</v>
      </c>
      <c r="I161">
        <v>0.357142999357143</v>
      </c>
      <c r="J161">
        <v>0.357142999357143</v>
      </c>
      <c r="K161">
        <v>0.357142999357143</v>
      </c>
      <c r="L161">
        <v>0.36210333266567502</v>
      </c>
      <c r="M161">
        <v>0.41666699941666702</v>
      </c>
      <c r="N161">
        <v>0.41666699941666702</v>
      </c>
      <c r="O161">
        <v>0.41666699941666702</v>
      </c>
      <c r="P161">
        <v>0.40710752594094302</v>
      </c>
      <c r="Q161">
        <v>0.38157666566666698</v>
      </c>
      <c r="R161">
        <v>0.36879666566666702</v>
      </c>
      <c r="S161">
        <v>0.38548166566666697</v>
      </c>
      <c r="T161">
        <v>0.38478333233333301</v>
      </c>
      <c r="U161">
        <v>0.42513583233333302</v>
      </c>
      <c r="V161">
        <v>0.42230916566666699</v>
      </c>
      <c r="W161">
        <v>0.385383332333333</v>
      </c>
      <c r="X161">
        <v>0.35846999899999998</v>
      </c>
      <c r="Y161">
        <v>0.34542666566666702</v>
      </c>
      <c r="Z161">
        <v>0.38670083233333302</v>
      </c>
      <c r="AA161">
        <v>0.412142499</v>
      </c>
      <c r="AB161">
        <v>0.43244916566666702</v>
      </c>
      <c r="AC161">
        <v>0.46103416591666702</v>
      </c>
      <c r="AD161">
        <v>0.46915499983333298</v>
      </c>
      <c r="AE161">
        <v>0.39299249983333301</v>
      </c>
      <c r="AF161">
        <v>0.34549166666666697</v>
      </c>
      <c r="AG161">
        <v>0.33085666666666702</v>
      </c>
      <c r="AH161">
        <v>0.34849249999999998</v>
      </c>
      <c r="AI161">
        <v>0.31779000000000002</v>
      </c>
      <c r="AJ161">
        <v>0.32324249999999999</v>
      </c>
      <c r="AK161">
        <v>0.318923333333333</v>
      </c>
      <c r="AL161">
        <v>0.38228933333333298</v>
      </c>
      <c r="AM161">
        <v>0.37792108333333302</v>
      </c>
      <c r="AN161">
        <v>0.35305874999999998</v>
      </c>
      <c r="AO161">
        <v>0.36045586833333298</v>
      </c>
      <c r="AP161">
        <v>0.38596612499999999</v>
      </c>
      <c r="AQ161">
        <v>0.38845951083333302</v>
      </c>
      <c r="AR161">
        <v>0.39889839500000002</v>
      </c>
      <c r="AS161">
        <v>0.43814999166666702</v>
      </c>
      <c r="AT161">
        <v>0.450041566666667</v>
      </c>
      <c r="AU161">
        <v>0.43362033825000001</v>
      </c>
      <c r="AV161">
        <v>0.37723333333333298</v>
      </c>
      <c r="AW161">
        <v>0.34466317998548601</v>
      </c>
      <c r="AX161">
        <v>0.34577739224999998</v>
      </c>
      <c r="AY161">
        <v>0.340893885583333</v>
      </c>
      <c r="AZ161">
        <v>0.31167499999999998</v>
      </c>
      <c r="BA161">
        <v>0.67992268004272904</v>
      </c>
      <c r="BB161">
        <v>0.71695770201613596</v>
      </c>
      <c r="BC161">
        <v>0.75430899010596097</v>
      </c>
      <c r="BD161">
        <v>0.71841389865331695</v>
      </c>
      <c r="BE161">
        <v>0.77833812041681205</v>
      </c>
      <c r="BF161">
        <v>0.75294512270199598</v>
      </c>
      <c r="BG161">
        <v>0.75272819693260296</v>
      </c>
      <c r="BH161">
        <v>0.90129642336709603</v>
      </c>
      <c r="BI161">
        <v>0.90342143625726301</v>
      </c>
      <c r="BJ161">
        <v>0.88520550826937205</v>
      </c>
      <c r="BK161">
        <v>0.84677266710811105</v>
      </c>
      <c r="BL161">
        <v>0.89327625706740899</v>
      </c>
      <c r="BM161">
        <v>0.87550639698799804</v>
      </c>
      <c r="BN161">
        <v>0.84549413889045</v>
      </c>
      <c r="BO161">
        <v>0.94962375315694103</v>
      </c>
      <c r="BP161">
        <v>0.92483955847069799</v>
      </c>
      <c r="BQ161">
        <v>0.92388954611760699</v>
      </c>
    </row>
    <row r="162" spans="1:69" x14ac:dyDescent="0.3">
      <c r="A162" t="s">
        <v>326</v>
      </c>
      <c r="B162" t="s">
        <v>327</v>
      </c>
      <c r="C162" t="s">
        <v>6</v>
      </c>
      <c r="D162" t="s">
        <v>7</v>
      </c>
      <c r="E162">
        <v>4.7619000037618999</v>
      </c>
      <c r="F162">
        <v>4.7619000037618999</v>
      </c>
      <c r="G162">
        <v>4.7619000037618999</v>
      </c>
      <c r="H162">
        <v>4.7619000037618999</v>
      </c>
      <c r="I162">
        <v>4.7619000037618999</v>
      </c>
      <c r="J162">
        <v>4.7619000037618999</v>
      </c>
      <c r="K162">
        <v>4.7619000037618999</v>
      </c>
      <c r="L162">
        <v>4.7619000037618999</v>
      </c>
      <c r="M162">
        <v>4.7619000037618999</v>
      </c>
      <c r="N162">
        <v>4.7619000037618999</v>
      </c>
      <c r="O162">
        <v>4.7619000037618999</v>
      </c>
      <c r="P162">
        <v>4.7648426288663002</v>
      </c>
      <c r="Q162">
        <v>5.4594939499759603</v>
      </c>
      <c r="R162">
        <v>4.93105531492483</v>
      </c>
      <c r="S162">
        <v>4.86252447287798</v>
      </c>
      <c r="T162">
        <v>6.3793993244748703</v>
      </c>
      <c r="U162">
        <v>6.7067493564075997</v>
      </c>
      <c r="V162">
        <v>7.0675997590921096</v>
      </c>
      <c r="W162">
        <v>6.7982604310998704</v>
      </c>
      <c r="X162">
        <v>6.58576139284986</v>
      </c>
      <c r="Y162">
        <v>6.5381423224165296</v>
      </c>
      <c r="Z162">
        <v>7.2203372662331997</v>
      </c>
      <c r="AA162">
        <v>7.7090637830331996</v>
      </c>
      <c r="AB162">
        <v>7.9603968964415301</v>
      </c>
      <c r="AC162">
        <v>8.3032669705207596</v>
      </c>
      <c r="AD162">
        <v>8.4748499994166693</v>
      </c>
      <c r="AE162">
        <v>7.3303750000000001</v>
      </c>
      <c r="AF162">
        <v>6.6534500000000003</v>
      </c>
      <c r="AG162">
        <v>6.3945416666666697</v>
      </c>
      <c r="AH162">
        <v>6.7049000000000003</v>
      </c>
      <c r="AI162">
        <v>6.3385583333333404</v>
      </c>
      <c r="AJ162">
        <v>6.2836999999999996</v>
      </c>
      <c r="AK162">
        <v>6.1045333333333298</v>
      </c>
      <c r="AL162">
        <v>6.15696666666667</v>
      </c>
      <c r="AM162">
        <v>5.9749125000000003</v>
      </c>
      <c r="AN162">
        <v>5.6670416666666696</v>
      </c>
      <c r="AO162">
        <v>5.9175666666666702</v>
      </c>
      <c r="AP162">
        <v>6.2418333333333296</v>
      </c>
      <c r="AQ162">
        <v>6.3431583333333403</v>
      </c>
      <c r="AR162">
        <v>6.28579166666667</v>
      </c>
      <c r="AS162">
        <v>6.5167250000000001</v>
      </c>
      <c r="AT162">
        <v>6.74890833333333</v>
      </c>
      <c r="AU162">
        <v>6.6420833333333302</v>
      </c>
      <c r="AV162">
        <v>6.1389250000000004</v>
      </c>
      <c r="AW162">
        <v>5.8058333333333296</v>
      </c>
      <c r="AX162">
        <v>5.81816666666667</v>
      </c>
      <c r="AY162">
        <v>5.8429416666666603</v>
      </c>
      <c r="AZ162">
        <v>5.6168833333333303</v>
      </c>
      <c r="BA162">
        <v>5.4414499999999997</v>
      </c>
      <c r="BB162">
        <v>5.5763666666666696</v>
      </c>
      <c r="BC162">
        <v>5.6348833333333301</v>
      </c>
      <c r="BD162">
        <v>5.4441083333333404</v>
      </c>
      <c r="BE162">
        <v>640.653416666667</v>
      </c>
      <c r="BF162">
        <v>933.57045635687905</v>
      </c>
      <c r="BG162">
        <v>984.34574756004599</v>
      </c>
      <c r="BH162">
        <v>1162.6153286255401</v>
      </c>
      <c r="BI162">
        <v>1234.8695166666701</v>
      </c>
      <c r="BJ162">
        <v>1360.35870704085</v>
      </c>
      <c r="BK162">
        <v>1429.8079752010699</v>
      </c>
      <c r="BL162">
        <v>1518.2551166666699</v>
      </c>
      <c r="BM162">
        <v>1381.61916666667</v>
      </c>
    </row>
    <row r="163" spans="1:69" x14ac:dyDescent="0.3">
      <c r="A163" t="s">
        <v>328</v>
      </c>
      <c r="B163" t="s">
        <v>329</v>
      </c>
      <c r="C163" t="s">
        <v>6</v>
      </c>
      <c r="D163" t="s">
        <v>7</v>
      </c>
    </row>
    <row r="164" spans="1:69" x14ac:dyDescent="0.3">
      <c r="A164" t="s">
        <v>330</v>
      </c>
      <c r="B164" t="s">
        <v>331</v>
      </c>
      <c r="C164" t="s">
        <v>6</v>
      </c>
      <c r="D164" t="s">
        <v>7</v>
      </c>
      <c r="AR164">
        <v>0.938283072395239</v>
      </c>
      <c r="AS164">
        <v>1.08270508132601</v>
      </c>
      <c r="AT164">
        <v>1.11653308564468</v>
      </c>
      <c r="AU164">
        <v>1.0575589962396501</v>
      </c>
      <c r="AV164">
        <v>0.88404792718496095</v>
      </c>
      <c r="AW164">
        <v>0.80392164774760499</v>
      </c>
      <c r="AX164">
        <v>0.80380019216141596</v>
      </c>
      <c r="AY164">
        <v>0.79643273094909595</v>
      </c>
      <c r="AZ164">
        <v>0.72967239998408795</v>
      </c>
      <c r="BA164">
        <v>0.67992268004272904</v>
      </c>
      <c r="BB164">
        <v>0.71695770201613596</v>
      </c>
      <c r="BC164">
        <v>0.75430899010597896</v>
      </c>
      <c r="BD164">
        <v>0.71841389865332195</v>
      </c>
      <c r="BE164">
        <v>0.77833812041681205</v>
      </c>
      <c r="BF164">
        <v>0.75294512270200198</v>
      </c>
      <c r="BG164">
        <v>0.75272819693259096</v>
      </c>
      <c r="BH164">
        <v>0.90129642336709603</v>
      </c>
      <c r="BI164">
        <v>0.90342143625728799</v>
      </c>
      <c r="BJ164">
        <v>0.88520550826938005</v>
      </c>
      <c r="BK164">
        <v>0.84677266710809596</v>
      </c>
      <c r="BL164">
        <v>0.89321558147922597</v>
      </c>
      <c r="BM164">
        <v>0.87747520723301198</v>
      </c>
      <c r="BN164">
        <v>0.84537656436794495</v>
      </c>
      <c r="BO164">
        <v>0.95091553396210804</v>
      </c>
      <c r="BP164">
        <v>0.92470962298735604</v>
      </c>
      <c r="BQ164">
        <v>0.92436744727026698</v>
      </c>
    </row>
    <row r="165" spans="1:69" x14ac:dyDescent="0.3">
      <c r="A165" t="s">
        <v>332</v>
      </c>
      <c r="B165" t="s">
        <v>333</v>
      </c>
      <c r="C165" t="s">
        <v>6</v>
      </c>
      <c r="D165" t="s">
        <v>7</v>
      </c>
      <c r="AJ165">
        <v>8.0116666666666703</v>
      </c>
      <c r="AK165">
        <v>35.8333333333333</v>
      </c>
      <c r="AL165">
        <v>295.01052583333302</v>
      </c>
      <c r="AM165">
        <v>412.72141666666698</v>
      </c>
      <c r="AN165">
        <v>448.61263333333397</v>
      </c>
      <c r="AO165">
        <v>548.40333333333297</v>
      </c>
      <c r="AP165">
        <v>789.99249999999995</v>
      </c>
      <c r="AQ165">
        <v>840.82833333333303</v>
      </c>
      <c r="AR165">
        <v>1021.8674999999999</v>
      </c>
      <c r="AS165">
        <v>1076.6666666666699</v>
      </c>
      <c r="AT165">
        <v>1097.6975</v>
      </c>
      <c r="AU165">
        <v>1110.31</v>
      </c>
      <c r="AV165">
        <v>1146.5425</v>
      </c>
      <c r="AW165">
        <v>1185.2974999999999</v>
      </c>
      <c r="AX165">
        <v>1205.2466666666701</v>
      </c>
      <c r="AY165">
        <v>1179.69916666667</v>
      </c>
      <c r="AZ165">
        <v>1170.40083333333</v>
      </c>
      <c r="BA165">
        <v>1165.80416666667</v>
      </c>
      <c r="BB165">
        <v>1437.7950000000001</v>
      </c>
      <c r="BC165">
        <v>1357.06416666667</v>
      </c>
      <c r="BD165">
        <v>1265.51583333333</v>
      </c>
      <c r="BE165">
        <v>1357.58</v>
      </c>
      <c r="BF165">
        <v>1523.9275</v>
      </c>
      <c r="BG165">
        <v>1817.9387083333299</v>
      </c>
      <c r="BH165">
        <v>1970.3091666666701</v>
      </c>
      <c r="BI165">
        <v>2140.2908640611599</v>
      </c>
      <c r="BJ165">
        <v>2439.7772011124398</v>
      </c>
      <c r="BK165">
        <v>2472.4840511423499</v>
      </c>
      <c r="BL165">
        <v>2663.5413982016298</v>
      </c>
      <c r="BM165">
        <v>2813.2898353263899</v>
      </c>
      <c r="BN165">
        <v>2849.2886145414</v>
      </c>
      <c r="BO165">
        <v>3140.6778836480898</v>
      </c>
      <c r="BP165">
        <v>3465.7365362619798</v>
      </c>
      <c r="BQ165">
        <v>3389.9815202210102</v>
      </c>
    </row>
    <row r="166" spans="1:69" x14ac:dyDescent="0.3">
      <c r="A166" t="s">
        <v>334</v>
      </c>
      <c r="B166" t="s">
        <v>335</v>
      </c>
      <c r="C166" t="s">
        <v>6</v>
      </c>
      <c r="D166" t="s">
        <v>7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</row>
    <row r="167" spans="1:69" x14ac:dyDescent="0.3">
      <c r="A167" t="s">
        <v>336</v>
      </c>
      <c r="B167" t="s">
        <v>337</v>
      </c>
      <c r="C167" t="s">
        <v>6</v>
      </c>
      <c r="D167" t="s">
        <v>7</v>
      </c>
      <c r="E167">
        <v>2.875000002875E-2</v>
      </c>
      <c r="F167">
        <v>2.875000002875E-2</v>
      </c>
      <c r="G167">
        <v>2.875000002875E-2</v>
      </c>
      <c r="H167">
        <v>2.875000002875E-2</v>
      </c>
      <c r="I167">
        <v>2.875000002875E-2</v>
      </c>
      <c r="J167">
        <v>2.875000002875E-2</v>
      </c>
      <c r="K167">
        <v>2.875000002875E-2</v>
      </c>
      <c r="L167">
        <v>2.875000002875E-2</v>
      </c>
      <c r="M167">
        <v>2.875000002875E-2</v>
      </c>
      <c r="N167">
        <v>2.875000002875E-2</v>
      </c>
      <c r="O167">
        <v>2.875000002875E-2</v>
      </c>
      <c r="P167">
        <v>2.8312083349854199E-2</v>
      </c>
      <c r="Q167">
        <v>2.7053416666500001E-2</v>
      </c>
      <c r="R167">
        <v>2.4515166666416701E-2</v>
      </c>
      <c r="S167">
        <v>2.5408166665666702E-2</v>
      </c>
      <c r="T167">
        <v>2.5552749999E-2</v>
      </c>
      <c r="U167">
        <v>3.0229083332583302E-2</v>
      </c>
      <c r="V167">
        <v>3.04072499998333E-2</v>
      </c>
      <c r="W167">
        <v>0.03</v>
      </c>
      <c r="X167">
        <v>0.03</v>
      </c>
      <c r="Y167">
        <v>3.2400249999999998E-2</v>
      </c>
      <c r="Z167">
        <v>3.5349499999999999E-2</v>
      </c>
      <c r="AA167">
        <v>3.7769749999999998E-2</v>
      </c>
      <c r="AB167">
        <v>4.01833333333333E-2</v>
      </c>
      <c r="AC167">
        <v>4.2442750000000001E-2</v>
      </c>
      <c r="AD167">
        <v>4.3180666666666701E-2</v>
      </c>
      <c r="AE167">
        <v>4.0428916666666703E-2</v>
      </c>
      <c r="AF167">
        <v>0.29073125</v>
      </c>
      <c r="AG167">
        <v>0.52464466666666698</v>
      </c>
      <c r="AH167">
        <v>0.74491808333333298</v>
      </c>
      <c r="AI167">
        <v>0.92908883333333303</v>
      </c>
      <c r="AJ167">
        <v>1.4344675</v>
      </c>
      <c r="AK167">
        <v>2.51655416666667</v>
      </c>
      <c r="AL167">
        <v>3.8742366666666701</v>
      </c>
      <c r="AM167">
        <v>6.0385883333333403</v>
      </c>
      <c r="AN167">
        <v>9.0243333333333293</v>
      </c>
      <c r="AO167">
        <v>11.293749999999999</v>
      </c>
      <c r="AP167">
        <v>11.5435833333333</v>
      </c>
      <c r="AQ167">
        <v>11.8745833333333</v>
      </c>
      <c r="AR167">
        <v>12.7751116666667</v>
      </c>
      <c r="AS167">
        <v>15.22725</v>
      </c>
      <c r="AT167">
        <v>20.703640833333299</v>
      </c>
      <c r="AU167">
        <v>23.677956666666699</v>
      </c>
      <c r="AV167">
        <v>23.7822675</v>
      </c>
      <c r="AW167">
        <v>22.581342500000002</v>
      </c>
      <c r="AX167">
        <v>23.060964999999999</v>
      </c>
      <c r="AY167">
        <v>25.400779166666702</v>
      </c>
      <c r="AZ167">
        <v>25.8403414502164</v>
      </c>
      <c r="BA167">
        <v>24.300642472865299</v>
      </c>
      <c r="BB167">
        <v>27.518299963924999</v>
      </c>
      <c r="BC167">
        <v>33.960098800690801</v>
      </c>
      <c r="BD167">
        <v>29.067599931977501</v>
      </c>
      <c r="BE167">
        <v>28.3729844798921</v>
      </c>
      <c r="BF167">
        <v>30.1041110929498</v>
      </c>
      <c r="BG167">
        <v>31.352687700944301</v>
      </c>
      <c r="BH167">
        <v>39.982474146540603</v>
      </c>
      <c r="BI167">
        <v>63.056232731037099</v>
      </c>
      <c r="BJ167">
        <v>63.584322913398999</v>
      </c>
      <c r="BK167">
        <v>60.326207643202203</v>
      </c>
      <c r="BL167">
        <v>62.548333333333296</v>
      </c>
      <c r="BM167">
        <v>69.465000000000003</v>
      </c>
      <c r="BN167">
        <v>65.465000000000003</v>
      </c>
      <c r="BO167">
        <v>63.850833333333298</v>
      </c>
      <c r="BP167">
        <v>63.885833333333302</v>
      </c>
      <c r="BQ167">
        <v>63.905000000000001</v>
      </c>
    </row>
    <row r="168" spans="1:69" x14ac:dyDescent="0.3">
      <c r="A168" t="s">
        <v>338</v>
      </c>
      <c r="B168" t="s">
        <v>339</v>
      </c>
      <c r="C168" t="s">
        <v>6</v>
      </c>
      <c r="D168" t="s">
        <v>7</v>
      </c>
      <c r="E168">
        <v>4.9369911160770199</v>
      </c>
      <c r="F168">
        <v>4.9369911160770199</v>
      </c>
      <c r="G168">
        <v>4.9369911160770199</v>
      </c>
      <c r="H168">
        <v>4.9369911160770199</v>
      </c>
      <c r="I168">
        <v>4.9369911160770199</v>
      </c>
      <c r="J168">
        <v>4.9369911160770199</v>
      </c>
      <c r="K168">
        <v>4.9369911160770199</v>
      </c>
      <c r="L168">
        <v>4.9369911160770199</v>
      </c>
      <c r="M168">
        <v>4.9369911160770199</v>
      </c>
      <c r="N168">
        <v>5.1941573199841704</v>
      </c>
      <c r="O168">
        <v>5.5541900054541902</v>
      </c>
      <c r="P168">
        <v>5.5426325049163401</v>
      </c>
      <c r="Q168">
        <v>5.0405333331666604</v>
      </c>
      <c r="R168">
        <v>4.4577666666666698</v>
      </c>
      <c r="S168">
        <v>4.5333333332333297</v>
      </c>
      <c r="T168">
        <v>4.3104249999000004</v>
      </c>
      <c r="U168">
        <v>4.5022249999000001</v>
      </c>
      <c r="V168">
        <v>4.5587083333249998</v>
      </c>
      <c r="W168">
        <v>4.61625</v>
      </c>
      <c r="X168">
        <v>4.5892499999999998</v>
      </c>
      <c r="Y168">
        <v>4.5914083332500004</v>
      </c>
      <c r="Z168">
        <v>4.8295833333333302</v>
      </c>
      <c r="AA168">
        <v>5.1769166666666697</v>
      </c>
      <c r="AB168">
        <v>5.4811666665666703</v>
      </c>
      <c r="AC168">
        <v>6.3803333332833398</v>
      </c>
      <c r="AD168">
        <v>7.7084999999583301</v>
      </c>
      <c r="AE168">
        <v>7.4374999999833404</v>
      </c>
      <c r="AF168">
        <v>7.3878333333333304</v>
      </c>
      <c r="AG168">
        <v>7.5260833333333297</v>
      </c>
      <c r="AH168">
        <v>8.3050999999999995</v>
      </c>
      <c r="AI168">
        <v>8.0609000000000002</v>
      </c>
      <c r="AJ168">
        <v>8.1945833333333393</v>
      </c>
      <c r="AK168">
        <v>8.7026749999999993</v>
      </c>
      <c r="AL168">
        <v>12.080583333333299</v>
      </c>
      <c r="AM168">
        <v>12.3575</v>
      </c>
      <c r="AN168">
        <v>12.9768333333333</v>
      </c>
      <c r="AO168">
        <v>13.7221666666667</v>
      </c>
      <c r="AP168">
        <v>15.1853333333333</v>
      </c>
      <c r="AQ168">
        <v>18.847583333333301</v>
      </c>
      <c r="AR168">
        <v>20.951416666666699</v>
      </c>
      <c r="AS168">
        <v>23.892333333333301</v>
      </c>
      <c r="AT168">
        <v>25.562916666666698</v>
      </c>
      <c r="AU168">
        <v>27.173916666666699</v>
      </c>
      <c r="AV168">
        <v>26.303000000000001</v>
      </c>
      <c r="AX168">
        <v>26.5528333333333</v>
      </c>
      <c r="AY168">
        <v>26.86</v>
      </c>
      <c r="AZ168">
        <v>25.8586666666667</v>
      </c>
      <c r="BA168">
        <v>23.820333333333298</v>
      </c>
      <c r="BB168">
        <v>26.2365833333333</v>
      </c>
      <c r="BC168">
        <v>27.5894166666667</v>
      </c>
      <c r="BD168">
        <v>28.111833333333301</v>
      </c>
      <c r="BE168">
        <v>29.661999999999999</v>
      </c>
      <c r="BF168">
        <v>30.068166666666698</v>
      </c>
      <c r="BG168">
        <v>30.272500000000001</v>
      </c>
      <c r="BH168">
        <v>32.467166666666699</v>
      </c>
      <c r="BI168">
        <v>35.237083333333402</v>
      </c>
      <c r="BJ168">
        <v>35.794416666666699</v>
      </c>
      <c r="BK168">
        <v>35.677500000000002</v>
      </c>
      <c r="BL168">
        <v>36.690833333333401</v>
      </c>
      <c r="BM168">
        <v>37.189166666666701</v>
      </c>
      <c r="BN168">
        <v>36.063333333333297</v>
      </c>
      <c r="BO168">
        <v>36.935000000000002</v>
      </c>
      <c r="BP168">
        <v>36.489166666666598</v>
      </c>
    </row>
    <row r="169" spans="1:69" x14ac:dyDescent="0.3">
      <c r="A169" t="s">
        <v>340</v>
      </c>
      <c r="B169" t="s">
        <v>341</v>
      </c>
      <c r="C169" t="s">
        <v>6</v>
      </c>
      <c r="D169" t="s">
        <v>7</v>
      </c>
      <c r="E169">
        <v>4.7619000037618999</v>
      </c>
      <c r="F169">
        <v>4.7619000037618999</v>
      </c>
      <c r="G169">
        <v>4.7619000037618999</v>
      </c>
      <c r="H169">
        <v>4.7619000037618999</v>
      </c>
      <c r="I169">
        <v>4.7619000037618999</v>
      </c>
      <c r="J169">
        <v>4.7619000037618999</v>
      </c>
      <c r="K169">
        <v>4.7619000037618999</v>
      </c>
      <c r="L169">
        <v>4.8280375034312097</v>
      </c>
      <c r="M169">
        <v>5.5555500045555499</v>
      </c>
      <c r="N169">
        <v>5.5555500045555499</v>
      </c>
      <c r="O169">
        <v>5.5555500045555499</v>
      </c>
      <c r="P169">
        <v>5.4857589225245</v>
      </c>
      <c r="Q169">
        <v>5.3385261876059804</v>
      </c>
      <c r="R169">
        <v>5.4422657127583198</v>
      </c>
      <c r="S169">
        <v>5.7030750726300301</v>
      </c>
      <c r="T169">
        <v>6.0267973347139598</v>
      </c>
      <c r="U169">
        <v>6.6815249989999996</v>
      </c>
      <c r="V169">
        <v>6.6073083323333304</v>
      </c>
      <c r="W169">
        <v>6.1632749990000004</v>
      </c>
      <c r="X169">
        <v>6.3081083323333296</v>
      </c>
      <c r="Y169">
        <v>7.6842916656666604</v>
      </c>
      <c r="Z169">
        <v>8.9365416660833308</v>
      </c>
      <c r="AA169">
        <v>10.872549999583301</v>
      </c>
      <c r="AB169">
        <v>11.7061999994167</v>
      </c>
      <c r="AC169">
        <v>13.800333332833301</v>
      </c>
      <c r="AD169">
        <v>15.442483333166701</v>
      </c>
      <c r="AE169">
        <v>13.4663583333333</v>
      </c>
      <c r="AF169">
        <v>12.878216666666701</v>
      </c>
      <c r="AG169">
        <v>13.437725</v>
      </c>
      <c r="AH169">
        <v>15.2497666666667</v>
      </c>
      <c r="AI169">
        <v>14.863466666666699</v>
      </c>
      <c r="AJ169">
        <v>15.6523083333333</v>
      </c>
      <c r="AK169">
        <v>15.5632083333333</v>
      </c>
      <c r="AL169">
        <v>17.648025000000001</v>
      </c>
      <c r="AM169">
        <v>17.960366666666701</v>
      </c>
      <c r="AN169">
        <v>17.386316666666701</v>
      </c>
      <c r="AO169">
        <v>17.948066666666701</v>
      </c>
      <c r="AP169">
        <v>21.057258333333301</v>
      </c>
      <c r="AQ169">
        <v>23.992650000000001</v>
      </c>
      <c r="AR169">
        <v>25.185808333333298</v>
      </c>
      <c r="AS169">
        <v>26.249558333333301</v>
      </c>
      <c r="AT169">
        <v>29.129258333333301</v>
      </c>
      <c r="AU169">
        <v>29.962</v>
      </c>
      <c r="AV169">
        <v>27.901475000000001</v>
      </c>
      <c r="AW169">
        <v>27.498516666666699</v>
      </c>
      <c r="AX169">
        <v>29.496233333333301</v>
      </c>
      <c r="AY169">
        <v>31.708066666666699</v>
      </c>
      <c r="AZ169">
        <v>31.313656250000001</v>
      </c>
      <c r="BA169">
        <v>28.452837500000001</v>
      </c>
      <c r="BB169">
        <v>31.959800000000001</v>
      </c>
      <c r="BC169">
        <v>30.784400000000002</v>
      </c>
      <c r="BD169">
        <v>28.705950000000001</v>
      </c>
      <c r="BE169">
        <v>30.0499716666667</v>
      </c>
      <c r="BF169">
        <v>30.7013583333333</v>
      </c>
      <c r="BG169">
        <v>30.6216166666667</v>
      </c>
      <c r="BH169">
        <v>35.056699999999999</v>
      </c>
      <c r="BI169">
        <v>35.541883333333303</v>
      </c>
      <c r="BJ169">
        <v>34.481408333333299</v>
      </c>
      <c r="BK169">
        <v>33.934449999999998</v>
      </c>
      <c r="BL169">
        <v>35.473516666666697</v>
      </c>
      <c r="BM169">
        <v>39.346933333333297</v>
      </c>
      <c r="BN169">
        <v>41.692133333333302</v>
      </c>
      <c r="BO169">
        <v>44.182774999999999</v>
      </c>
      <c r="BP169">
        <v>45.267225000000003</v>
      </c>
      <c r="BQ169">
        <v>46.414675000000003</v>
      </c>
    </row>
    <row r="170" spans="1:69" x14ac:dyDescent="0.3">
      <c r="A170" t="s">
        <v>342</v>
      </c>
      <c r="B170" t="s">
        <v>343</v>
      </c>
      <c r="C170" t="s">
        <v>6</v>
      </c>
      <c r="D170" t="s">
        <v>7</v>
      </c>
      <c r="E170">
        <v>0.71428514242891405</v>
      </c>
      <c r="F170">
        <v>0.71428514242891405</v>
      </c>
      <c r="G170">
        <v>0.71428514242891405</v>
      </c>
      <c r="H170">
        <v>0.71428514242891405</v>
      </c>
      <c r="I170">
        <v>0.71428514242891405</v>
      </c>
      <c r="J170">
        <v>0.71428514242891405</v>
      </c>
      <c r="K170">
        <v>0.71428514242891405</v>
      </c>
      <c r="L170">
        <v>0.72420586859353997</v>
      </c>
      <c r="M170">
        <v>0.83333299983333298</v>
      </c>
      <c r="N170">
        <v>0.83333299983333298</v>
      </c>
      <c r="O170">
        <v>0.83333299983333298</v>
      </c>
      <c r="P170">
        <v>0.83089400256529</v>
      </c>
      <c r="Q170">
        <v>0.801557908669424</v>
      </c>
      <c r="R170">
        <v>0.81926216566666699</v>
      </c>
      <c r="S170">
        <v>0.84120341566666701</v>
      </c>
      <c r="T170">
        <v>0.86383349899999995</v>
      </c>
      <c r="U170">
        <v>0.91301141566666699</v>
      </c>
      <c r="V170">
        <v>0.90292808233333399</v>
      </c>
      <c r="W170">
        <v>0.84374508233333301</v>
      </c>
      <c r="X170">
        <v>0.81687791566666601</v>
      </c>
      <c r="Y170">
        <v>0.81209566566666702</v>
      </c>
      <c r="Z170">
        <v>0.895299082333334</v>
      </c>
      <c r="AA170">
        <v>1.05550908241667</v>
      </c>
      <c r="AB170">
        <v>1.17476333241667</v>
      </c>
      <c r="AC170">
        <v>1.4133799995</v>
      </c>
      <c r="AD170">
        <v>1.71909666625</v>
      </c>
      <c r="AE170">
        <v>1.86107333308333</v>
      </c>
      <c r="AF170">
        <v>2.2087425000000001</v>
      </c>
      <c r="AG170">
        <v>2.56130083333333</v>
      </c>
      <c r="AH170">
        <v>2.7595241666666701</v>
      </c>
      <c r="AI170">
        <v>2.7288816666666702</v>
      </c>
      <c r="AJ170">
        <v>2.8033125000000001</v>
      </c>
      <c r="AK170">
        <v>3.6032754166666701</v>
      </c>
      <c r="AL170">
        <v>4.4027783333333304</v>
      </c>
      <c r="AM170">
        <v>8.7364049999999995</v>
      </c>
      <c r="AN170">
        <v>15.2837416666667</v>
      </c>
      <c r="AO170">
        <v>15.3084666666667</v>
      </c>
      <c r="AP170">
        <v>16.444175000000001</v>
      </c>
      <c r="AQ170">
        <v>31.072683333333298</v>
      </c>
      <c r="AR170">
        <v>44.088141666666701</v>
      </c>
      <c r="AS170">
        <v>59.543808333333402</v>
      </c>
      <c r="AT170">
        <v>72.197333333333304</v>
      </c>
      <c r="AU170">
        <v>76.686608333333396</v>
      </c>
      <c r="AV170">
        <v>97.432474999999997</v>
      </c>
      <c r="AW170">
        <v>108.89750833333299</v>
      </c>
      <c r="AX170">
        <v>118.42</v>
      </c>
      <c r="AY170">
        <v>136.01249999999999</v>
      </c>
      <c r="AZ170">
        <v>139.95750000000001</v>
      </c>
      <c r="BA170">
        <v>140.52166666666699</v>
      </c>
      <c r="BB170">
        <v>141.16833333333301</v>
      </c>
      <c r="BC170">
        <v>150.48583333333301</v>
      </c>
      <c r="BD170">
        <v>156.51583333333301</v>
      </c>
      <c r="BE170">
        <v>249.106666666667</v>
      </c>
      <c r="BF170">
        <v>364.40583333333302</v>
      </c>
      <c r="BG170">
        <v>424.89666666666602</v>
      </c>
      <c r="BH170">
        <v>499.60583333333301</v>
      </c>
      <c r="BI170">
        <v>718.005</v>
      </c>
      <c r="BJ170">
        <v>730.27250000000004</v>
      </c>
      <c r="BK170">
        <v>732.33333333333303</v>
      </c>
      <c r="BL170">
        <v>745.54066787737202</v>
      </c>
      <c r="BM170">
        <v>749.52749388220104</v>
      </c>
      <c r="BN170">
        <v>805.899650132837</v>
      </c>
      <c r="BO170">
        <v>949.03901666666695</v>
      </c>
      <c r="BP170">
        <v>1161.0943666666701</v>
      </c>
    </row>
    <row r="171" spans="1:69" x14ac:dyDescent="0.3">
      <c r="A171" t="s">
        <v>344</v>
      </c>
      <c r="B171" t="s">
        <v>345</v>
      </c>
      <c r="C171" t="s">
        <v>6</v>
      </c>
      <c r="D171" t="s">
        <v>7</v>
      </c>
      <c r="E171">
        <v>3.0612200020612201</v>
      </c>
      <c r="F171">
        <v>3.0612200020612201</v>
      </c>
      <c r="G171">
        <v>3.0612200020612201</v>
      </c>
      <c r="H171">
        <v>3.0612200020612201</v>
      </c>
      <c r="I171">
        <v>3.0612200020612201</v>
      </c>
      <c r="J171">
        <v>3.0612200020612201</v>
      </c>
      <c r="K171">
        <v>3.0612200020612201</v>
      </c>
      <c r="L171">
        <v>3.0612200020612201</v>
      </c>
      <c r="M171">
        <v>3.0612200020612201</v>
      </c>
      <c r="N171">
        <v>3.0612200020612201</v>
      </c>
      <c r="O171">
        <v>3.0612200020612201</v>
      </c>
      <c r="P171">
        <v>3.0522604298093099</v>
      </c>
      <c r="Q171">
        <v>2.81955586834381</v>
      </c>
      <c r="R171">
        <v>2.4433296548619801</v>
      </c>
      <c r="S171">
        <v>2.4070666659166702</v>
      </c>
      <c r="T171">
        <v>2.3937833331666698</v>
      </c>
      <c r="U171">
        <v>2.5415749991666701</v>
      </c>
      <c r="V171">
        <v>2.4612833324166701</v>
      </c>
      <c r="W171">
        <v>2.3160416657499998</v>
      </c>
      <c r="X171">
        <v>2.1884416659166699</v>
      </c>
      <c r="Y171">
        <v>2.1768833324166699</v>
      </c>
      <c r="Z171">
        <v>2.3041249991666701</v>
      </c>
      <c r="AA171">
        <v>2.3353916658333298</v>
      </c>
      <c r="AB171">
        <v>2.3212499991666702</v>
      </c>
      <c r="AC171">
        <v>2.3436416661666701</v>
      </c>
      <c r="AD171">
        <v>2.4830416666666699</v>
      </c>
      <c r="AE171">
        <v>2.5814416666666702</v>
      </c>
      <c r="AF171">
        <v>2.5196383333333299</v>
      </c>
      <c r="AG171">
        <v>2.6187833333333299</v>
      </c>
      <c r="AH171">
        <v>2.7088416666666699</v>
      </c>
      <c r="AI171">
        <v>2.7048749999999999</v>
      </c>
      <c r="AJ171">
        <v>2.7500666666666702</v>
      </c>
      <c r="AK171">
        <v>2.5473833333333298</v>
      </c>
      <c r="AL171">
        <v>2.5740949999999998</v>
      </c>
      <c r="AM171">
        <v>2.6242566666666698</v>
      </c>
      <c r="AN171">
        <v>2.5044041666666699</v>
      </c>
      <c r="AO171">
        <v>2.5159425</v>
      </c>
      <c r="AP171">
        <v>2.8131916666666701</v>
      </c>
      <c r="AQ171">
        <v>3.9243749999999999</v>
      </c>
      <c r="AR171">
        <v>3.8</v>
      </c>
      <c r="AS171">
        <v>3.8</v>
      </c>
      <c r="AT171">
        <v>3.8</v>
      </c>
      <c r="AU171">
        <v>3.8</v>
      </c>
      <c r="AV171">
        <v>3.8</v>
      </c>
      <c r="AW171">
        <v>3.8</v>
      </c>
      <c r="AX171">
        <v>3.7870916666666701</v>
      </c>
      <c r="AY171">
        <v>3.6681769583333299</v>
      </c>
      <c r="AZ171">
        <v>3.43756938226247</v>
      </c>
      <c r="BA171">
        <v>3.3358333333333299</v>
      </c>
      <c r="BB171">
        <v>3.5245029107064401</v>
      </c>
      <c r="BC171">
        <v>3.22108691472175</v>
      </c>
      <c r="BD171">
        <v>3.06000301052058</v>
      </c>
      <c r="BE171">
        <v>3.08880086662188</v>
      </c>
      <c r="BF171">
        <v>3.15090855009724</v>
      </c>
      <c r="BG171">
        <v>3.2728597464304698</v>
      </c>
      <c r="BH171">
        <v>3.9055002630276801</v>
      </c>
      <c r="BI171">
        <v>4.14830066287879</v>
      </c>
      <c r="BJ171">
        <v>4.3004408776112397</v>
      </c>
      <c r="BK171">
        <v>4.0351301370680597</v>
      </c>
      <c r="BL171">
        <v>4.1424697356973104</v>
      </c>
      <c r="BM171">
        <v>4.2034819485188404</v>
      </c>
      <c r="BN171">
        <v>4.1432975981772104</v>
      </c>
      <c r="BO171">
        <v>4.4010763454007202</v>
      </c>
      <c r="BP171">
        <v>4.5606234324089696</v>
      </c>
      <c r="BQ171">
        <v>4.5764279106858003</v>
      </c>
    </row>
    <row r="172" spans="1:69" x14ac:dyDescent="0.3">
      <c r="A172" t="s">
        <v>346</v>
      </c>
      <c r="B172" t="s">
        <v>347</v>
      </c>
      <c r="C172" t="s">
        <v>6</v>
      </c>
      <c r="D172" t="s">
        <v>7</v>
      </c>
    </row>
    <row r="173" spans="1:69" x14ac:dyDescent="0.3">
      <c r="A173" t="s">
        <v>348</v>
      </c>
      <c r="B173" t="s">
        <v>349</v>
      </c>
      <c r="C173" t="s">
        <v>6</v>
      </c>
      <c r="D173" t="s">
        <v>7</v>
      </c>
      <c r="G173">
        <v>0.71326549427167696</v>
      </c>
      <c r="H173">
        <v>0.71528718525026103</v>
      </c>
      <c r="I173">
        <v>0.71725864624589497</v>
      </c>
      <c r="J173">
        <v>0.71633440114267999</v>
      </c>
      <c r="K173">
        <v>0.71698343163387301</v>
      </c>
      <c r="L173">
        <v>0.71704961913768805</v>
      </c>
      <c r="M173">
        <v>0.71699815611019702</v>
      </c>
      <c r="N173">
        <v>0.71805712542767897</v>
      </c>
      <c r="O173">
        <v>0.71641352003693604</v>
      </c>
      <c r="P173">
        <v>0.713047571920986</v>
      </c>
      <c r="Q173">
        <v>0.772828411038462</v>
      </c>
      <c r="R173">
        <v>0.69411413758375096</v>
      </c>
      <c r="S173">
        <v>0.67947700357025098</v>
      </c>
      <c r="T173">
        <v>0.73950775529633594</v>
      </c>
      <c r="U173">
        <v>0.86956521814744803</v>
      </c>
      <c r="V173">
        <v>0.86956521814744803</v>
      </c>
      <c r="W173">
        <v>0.86956521814744803</v>
      </c>
      <c r="X173">
        <v>0.84202260193494305</v>
      </c>
      <c r="Y173">
        <v>0.77883373727604199</v>
      </c>
      <c r="Z173">
        <v>0.87757894275815396</v>
      </c>
      <c r="AA173">
        <v>1.0858158330833301</v>
      </c>
      <c r="AB173">
        <v>1.1140999997500001</v>
      </c>
      <c r="AC173">
        <v>1.47527749975</v>
      </c>
      <c r="AD173">
        <v>2.2286749994166701</v>
      </c>
      <c r="AE173">
        <v>2.2850316664166699</v>
      </c>
      <c r="AF173">
        <v>2.03603333333333</v>
      </c>
      <c r="AG173">
        <v>2.2734675000000002</v>
      </c>
      <c r="AH173">
        <v>2.6226775</v>
      </c>
      <c r="AI173">
        <v>2.58732083333333</v>
      </c>
      <c r="AJ173">
        <v>2.7613150000000002</v>
      </c>
      <c r="AK173">
        <v>2.8520141666666698</v>
      </c>
      <c r="AL173">
        <v>3.2677415833333301</v>
      </c>
      <c r="AM173">
        <v>3.5507983333333399</v>
      </c>
      <c r="AN173">
        <v>3.6270850000000001</v>
      </c>
      <c r="AO173">
        <v>4.2993491666666701</v>
      </c>
      <c r="AP173">
        <v>4.6079616666666698</v>
      </c>
      <c r="AQ173">
        <v>5.52828416666667</v>
      </c>
      <c r="AR173">
        <v>6.1094841666666699</v>
      </c>
      <c r="AS173">
        <v>6.9398283333333302</v>
      </c>
      <c r="AT173">
        <v>8.6091808333333404</v>
      </c>
      <c r="AU173">
        <v>10.540746666666699</v>
      </c>
      <c r="AV173">
        <v>7.5647491666666697</v>
      </c>
      <c r="AW173">
        <v>6.4596925000000001</v>
      </c>
      <c r="AX173">
        <v>6.3771166666666703</v>
      </c>
      <c r="AY173">
        <v>6.76715</v>
      </c>
      <c r="AZ173">
        <v>7.0543916666666604</v>
      </c>
      <c r="BA173">
        <v>8.2517416666666694</v>
      </c>
      <c r="BB173">
        <v>8.5228198333333296</v>
      </c>
      <c r="BC173">
        <v>7.3302500000000004</v>
      </c>
      <c r="BD173">
        <v>7.3000249999999998</v>
      </c>
      <c r="BE173">
        <v>8.1937708333333408</v>
      </c>
      <c r="BF173">
        <v>9.7500750000000007</v>
      </c>
      <c r="BG173">
        <v>10.8428875</v>
      </c>
      <c r="BH173">
        <v>12.8819208333333</v>
      </c>
      <c r="BI173">
        <v>14.708766666666699</v>
      </c>
      <c r="BJ173">
        <v>13.312900000000001</v>
      </c>
      <c r="BK173">
        <v>13.2339416666667</v>
      </c>
      <c r="BL173">
        <v>14.4486904166667</v>
      </c>
      <c r="BM173">
        <v>16.463266666666701</v>
      </c>
      <c r="BN173">
        <v>14.778675</v>
      </c>
      <c r="BO173">
        <v>16.355858333333298</v>
      </c>
      <c r="BP173">
        <v>18.446308333333299</v>
      </c>
      <c r="BQ173">
        <v>18.328658333333301</v>
      </c>
    </row>
    <row r="174" spans="1:69" x14ac:dyDescent="0.3">
      <c r="A174" t="s">
        <v>350</v>
      </c>
      <c r="B174" t="s">
        <v>351</v>
      </c>
      <c r="C174" t="s">
        <v>6</v>
      </c>
      <c r="D174" t="s">
        <v>7</v>
      </c>
      <c r="E174">
        <v>89.765000088765007</v>
      </c>
      <c r="F174">
        <v>89.765000088765007</v>
      </c>
      <c r="G174">
        <v>89.765000088765007</v>
      </c>
      <c r="H174">
        <v>89.765000088765007</v>
      </c>
      <c r="I174">
        <v>89.765000088765007</v>
      </c>
      <c r="J174">
        <v>89.765000088765007</v>
      </c>
      <c r="K174">
        <v>89.765000088765007</v>
      </c>
      <c r="L174">
        <v>89.765000088765007</v>
      </c>
      <c r="M174">
        <v>89.765000088765007</v>
      </c>
      <c r="N174">
        <v>94.440000093440005</v>
      </c>
      <c r="O174">
        <v>100.985000099985</v>
      </c>
      <c r="P174">
        <v>100.689451223571</v>
      </c>
      <c r="Q174">
        <v>91.645968951929206</v>
      </c>
      <c r="R174">
        <v>81.0502219755422</v>
      </c>
      <c r="S174">
        <v>87.528548830185898</v>
      </c>
      <c r="T174">
        <v>77.931588724653196</v>
      </c>
      <c r="U174">
        <v>86.890670674160404</v>
      </c>
      <c r="V174">
        <v>89.337637916450106</v>
      </c>
      <c r="W174">
        <v>82.056281563365701</v>
      </c>
      <c r="X174">
        <v>77.352952935139498</v>
      </c>
      <c r="Y174">
        <v>76.828559514107795</v>
      </c>
      <c r="Z174">
        <v>98.810961781363503</v>
      </c>
      <c r="AA174">
        <v>119.492607763333</v>
      </c>
      <c r="AB174">
        <v>138.56880080833301</v>
      </c>
      <c r="AC174">
        <v>158.89256837242399</v>
      </c>
      <c r="AD174">
        <v>163.367563900455</v>
      </c>
      <c r="AE174">
        <v>125.928813465</v>
      </c>
      <c r="AF174">
        <v>109.285496775</v>
      </c>
      <c r="AG174">
        <v>108.307921995</v>
      </c>
      <c r="AH174">
        <v>116.002459755</v>
      </c>
      <c r="AI174">
        <v>99.004900995</v>
      </c>
      <c r="AJ174">
        <v>102.58383680999999</v>
      </c>
      <c r="AK174">
        <v>96.251100718499998</v>
      </c>
      <c r="AL174">
        <v>102.96771521399999</v>
      </c>
      <c r="AM174">
        <v>100.946171781</v>
      </c>
      <c r="AN174">
        <v>90.754136518500005</v>
      </c>
      <c r="AO174">
        <v>93.009406990499997</v>
      </c>
      <c r="AP174">
        <v>106.12156054499999</v>
      </c>
      <c r="AQ174">
        <v>107.2638139482</v>
      </c>
      <c r="AR174">
        <v>111.966914110147</v>
      </c>
      <c r="AS174">
        <v>129.201037953271</v>
      </c>
      <c r="AT174">
        <v>133.23779121622499</v>
      </c>
      <c r="AU174">
        <v>126.200312871571</v>
      </c>
      <c r="AV174">
        <v>105.494942032458</v>
      </c>
      <c r="AW174">
        <v>95.933336892522902</v>
      </c>
      <c r="AX174">
        <v>95.918843390948496</v>
      </c>
      <c r="AY174">
        <v>95.039671719798207</v>
      </c>
      <c r="AZ174">
        <v>87.073047933181201</v>
      </c>
      <c r="BA174">
        <v>81.136329278054902</v>
      </c>
      <c r="BB174">
        <v>85.5557814096789</v>
      </c>
      <c r="BC174">
        <v>90.0129741146296</v>
      </c>
      <c r="BD174">
        <v>85.729551829928695</v>
      </c>
      <c r="BE174">
        <v>92.880411084142906</v>
      </c>
      <c r="BF174">
        <v>89.850221498738506</v>
      </c>
      <c r="BG174">
        <v>89.824335377900894</v>
      </c>
      <c r="BH174">
        <v>107.55323440431501</v>
      </c>
      <c r="BI174">
        <v>107.806815805024</v>
      </c>
      <c r="BJ174">
        <v>105.63307815114899</v>
      </c>
      <c r="BK174">
        <v>101.046821879543</v>
      </c>
      <c r="BL174">
        <v>106.588933804405</v>
      </c>
      <c r="BM174">
        <v>104.710608186968</v>
      </c>
      <c r="BN174">
        <v>100.88022256618601</v>
      </c>
      <c r="BO174">
        <v>113.474367224106</v>
      </c>
      <c r="BP174">
        <v>110.34717131744</v>
      </c>
      <c r="BQ174">
        <v>110.30633890742099</v>
      </c>
    </row>
    <row r="175" spans="1:69" x14ac:dyDescent="0.3">
      <c r="A175" t="s">
        <v>352</v>
      </c>
      <c r="B175" t="s">
        <v>353</v>
      </c>
      <c r="C175" t="s">
        <v>6</v>
      </c>
      <c r="D175" t="s">
        <v>7</v>
      </c>
      <c r="E175">
        <v>245.19510139835899</v>
      </c>
      <c r="F175">
        <v>245.26010162116</v>
      </c>
      <c r="G175">
        <v>245.013850686544</v>
      </c>
      <c r="H175">
        <v>245.01635069607499</v>
      </c>
      <c r="I175">
        <v>245.027184079042</v>
      </c>
      <c r="J175">
        <v>245.06093420770799</v>
      </c>
      <c r="K175">
        <v>245.67843655764401</v>
      </c>
      <c r="L175">
        <v>246.00093779128099</v>
      </c>
      <c r="M175">
        <v>247.56469375695099</v>
      </c>
      <c r="N175">
        <v>259.960574351236</v>
      </c>
      <c r="O175">
        <v>276.403137026845</v>
      </c>
      <c r="P175">
        <v>275.35645668533198</v>
      </c>
      <c r="Q175">
        <v>252.02762746264901</v>
      </c>
      <c r="R175">
        <v>222.88918305322699</v>
      </c>
      <c r="S175">
        <v>240.70466763782301</v>
      </c>
      <c r="T175">
        <v>214.31290034121901</v>
      </c>
      <c r="U175">
        <v>238.95049426705901</v>
      </c>
      <c r="V175">
        <v>245.67968656657601</v>
      </c>
      <c r="W175">
        <v>225.65586023395699</v>
      </c>
      <c r="X175">
        <v>212.721644262377</v>
      </c>
      <c r="Y175">
        <v>211.27955541470499</v>
      </c>
      <c r="Z175">
        <v>271.73145255032699</v>
      </c>
      <c r="AA175">
        <v>328.60625269898998</v>
      </c>
      <c r="AB175">
        <v>381.06603602462798</v>
      </c>
      <c r="AC175">
        <v>436.95666578800802</v>
      </c>
      <c r="AD175">
        <v>449.26296271160697</v>
      </c>
      <c r="AE175">
        <v>346.305903554493</v>
      </c>
      <c r="AF175">
        <v>300.53656240147802</v>
      </c>
      <c r="AG175">
        <v>297.84821881937802</v>
      </c>
      <c r="AH175">
        <v>319.008299487903</v>
      </c>
      <c r="AI175">
        <v>272.264787954393</v>
      </c>
      <c r="AJ175">
        <v>282.10690880881998</v>
      </c>
      <c r="AK175">
        <v>264.69180075057898</v>
      </c>
      <c r="AL175">
        <v>283.16257950001801</v>
      </c>
      <c r="AM175">
        <v>555.20469565569704</v>
      </c>
      <c r="AN175">
        <v>499.14842590131002</v>
      </c>
      <c r="AO175">
        <v>511.55243027251601</v>
      </c>
      <c r="AP175">
        <v>583.66937235339606</v>
      </c>
      <c r="AQ175">
        <v>589.951774567332</v>
      </c>
      <c r="AR175">
        <v>615.47334931916396</v>
      </c>
      <c r="AS175">
        <v>710.20797703136702</v>
      </c>
      <c r="AT175">
        <v>732.39769326022804</v>
      </c>
      <c r="AU175">
        <v>693.71322649637398</v>
      </c>
      <c r="AV175">
        <v>579.897426172466</v>
      </c>
      <c r="AW175">
        <v>527.33803229157604</v>
      </c>
      <c r="AX175">
        <v>527.25836264962595</v>
      </c>
      <c r="AY175">
        <v>522.42562489517604</v>
      </c>
      <c r="AZ175">
        <v>478.63371847636301</v>
      </c>
      <c r="BA175">
        <v>446.00004143278801</v>
      </c>
      <c r="BB175">
        <v>470.29342334139801</v>
      </c>
      <c r="BC175">
        <v>494.794262222947</v>
      </c>
      <c r="BD175">
        <v>471.24862571893698</v>
      </c>
      <c r="BE175">
        <v>510.55633845425098</v>
      </c>
      <c r="BF175">
        <v>493.89962385223703</v>
      </c>
      <c r="BG175">
        <v>493.757329875312</v>
      </c>
      <c r="BH175">
        <v>591.21169798260996</v>
      </c>
      <c r="BI175">
        <v>592.60561506302201</v>
      </c>
      <c r="BJ175">
        <v>580.65674958785803</v>
      </c>
      <c r="BK175">
        <v>555.44645839822601</v>
      </c>
      <c r="BL175">
        <v>585.91101318036897</v>
      </c>
      <c r="BM175">
        <v>575.58600451094503</v>
      </c>
      <c r="BN175">
        <v>554.53067503310399</v>
      </c>
      <c r="BO175">
        <v>623.75970091118199</v>
      </c>
      <c r="BP175">
        <v>606.56975016591696</v>
      </c>
      <c r="BQ175">
        <v>606.34529760906298</v>
      </c>
    </row>
    <row r="176" spans="1:69" x14ac:dyDescent="0.3">
      <c r="A176" t="s">
        <v>354</v>
      </c>
      <c r="B176" t="s">
        <v>355</v>
      </c>
      <c r="C176" t="s">
        <v>6</v>
      </c>
      <c r="D176" t="s">
        <v>7</v>
      </c>
      <c r="E176">
        <v>0.71428599971428597</v>
      </c>
      <c r="F176">
        <v>0.71428599971428597</v>
      </c>
      <c r="G176">
        <v>0.71428599971428597</v>
      </c>
      <c r="H176">
        <v>0.71428599971428597</v>
      </c>
      <c r="I176">
        <v>0.71428599971428597</v>
      </c>
      <c r="J176">
        <v>0.71428599971428597</v>
      </c>
      <c r="K176">
        <v>0.71428599971428597</v>
      </c>
      <c r="L176">
        <v>0.71428599971428597</v>
      </c>
      <c r="M176">
        <v>0.71428599971428597</v>
      </c>
      <c r="N176">
        <v>0.71428599971428597</v>
      </c>
      <c r="O176">
        <v>0.71428599971428597</v>
      </c>
      <c r="P176">
        <v>0.71285583298809596</v>
      </c>
      <c r="Q176">
        <v>0.65789499900000004</v>
      </c>
      <c r="R176">
        <v>0.65789499900000004</v>
      </c>
      <c r="S176">
        <v>0.63028204624823903</v>
      </c>
      <c r="T176">
        <v>0.61550155335078705</v>
      </c>
      <c r="U176">
        <v>0.62660100366536897</v>
      </c>
      <c r="V176">
        <v>0.64470106214118605</v>
      </c>
      <c r="W176">
        <v>0.63527199426580105</v>
      </c>
      <c r="X176">
        <v>0.60400737401714399</v>
      </c>
      <c r="Y176">
        <v>0.54678089191608303</v>
      </c>
      <c r="Z176">
        <v>0.61770817502880504</v>
      </c>
      <c r="AA176">
        <v>0.67346126152852404</v>
      </c>
      <c r="AB176">
        <v>0.72440985115157397</v>
      </c>
      <c r="AC176">
        <v>0.76652744911239201</v>
      </c>
      <c r="AD176">
        <v>0.89377408333333297</v>
      </c>
      <c r="AE176">
        <v>1.7545230040748101</v>
      </c>
      <c r="AF176">
        <v>4.0160373443362998</v>
      </c>
      <c r="AG176">
        <v>4.5369666666666699</v>
      </c>
      <c r="AH176">
        <v>7.3647349999999996</v>
      </c>
      <c r="AI176">
        <v>8.0382850000000001</v>
      </c>
      <c r="AJ176">
        <v>9.9094916666666606</v>
      </c>
      <c r="AK176">
        <v>17.298425000000002</v>
      </c>
      <c r="AL176">
        <v>22.0654</v>
      </c>
      <c r="AM176">
        <v>21.995999999999999</v>
      </c>
      <c r="AN176">
        <v>21.895258333333299</v>
      </c>
      <c r="AO176">
        <v>21.884425</v>
      </c>
      <c r="AP176">
        <v>21.886050000000001</v>
      </c>
      <c r="AQ176">
        <v>21.885999999999999</v>
      </c>
      <c r="AR176">
        <v>92.338099999999997</v>
      </c>
      <c r="AS176">
        <v>101.69733333333301</v>
      </c>
      <c r="AT176">
        <v>111.23125</v>
      </c>
      <c r="AU176">
        <v>120.57815833333299</v>
      </c>
      <c r="AV176">
        <v>129.22235000000001</v>
      </c>
      <c r="AW176">
        <v>132.888025</v>
      </c>
      <c r="AX176">
        <v>131.274333333333</v>
      </c>
      <c r="AY176">
        <v>128.65166666666701</v>
      </c>
      <c r="AZ176">
        <v>125.808108333333</v>
      </c>
      <c r="BA176">
        <v>118.566666666667</v>
      </c>
      <c r="BB176">
        <v>148.88</v>
      </c>
      <c r="BC176">
        <v>150.29750000000001</v>
      </c>
      <c r="BD176">
        <v>153.86250000000001</v>
      </c>
      <c r="BE176">
        <v>157.5</v>
      </c>
      <c r="BF176">
        <v>157.31166666666701</v>
      </c>
      <c r="BG176">
        <v>158.552641666667</v>
      </c>
      <c r="BH176">
        <v>192.440333333333</v>
      </c>
      <c r="BI176">
        <v>253.49199999999999</v>
      </c>
      <c r="BJ176">
        <v>305.79010916000499</v>
      </c>
      <c r="BK176">
        <v>306.08368824523399</v>
      </c>
      <c r="BL176">
        <v>306.92095149522203</v>
      </c>
      <c r="BM176">
        <v>358.81079725829699</v>
      </c>
      <c r="BN176">
        <v>401.15202922077901</v>
      </c>
      <c r="BO176">
        <v>425.979158066857</v>
      </c>
      <c r="BP176">
        <v>645.194067883201</v>
      </c>
      <c r="BQ176">
        <v>1478.96519740023</v>
      </c>
    </row>
    <row r="177" spans="1:69" x14ac:dyDescent="0.3">
      <c r="A177" t="s">
        <v>356</v>
      </c>
      <c r="B177" t="s">
        <v>357</v>
      </c>
      <c r="C177" t="s">
        <v>6</v>
      </c>
      <c r="D177" t="s">
        <v>7</v>
      </c>
      <c r="E177" s="1">
        <v>2.0606441896551702E-9</v>
      </c>
      <c r="F177" s="1">
        <v>2.0606441896551702E-9</v>
      </c>
      <c r="G177" s="1">
        <v>2.0606441896551702E-9</v>
      </c>
      <c r="H177" s="1">
        <v>2.0606441896551702E-9</v>
      </c>
      <c r="I177" s="1">
        <v>2.0606441896551702E-9</v>
      </c>
      <c r="J177" s="1">
        <v>2.0606441896551702E-9</v>
      </c>
      <c r="K177" s="1">
        <v>2.0606441896551702E-9</v>
      </c>
      <c r="L177" s="1">
        <v>2.0606441896551702E-9</v>
      </c>
      <c r="M177" s="1">
        <v>2.0606441896551702E-9</v>
      </c>
      <c r="N177" s="1">
        <v>2.0606441896551702E-9</v>
      </c>
      <c r="O177" s="1">
        <v>2.0606441896551702E-9</v>
      </c>
      <c r="P177" s="1">
        <v>2.0606441896551702E-9</v>
      </c>
      <c r="Q177" s="1">
        <v>2.0606441896551702E-9</v>
      </c>
      <c r="R177" s="1">
        <v>2.0606197500000002E-9</v>
      </c>
      <c r="S177" s="1">
        <v>2.0606441896551702E-9</v>
      </c>
      <c r="T177" s="1">
        <v>2.0606441896551702E-9</v>
      </c>
      <c r="U177" s="1">
        <v>2.0606441896551702E-9</v>
      </c>
      <c r="V177" s="1">
        <v>2.0606441896551702E-9</v>
      </c>
      <c r="W177" s="1">
        <v>2.0606441896551702E-9</v>
      </c>
      <c r="X177" s="1">
        <v>2.7882567155172402E-9</v>
      </c>
      <c r="Y177" s="1">
        <v>2.9474224137930999E-9</v>
      </c>
      <c r="Z177" s="1">
        <v>2.9474224137930999E-9</v>
      </c>
      <c r="AA177" s="1">
        <v>2.9474224137930999E-9</v>
      </c>
      <c r="AB177" s="1">
        <v>2.9476668103448302E-9</v>
      </c>
      <c r="AC177" s="1">
        <v>2.9476668103448302E-9</v>
      </c>
      <c r="AD177" s="1">
        <v>7.7730323275862004E-9</v>
      </c>
      <c r="AE177" s="1">
        <v>1.9502844827586202E-8</v>
      </c>
      <c r="AF177" s="1">
        <v>2.05293103448276E-8</v>
      </c>
      <c r="AG177" s="1">
        <v>5.3946239281609197E-5</v>
      </c>
      <c r="AH177">
        <v>3.1308999999999998E-3</v>
      </c>
      <c r="AI177">
        <v>0.14092241666666699</v>
      </c>
      <c r="AJ177">
        <v>4.27082828333333</v>
      </c>
      <c r="AK177">
        <v>5</v>
      </c>
      <c r="AL177">
        <v>5.6204083333333301</v>
      </c>
      <c r="AM177">
        <v>6.7228750000000002</v>
      </c>
      <c r="AN177">
        <v>7.5455916666666702</v>
      </c>
      <c r="AO177">
        <v>8.4354999999999993</v>
      </c>
      <c r="AP177">
        <v>9.4480833333333294</v>
      </c>
      <c r="AQ177">
        <v>10.5819166666667</v>
      </c>
      <c r="AR177">
        <v>11.80925</v>
      </c>
      <c r="AS177">
        <v>12.6843916666667</v>
      </c>
      <c r="AT177">
        <v>13.3719416666667</v>
      </c>
      <c r="AU177">
        <v>14.251325250000001</v>
      </c>
      <c r="AV177">
        <v>15.1046433333333</v>
      </c>
      <c r="AW177">
        <v>15.937247316462701</v>
      </c>
      <c r="AX177">
        <v>16.733329534050199</v>
      </c>
      <c r="AY177">
        <v>17.569998431899599</v>
      </c>
      <c r="AZ177">
        <v>18.448506159754199</v>
      </c>
      <c r="BA177">
        <v>19.371896406501101</v>
      </c>
      <c r="BB177">
        <v>20.339481870199702</v>
      </c>
      <c r="BC177">
        <v>21.356448683435801</v>
      </c>
      <c r="BD177">
        <v>22.424270616359401</v>
      </c>
      <c r="BE177">
        <v>23.546663531083901</v>
      </c>
      <c r="BF177">
        <v>24.7227641666667</v>
      </c>
      <c r="BG177">
        <v>25.958900366743499</v>
      </c>
      <c r="BH177">
        <v>27.256844940476199</v>
      </c>
      <c r="BI177">
        <v>28.6209624101588</v>
      </c>
      <c r="BJ177">
        <v>30.0509413442878</v>
      </c>
      <c r="BK177">
        <v>31.5532123338754</v>
      </c>
      <c r="BL177">
        <v>33.121745265283998</v>
      </c>
      <c r="BM177">
        <v>34.342122119702402</v>
      </c>
      <c r="BN177">
        <v>35.171016666666702</v>
      </c>
      <c r="BO177">
        <v>35.874421141966998</v>
      </c>
      <c r="BP177">
        <v>36.441194279658603</v>
      </c>
      <c r="BQ177">
        <v>36.624299999999998</v>
      </c>
    </row>
    <row r="178" spans="1:69" x14ac:dyDescent="0.3">
      <c r="A178" t="s">
        <v>358</v>
      </c>
      <c r="B178" t="s">
        <v>359</v>
      </c>
      <c r="C178" t="s">
        <v>6</v>
      </c>
      <c r="D178" t="s">
        <v>7</v>
      </c>
      <c r="E178">
        <v>3.8000000028000001</v>
      </c>
      <c r="F178">
        <v>3.6500000026500001</v>
      </c>
      <c r="G178">
        <v>3.6200000026199999</v>
      </c>
      <c r="H178">
        <v>3.6200000026199999</v>
      </c>
      <c r="I178">
        <v>3.6200000026199999</v>
      </c>
      <c r="J178">
        <v>3.6200000026199999</v>
      </c>
      <c r="K178">
        <v>3.6200000026199999</v>
      </c>
      <c r="L178">
        <v>3.6200000026199999</v>
      </c>
      <c r="M178">
        <v>3.6200000026199999</v>
      </c>
      <c r="N178">
        <v>3.6200000026199999</v>
      </c>
      <c r="O178">
        <v>3.6200000026199999</v>
      </c>
      <c r="P178">
        <v>3.5170805388896298</v>
      </c>
      <c r="Q178">
        <v>3.2094999990000002</v>
      </c>
      <c r="R178">
        <v>2.7955499990833301</v>
      </c>
      <c r="S178">
        <v>2.6883833323333302</v>
      </c>
      <c r="T178">
        <v>2.52899166575</v>
      </c>
      <c r="U178">
        <v>2.6439416656666701</v>
      </c>
      <c r="V178">
        <v>2.4542499990833302</v>
      </c>
      <c r="W178">
        <v>2.1635833325833298</v>
      </c>
      <c r="X178">
        <v>2.0059916657499999</v>
      </c>
      <c r="Y178">
        <v>1.98811666591667</v>
      </c>
      <c r="Z178">
        <v>2.4951999990833298</v>
      </c>
      <c r="AA178">
        <v>2.6702083324166699</v>
      </c>
      <c r="AB178">
        <v>2.8541249990000002</v>
      </c>
      <c r="AC178">
        <v>3.20868333291667</v>
      </c>
      <c r="AD178">
        <v>3.3214000000000001</v>
      </c>
      <c r="AE178">
        <v>2.4500249999166699</v>
      </c>
      <c r="AF178">
        <v>2.0257000000000001</v>
      </c>
      <c r="AG178">
        <v>1.97658333333333</v>
      </c>
      <c r="AH178">
        <v>2.1207375000000002</v>
      </c>
      <c r="AI178">
        <v>1.82094166666667</v>
      </c>
      <c r="AJ178">
        <v>1.8696666666666699</v>
      </c>
      <c r="AK178">
        <v>1.7584663333333299</v>
      </c>
      <c r="AL178">
        <v>1.85730516666667</v>
      </c>
      <c r="AM178">
        <v>1.81999508333333</v>
      </c>
      <c r="AN178">
        <v>1.60567525</v>
      </c>
      <c r="AO178">
        <v>1.6858967499999999</v>
      </c>
      <c r="AP178">
        <v>1.95126991666667</v>
      </c>
      <c r="AQ178">
        <v>1.983733</v>
      </c>
      <c r="AR178">
        <v>0.93828307239528297</v>
      </c>
      <c r="AS178">
        <v>1.0827050813260199</v>
      </c>
      <c r="AT178">
        <v>1.1165330856446201</v>
      </c>
      <c r="AU178">
        <v>1.0575589962396501</v>
      </c>
      <c r="AV178">
        <v>0.88404792718492997</v>
      </c>
      <c r="AW178">
        <v>0.80392164774761798</v>
      </c>
      <c r="AX178">
        <v>0.80380019216144205</v>
      </c>
      <c r="AY178">
        <v>0.79643273094910205</v>
      </c>
      <c r="AZ178">
        <v>0.72967239998408295</v>
      </c>
      <c r="BA178">
        <v>0.67992268004272904</v>
      </c>
      <c r="BB178">
        <v>0.71695770201613596</v>
      </c>
      <c r="BC178">
        <v>0.75430899010596097</v>
      </c>
      <c r="BD178">
        <v>0.71841389865331695</v>
      </c>
      <c r="BE178">
        <v>0.77833812041681205</v>
      </c>
      <c r="BF178">
        <v>0.75294512270199598</v>
      </c>
      <c r="BG178">
        <v>0.75272819693260296</v>
      </c>
      <c r="BH178">
        <v>0.90129642336709603</v>
      </c>
      <c r="BI178">
        <v>0.90342143625726301</v>
      </c>
      <c r="BJ178">
        <v>0.88520550826937205</v>
      </c>
      <c r="BK178">
        <v>0.84677266710811105</v>
      </c>
      <c r="BL178">
        <v>0.89327625706740899</v>
      </c>
      <c r="BM178">
        <v>0.87550639698799804</v>
      </c>
      <c r="BN178">
        <v>0.84549413889045</v>
      </c>
      <c r="BO178">
        <v>0.94962375315694103</v>
      </c>
      <c r="BP178">
        <v>0.92483955847069799</v>
      </c>
      <c r="BQ178">
        <v>0.92388954611760699</v>
      </c>
    </row>
    <row r="179" spans="1:69" x14ac:dyDescent="0.3">
      <c r="A179" t="s">
        <v>360</v>
      </c>
      <c r="B179" t="s">
        <v>361</v>
      </c>
      <c r="C179" t="s">
        <v>6</v>
      </c>
      <c r="D179" t="s">
        <v>7</v>
      </c>
      <c r="E179">
        <v>7.1428600061428602</v>
      </c>
      <c r="F179">
        <v>7.1428600061428602</v>
      </c>
      <c r="G179">
        <v>7.1428600061428602</v>
      </c>
      <c r="H179">
        <v>7.1428600061428602</v>
      </c>
      <c r="I179">
        <v>7.1428600061428602</v>
      </c>
      <c r="J179">
        <v>7.1428600061428602</v>
      </c>
      <c r="K179">
        <v>7.1428600061428602</v>
      </c>
      <c r="L179">
        <v>7.1428600061428602</v>
      </c>
      <c r="M179">
        <v>7.1428600061428602</v>
      </c>
      <c r="N179">
        <v>7.1428600061428602</v>
      </c>
      <c r="O179">
        <v>7.1428600061428602</v>
      </c>
      <c r="P179">
        <v>7.0559054708010303</v>
      </c>
      <c r="Q179">
        <v>6.5882491722678704</v>
      </c>
      <c r="R179">
        <v>5.7658333323333304</v>
      </c>
      <c r="S179">
        <v>5.5397083323333298</v>
      </c>
      <c r="T179">
        <v>5.2269416656666703</v>
      </c>
      <c r="U179">
        <v>5.4565166656666699</v>
      </c>
      <c r="V179">
        <v>5.323499999</v>
      </c>
      <c r="W179">
        <v>5.2422499990000002</v>
      </c>
      <c r="X179">
        <v>5.0640666656666697</v>
      </c>
      <c r="Y179">
        <v>4.9392249990000003</v>
      </c>
      <c r="Z179">
        <v>5.7395083323333296</v>
      </c>
      <c r="AA179">
        <v>6.4540333323333297</v>
      </c>
      <c r="AB179">
        <v>7.2963666656666701</v>
      </c>
      <c r="AC179">
        <v>8.1614583325833294</v>
      </c>
      <c r="AD179">
        <v>8.5972333330833308</v>
      </c>
      <c r="AE179">
        <v>7.3947416666666701</v>
      </c>
      <c r="AF179">
        <v>6.7374499999999999</v>
      </c>
      <c r="AG179">
        <v>6.5169833333333296</v>
      </c>
      <c r="AH179">
        <v>6.9044999999999996</v>
      </c>
      <c r="AI179">
        <v>6.2597416666666703</v>
      </c>
      <c r="AJ179">
        <v>6.4829425000000001</v>
      </c>
      <c r="AK179">
        <v>6.2145008333333296</v>
      </c>
      <c r="AL179">
        <v>7.0941291666666704</v>
      </c>
      <c r="AM179">
        <v>7.0575841666666701</v>
      </c>
      <c r="AN179">
        <v>6.3351566666666699</v>
      </c>
      <c r="AO179">
        <v>6.4498083333333298</v>
      </c>
      <c r="AP179">
        <v>7.0734008333333396</v>
      </c>
      <c r="AQ179">
        <v>7.5450974999999998</v>
      </c>
      <c r="AR179">
        <v>7.7991716666666697</v>
      </c>
      <c r="AS179">
        <v>8.8018416666666699</v>
      </c>
      <c r="AT179">
        <v>8.9916541666666703</v>
      </c>
      <c r="AU179">
        <v>7.9837788333333304</v>
      </c>
      <c r="AV179">
        <v>7.0802166666666704</v>
      </c>
      <c r="AW179">
        <v>6.7408333333333301</v>
      </c>
      <c r="AX179">
        <v>6.4424999999999999</v>
      </c>
      <c r="AY179">
        <v>6.4133333333333304</v>
      </c>
      <c r="AZ179">
        <v>5.8616666666666601</v>
      </c>
      <c r="BA179">
        <v>5.64</v>
      </c>
      <c r="BB179">
        <v>6.2883333333333304</v>
      </c>
      <c r="BC179">
        <v>6.0441666666666602</v>
      </c>
      <c r="BD179">
        <v>5.6046073067632802</v>
      </c>
      <c r="BE179">
        <v>5.8174999999999999</v>
      </c>
      <c r="BF179">
        <v>5.875</v>
      </c>
      <c r="BG179">
        <v>6.3016666666666703</v>
      </c>
      <c r="BH179">
        <v>8.0641666666666705</v>
      </c>
      <c r="BI179">
        <v>8.4</v>
      </c>
      <c r="BJ179">
        <v>8.2716666666666594</v>
      </c>
      <c r="BK179">
        <v>8.1325000000000003</v>
      </c>
      <c r="BL179">
        <v>8.8000000000000007</v>
      </c>
      <c r="BM179">
        <v>9.4158333333333406</v>
      </c>
      <c r="BN179">
        <v>8.59</v>
      </c>
      <c r="BO179">
        <v>9.6141666666666694</v>
      </c>
      <c r="BP179">
        <v>10.563333333333301</v>
      </c>
      <c r="BQ179">
        <v>10.7458333333333</v>
      </c>
    </row>
    <row r="180" spans="1:69" x14ac:dyDescent="0.3">
      <c r="A180" t="s">
        <v>362</v>
      </c>
      <c r="B180" t="s">
        <v>363</v>
      </c>
      <c r="C180" t="s">
        <v>6</v>
      </c>
      <c r="D180" t="s">
        <v>7</v>
      </c>
      <c r="E180">
        <v>7.5000000064999996</v>
      </c>
      <c r="F180">
        <v>7.6190000066190002</v>
      </c>
      <c r="G180">
        <v>7.6190000066190002</v>
      </c>
      <c r="H180">
        <v>7.6190000066190002</v>
      </c>
      <c r="I180">
        <v>7.6190000066190002</v>
      </c>
      <c r="J180">
        <v>7.6190000066190002</v>
      </c>
      <c r="K180">
        <v>7.6172500066172502</v>
      </c>
      <c r="L180">
        <v>8.0341666738674995</v>
      </c>
      <c r="M180">
        <v>10.125000010125</v>
      </c>
      <c r="N180">
        <v>10.125000010125</v>
      </c>
      <c r="O180">
        <v>10.125000010125</v>
      </c>
      <c r="P180">
        <v>10.125004030341699</v>
      </c>
      <c r="Q180">
        <v>10.125</v>
      </c>
      <c r="R180">
        <v>10.5001666658333</v>
      </c>
      <c r="S180">
        <v>10.559999999</v>
      </c>
      <c r="T180">
        <v>11.0028333325</v>
      </c>
      <c r="U180">
        <v>12.5</v>
      </c>
      <c r="V180">
        <v>12.5</v>
      </c>
      <c r="W180">
        <v>12.1105</v>
      </c>
      <c r="X180">
        <v>12</v>
      </c>
      <c r="Y180">
        <v>12</v>
      </c>
      <c r="Z180">
        <v>12.336333333000001</v>
      </c>
      <c r="AA180">
        <v>13.243833332416701</v>
      </c>
      <c r="AB180">
        <v>14.545249999416701</v>
      </c>
      <c r="AC180">
        <v>16.459416666333301</v>
      </c>
      <c r="AD180">
        <v>18.2464166665</v>
      </c>
      <c r="AE180">
        <v>21.229833333166699</v>
      </c>
      <c r="AF180">
        <v>21.8191666666667</v>
      </c>
      <c r="AG180">
        <v>23.289249999999999</v>
      </c>
      <c r="AH180">
        <v>27.188833333333299</v>
      </c>
      <c r="AI180">
        <v>29.3691666666667</v>
      </c>
      <c r="AJ180">
        <v>37.255000000000003</v>
      </c>
      <c r="AK180">
        <v>42.717500000000001</v>
      </c>
      <c r="AL180">
        <v>48.607165000000002</v>
      </c>
      <c r="AM180">
        <v>49.397518333333302</v>
      </c>
      <c r="AN180">
        <v>51.890333333333402</v>
      </c>
      <c r="AO180">
        <v>56.691952499999999</v>
      </c>
      <c r="AP180">
        <v>58.009549166666702</v>
      </c>
      <c r="AQ180">
        <v>65.975787499999996</v>
      </c>
      <c r="AR180">
        <v>68.239370833333396</v>
      </c>
      <c r="AS180">
        <v>71.093795833333303</v>
      </c>
      <c r="AT180">
        <v>74.949250000000006</v>
      </c>
      <c r="AU180">
        <v>77.8766191666667</v>
      </c>
      <c r="AV180">
        <v>76.141447499999998</v>
      </c>
      <c r="AW180">
        <v>73.673596666666697</v>
      </c>
      <c r="AX180">
        <v>71.367500000000007</v>
      </c>
      <c r="AY180">
        <v>72.755605833333306</v>
      </c>
      <c r="AZ180">
        <v>66.415027499999994</v>
      </c>
      <c r="BA180">
        <v>69.761695000000003</v>
      </c>
      <c r="BB180">
        <v>77.573430739015606</v>
      </c>
      <c r="BC180">
        <v>73.262359015804606</v>
      </c>
      <c r="BD180">
        <v>74.02</v>
      </c>
      <c r="BE180">
        <v>85.225755992383498</v>
      </c>
      <c r="BF180">
        <v>93.084393807548494</v>
      </c>
      <c r="BG180">
        <v>97.554842156794606</v>
      </c>
      <c r="BH180">
        <v>102.405134331356</v>
      </c>
      <c r="BI180">
        <v>107.383815174654</v>
      </c>
      <c r="BJ180">
        <v>104.51188524286199</v>
      </c>
      <c r="BK180">
        <v>108.930134109273</v>
      </c>
      <c r="BL180">
        <v>112.609482758621</v>
      </c>
      <c r="BM180">
        <v>118.34518727598601</v>
      </c>
      <c r="BN180">
        <v>118.134081604947</v>
      </c>
      <c r="BO180">
        <v>125.199457792609</v>
      </c>
      <c r="BP180">
        <v>132.11546008875601</v>
      </c>
      <c r="BQ180">
        <v>133.726644315443</v>
      </c>
    </row>
    <row r="181" spans="1:69" x14ac:dyDescent="0.3">
      <c r="A181" t="s">
        <v>364</v>
      </c>
      <c r="B181" t="s">
        <v>365</v>
      </c>
      <c r="C181" t="s">
        <v>6</v>
      </c>
      <c r="D181" t="s">
        <v>7</v>
      </c>
      <c r="E181">
        <v>0.89285699989285705</v>
      </c>
      <c r="F181">
        <v>0.89285699989285705</v>
      </c>
      <c r="G181">
        <v>0.89285699989285705</v>
      </c>
      <c r="H181">
        <v>0.89285699989285705</v>
      </c>
      <c r="I181">
        <v>0.89285699989285705</v>
      </c>
      <c r="J181">
        <v>0.89285699989285705</v>
      </c>
      <c r="K181">
        <v>0.89285699989285705</v>
      </c>
      <c r="L181">
        <v>0.89285699989285705</v>
      </c>
      <c r="M181">
        <v>0.89285699989285705</v>
      </c>
      <c r="N181">
        <v>0.89285699989285705</v>
      </c>
      <c r="O181">
        <v>0.89285699989285705</v>
      </c>
      <c r="P181">
        <v>0.88267025929554799</v>
      </c>
      <c r="Q181">
        <v>0.838697807262207</v>
      </c>
      <c r="R181">
        <v>0.70411390796665796</v>
      </c>
      <c r="S181">
        <v>0.69666586863809599</v>
      </c>
      <c r="T181">
        <v>0.76387124900000003</v>
      </c>
      <c r="U181">
        <v>0.81828408233333305</v>
      </c>
      <c r="V181">
        <v>0.90182499900000002</v>
      </c>
      <c r="W181">
        <v>0.87365924900000003</v>
      </c>
      <c r="X181">
        <v>0.89464091566666704</v>
      </c>
      <c r="Y181">
        <v>0.87824433233333299</v>
      </c>
      <c r="Z181">
        <v>0.87021458233333304</v>
      </c>
      <c r="AA181">
        <v>0.98586283233333305</v>
      </c>
      <c r="AB181">
        <v>1.1100149991666699</v>
      </c>
      <c r="AC181">
        <v>1.1395191659166699</v>
      </c>
      <c r="AD181">
        <v>1.4318949995000001</v>
      </c>
      <c r="AE181">
        <v>1.4959741664166699</v>
      </c>
      <c r="AF181">
        <v>1.42818</v>
      </c>
      <c r="AG181">
        <v>1.2799083333333301</v>
      </c>
      <c r="AH181">
        <v>1.2645966666666699</v>
      </c>
      <c r="AI181">
        <v>1.2810566666666701</v>
      </c>
      <c r="AJ181">
        <v>1.2837558333333301</v>
      </c>
      <c r="AK181">
        <v>1.36164833333333</v>
      </c>
      <c r="AL181">
        <v>1.4705600000000001</v>
      </c>
      <c r="AM181">
        <v>1.3677508333333299</v>
      </c>
      <c r="AN181">
        <v>1.3490325000000001</v>
      </c>
      <c r="AO181">
        <v>1.27786333333333</v>
      </c>
      <c r="AP181">
        <v>1.34738</v>
      </c>
      <c r="AQ181">
        <v>1.5918283333333301</v>
      </c>
      <c r="AR181">
        <v>1.5499499999999999</v>
      </c>
      <c r="AS181">
        <v>1.7248266666666701</v>
      </c>
      <c r="AT181">
        <v>1.9334425</v>
      </c>
      <c r="AU181">
        <v>1.8405625000000001</v>
      </c>
      <c r="AV181">
        <v>1.54191416666667</v>
      </c>
      <c r="AW181">
        <v>1.3597524999999999</v>
      </c>
      <c r="AX181">
        <v>1.3094733333333299</v>
      </c>
      <c r="AY181">
        <v>1.3279734405000001</v>
      </c>
      <c r="AZ181">
        <v>1.1950725</v>
      </c>
      <c r="BA181">
        <v>1.19217833333333</v>
      </c>
      <c r="BB181">
        <v>1.28218881008452</v>
      </c>
      <c r="BC181">
        <v>1.0901594863867701</v>
      </c>
      <c r="BD181">
        <v>0.96946320149673504</v>
      </c>
      <c r="BE181">
        <v>0.96580103065870804</v>
      </c>
      <c r="BF181">
        <v>1.0358430965205401</v>
      </c>
      <c r="BG181">
        <v>1.1093632928169199</v>
      </c>
      <c r="BH181">
        <v>1.33109026245502</v>
      </c>
      <c r="BI181">
        <v>1.3452139760194699</v>
      </c>
      <c r="BJ181">
        <v>1.3047580767159199</v>
      </c>
      <c r="BK181">
        <v>1.33841214646451</v>
      </c>
      <c r="BL181">
        <v>1.4385065442138201</v>
      </c>
      <c r="BM181">
        <v>1.4530851184701601</v>
      </c>
      <c r="BN181">
        <v>1.3312242595708099</v>
      </c>
      <c r="BO181">
        <v>1.4416644589652201</v>
      </c>
      <c r="BP181">
        <v>1.50519106560508</v>
      </c>
      <c r="BQ181">
        <v>1.51535803855596</v>
      </c>
    </row>
    <row r="182" spans="1:69" x14ac:dyDescent="0.3">
      <c r="A182" t="s">
        <v>366</v>
      </c>
      <c r="B182" t="s">
        <v>367</v>
      </c>
      <c r="C182" t="s">
        <v>6</v>
      </c>
      <c r="D182" t="s">
        <v>7</v>
      </c>
      <c r="E182">
        <v>0.71428798606437804</v>
      </c>
      <c r="F182">
        <v>0.71551415608481606</v>
      </c>
      <c r="G182">
        <v>0.71919399971919395</v>
      </c>
      <c r="H182">
        <v>0.71919399971919395</v>
      </c>
      <c r="I182">
        <v>0.71919399971919395</v>
      </c>
      <c r="J182">
        <v>0.71919399971919395</v>
      </c>
      <c r="K182">
        <v>0.71919399971919395</v>
      </c>
      <c r="L182">
        <v>0.73366558300706697</v>
      </c>
      <c r="M182">
        <v>0.89285699989285705</v>
      </c>
      <c r="N182">
        <v>0.89285699989285705</v>
      </c>
      <c r="O182">
        <v>0.89285699989285705</v>
      </c>
      <c r="P182">
        <v>0.88060719460315895</v>
      </c>
      <c r="Q182">
        <v>0.83668005354752295</v>
      </c>
      <c r="R182">
        <v>0.73681212551313802</v>
      </c>
      <c r="S182">
        <v>0.71540258866536799</v>
      </c>
      <c r="T182">
        <v>0.83230721942330699</v>
      </c>
      <c r="U182">
        <v>1.0048887896505101</v>
      </c>
      <c r="V182">
        <v>1.03031165084621</v>
      </c>
      <c r="W182">
        <v>0.96442499900000001</v>
      </c>
      <c r="X182">
        <v>0.97850249899999997</v>
      </c>
      <c r="Y182">
        <v>1.02667999916667</v>
      </c>
      <c r="Z182">
        <v>1.15279499925</v>
      </c>
      <c r="AA182">
        <v>1.33260833233333</v>
      </c>
      <c r="AB182">
        <v>1.4967733323333301</v>
      </c>
      <c r="AC182">
        <v>1.76399249916667</v>
      </c>
      <c r="AD182">
        <v>2.02337249966667</v>
      </c>
      <c r="AE182">
        <v>1.9131608330833301</v>
      </c>
      <c r="AF182">
        <v>1.69456083333333</v>
      </c>
      <c r="AG182">
        <v>1.5264008333333301</v>
      </c>
      <c r="AH182">
        <v>1.67214833333333</v>
      </c>
      <c r="AI182">
        <v>1.6762033333333299</v>
      </c>
      <c r="AJ182">
        <v>1.73351416666667</v>
      </c>
      <c r="AK182">
        <v>1.8617916666666701</v>
      </c>
      <c r="AL182">
        <v>1.8505133333333299</v>
      </c>
      <c r="AM182">
        <v>1.68652166666667</v>
      </c>
      <c r="AN182">
        <v>1.5238766666666701</v>
      </c>
      <c r="AO182">
        <v>1.4548475000000001</v>
      </c>
      <c r="AP182">
        <v>1.51242083333333</v>
      </c>
      <c r="AQ182">
        <v>1.8682491666666701</v>
      </c>
      <c r="AR182">
        <v>1.88961389919167</v>
      </c>
      <c r="AS182">
        <v>2.2011491666666698</v>
      </c>
      <c r="AT182">
        <v>2.37875083333333</v>
      </c>
      <c r="AU182">
        <v>2.1621908333333302</v>
      </c>
      <c r="AV182">
        <v>1.7220991463977799</v>
      </c>
      <c r="AW182">
        <v>1.50868127077323</v>
      </c>
      <c r="AX182">
        <v>1.42027345661433</v>
      </c>
      <c r="AY182">
        <v>1.5420557566968101</v>
      </c>
      <c r="AZ182">
        <v>1.36067522852426</v>
      </c>
      <c r="BA182">
        <v>1.4227268095265</v>
      </c>
      <c r="BB182">
        <v>1.6008772952194601</v>
      </c>
      <c r="BC182">
        <v>1.38783382768108</v>
      </c>
      <c r="BD182">
        <v>1.26581069673447</v>
      </c>
      <c r="BE182">
        <v>1.2342836550132901</v>
      </c>
      <c r="BF182">
        <v>1.2194079739482899</v>
      </c>
      <c r="BG182">
        <v>1.20543333333333</v>
      </c>
      <c r="BH182">
        <v>1.433975</v>
      </c>
      <c r="BI182">
        <v>1.4365250000000001</v>
      </c>
      <c r="BJ182">
        <v>1.40740833333333</v>
      </c>
      <c r="BK182">
        <v>1.44525833333333</v>
      </c>
      <c r="BL182">
        <v>1.5178750000000001</v>
      </c>
      <c r="BM182">
        <v>1.54205833333333</v>
      </c>
      <c r="BN182">
        <v>1.4137999999999999</v>
      </c>
      <c r="BO182">
        <v>1.5771833333333301</v>
      </c>
      <c r="BP182">
        <v>1.6284333333333301</v>
      </c>
      <c r="BQ182">
        <v>1.6523083333333299</v>
      </c>
    </row>
    <row r="183" spans="1:69" x14ac:dyDescent="0.3">
      <c r="A183" t="s">
        <v>368</v>
      </c>
      <c r="B183" t="s">
        <v>369</v>
      </c>
      <c r="C183" t="s">
        <v>6</v>
      </c>
      <c r="D183" t="s">
        <v>7</v>
      </c>
    </row>
    <row r="184" spans="1:69" x14ac:dyDescent="0.3">
      <c r="A184" t="s">
        <v>370</v>
      </c>
      <c r="B184" t="s">
        <v>371</v>
      </c>
      <c r="C184" t="s">
        <v>6</v>
      </c>
      <c r="D184" t="s">
        <v>7</v>
      </c>
      <c r="E184">
        <v>0.357142999357143</v>
      </c>
      <c r="F184">
        <v>0.357142999357143</v>
      </c>
      <c r="G184">
        <v>0.357142999357143</v>
      </c>
      <c r="H184">
        <v>0.357142999357143</v>
      </c>
      <c r="I184">
        <v>0.357142999357143</v>
      </c>
      <c r="J184">
        <v>0.357142999357143</v>
      </c>
      <c r="K184">
        <v>0.357142999357143</v>
      </c>
      <c r="L184">
        <v>0.36210333266567502</v>
      </c>
      <c r="M184">
        <v>0.41666699941666702</v>
      </c>
      <c r="N184">
        <v>0.41666699941666702</v>
      </c>
      <c r="O184">
        <v>0.41666699941666702</v>
      </c>
      <c r="P184">
        <v>0.41544749932071001</v>
      </c>
      <c r="Q184">
        <v>0.383772999</v>
      </c>
      <c r="R184">
        <v>0.35067616566666698</v>
      </c>
      <c r="S184">
        <v>0.34539999900000001</v>
      </c>
      <c r="T184">
        <v>0.34539999900000001</v>
      </c>
      <c r="U184">
        <v>0.34539999900000001</v>
      </c>
      <c r="V184">
        <v>0.34539999900000001</v>
      </c>
      <c r="W184">
        <v>0.34539999900000001</v>
      </c>
      <c r="X184">
        <v>0.34539999900000001</v>
      </c>
      <c r="Y184">
        <v>0.34539999900000001</v>
      </c>
      <c r="Z184">
        <v>0.34539999900000001</v>
      </c>
      <c r="AA184">
        <v>0.34539999900000001</v>
      </c>
      <c r="AB184">
        <v>0.34539999900000001</v>
      </c>
      <c r="AC184">
        <v>0.34539749958333299</v>
      </c>
      <c r="AD184">
        <v>0.34539500000000001</v>
      </c>
      <c r="AE184">
        <v>0.38198191666666698</v>
      </c>
      <c r="AF184">
        <v>0.38450000000000001</v>
      </c>
      <c r="AG184">
        <v>0.38450000000000001</v>
      </c>
      <c r="AH184">
        <v>0.38450000000000001</v>
      </c>
      <c r="AI184">
        <v>0.38450000000000001</v>
      </c>
      <c r="AJ184">
        <v>0.38450000000000001</v>
      </c>
      <c r="AK184">
        <v>0.38450000000000001</v>
      </c>
      <c r="AL184">
        <v>0.38450000000000001</v>
      </c>
      <c r="AM184">
        <v>0.38450000000000001</v>
      </c>
      <c r="AN184">
        <v>0.38450000000000001</v>
      </c>
      <c r="AO184">
        <v>0.38450000000000001</v>
      </c>
      <c r="AP184">
        <v>0.38450000000000001</v>
      </c>
      <c r="AQ184">
        <v>0.38450000000000001</v>
      </c>
      <c r="AR184">
        <v>0.38450000000000001</v>
      </c>
      <c r="AS184">
        <v>0.38450000000000001</v>
      </c>
      <c r="AT184">
        <v>0.38450000000000001</v>
      </c>
      <c r="AU184">
        <v>0.38450000000000001</v>
      </c>
      <c r="AV184">
        <v>0.38450000000000001</v>
      </c>
      <c r="AW184">
        <v>0.38450000000000001</v>
      </c>
      <c r="AX184">
        <v>0.38450000000000001</v>
      </c>
      <c r="AY184">
        <v>0.38450000000000001</v>
      </c>
      <c r="AZ184">
        <v>0.38450000000000001</v>
      </c>
      <c r="BA184">
        <v>0.38450000000000001</v>
      </c>
      <c r="BB184">
        <v>0.38450000000000001</v>
      </c>
      <c r="BC184">
        <v>0.38450000000000001</v>
      </c>
      <c r="BD184">
        <v>0.38450000000000001</v>
      </c>
      <c r="BE184">
        <v>0.38450000000000001</v>
      </c>
      <c r="BF184">
        <v>0.38450000000000001</v>
      </c>
      <c r="BG184">
        <v>0.38450000000000001</v>
      </c>
      <c r="BH184">
        <v>0.38450000000000001</v>
      </c>
      <c r="BI184">
        <v>0.38450000000000001</v>
      </c>
      <c r="BJ184">
        <v>0.38450000000000001</v>
      </c>
      <c r="BK184">
        <v>0.38450000000000001</v>
      </c>
      <c r="BL184">
        <v>0.38450000000000001</v>
      </c>
      <c r="BM184">
        <v>0.38450000000000001</v>
      </c>
      <c r="BN184">
        <v>0.38450000000000001</v>
      </c>
      <c r="BO184">
        <v>0.38450000000000001</v>
      </c>
      <c r="BP184">
        <v>0.38450000000000001</v>
      </c>
      <c r="BQ184">
        <v>0.38450000000000001</v>
      </c>
    </row>
    <row r="185" spans="1:69" x14ac:dyDescent="0.3">
      <c r="A185" t="s">
        <v>372</v>
      </c>
      <c r="B185" t="s">
        <v>373</v>
      </c>
      <c r="C185" t="s">
        <v>6</v>
      </c>
      <c r="D185" t="s">
        <v>7</v>
      </c>
    </row>
    <row r="186" spans="1:69" x14ac:dyDescent="0.3">
      <c r="A186" t="s">
        <v>374</v>
      </c>
      <c r="B186" t="s">
        <v>375</v>
      </c>
      <c r="C186" t="s">
        <v>6</v>
      </c>
      <c r="D186" t="s">
        <v>7</v>
      </c>
      <c r="E186">
        <v>4.7619000037618999</v>
      </c>
      <c r="F186">
        <v>4.7619000037618999</v>
      </c>
      <c r="G186">
        <v>4.7619000037618999</v>
      </c>
      <c r="H186">
        <v>4.7619000037618999</v>
      </c>
      <c r="I186">
        <v>4.7619000037618999</v>
      </c>
      <c r="J186">
        <v>4.7619000037618999</v>
      </c>
      <c r="K186">
        <v>4.7619000037618999</v>
      </c>
      <c r="L186">
        <v>4.7619000037618999</v>
      </c>
      <c r="M186">
        <v>4.7619000037618999</v>
      </c>
      <c r="N186">
        <v>4.7619000037618999</v>
      </c>
      <c r="O186">
        <v>4.7619000037618999</v>
      </c>
      <c r="P186">
        <v>4.7619000033650796</v>
      </c>
      <c r="Q186">
        <v>8.6813825825993707</v>
      </c>
      <c r="R186">
        <v>9.9942499999166703</v>
      </c>
      <c r="S186">
        <v>9.9</v>
      </c>
      <c r="T186">
        <v>9.9</v>
      </c>
      <c r="U186">
        <v>9.9</v>
      </c>
      <c r="V186">
        <v>9.9</v>
      </c>
      <c r="W186">
        <v>9.9</v>
      </c>
      <c r="X186">
        <v>9.9</v>
      </c>
      <c r="Y186">
        <v>9.9</v>
      </c>
      <c r="Z186">
        <v>9.9</v>
      </c>
      <c r="AA186">
        <v>11.8474666658333</v>
      </c>
      <c r="AB186">
        <v>13.1169749993333</v>
      </c>
      <c r="AC186">
        <v>14.0463333330833</v>
      </c>
      <c r="AD186">
        <v>15.92839166625</v>
      </c>
      <c r="AE186">
        <v>16.647508333083302</v>
      </c>
      <c r="AF186">
        <v>17.398800000000001</v>
      </c>
      <c r="AG186">
        <v>18.003291666666701</v>
      </c>
      <c r="AH186">
        <v>20.541491666666701</v>
      </c>
      <c r="AI186">
        <v>21.707374999999999</v>
      </c>
      <c r="AJ186">
        <v>23.8007666666667</v>
      </c>
      <c r="AK186">
        <v>25.082791666666701</v>
      </c>
      <c r="AL186">
        <v>28.1071833333333</v>
      </c>
      <c r="AM186">
        <v>30.566591666666699</v>
      </c>
      <c r="AN186">
        <v>31.642683333333299</v>
      </c>
      <c r="AO186">
        <v>36.078683333333302</v>
      </c>
      <c r="AP186">
        <v>41.111525</v>
      </c>
      <c r="AQ186">
        <v>45.046666666666702</v>
      </c>
      <c r="AR186">
        <v>49.5006915833333</v>
      </c>
      <c r="AS186">
        <v>53.648186500000001</v>
      </c>
      <c r="AT186">
        <v>61.927161666666599</v>
      </c>
      <c r="AU186">
        <v>59.723781666666703</v>
      </c>
      <c r="AV186">
        <v>57.751996666666699</v>
      </c>
      <c r="AW186">
        <v>58.257863333333297</v>
      </c>
      <c r="AX186">
        <v>59.514474999999997</v>
      </c>
      <c r="AY186">
        <v>60.271335000000001</v>
      </c>
      <c r="AZ186">
        <v>60.738515833333402</v>
      </c>
      <c r="BA186">
        <v>70.408033333333293</v>
      </c>
      <c r="BB186">
        <v>81.712891666666593</v>
      </c>
      <c r="BC186">
        <v>85.193816325757595</v>
      </c>
      <c r="BD186">
        <v>86.343383333333307</v>
      </c>
      <c r="BE186">
        <v>93.395197222222194</v>
      </c>
      <c r="BF186">
        <v>101.628899206349</v>
      </c>
      <c r="BG186">
        <v>101.100088423521</v>
      </c>
      <c r="BH186">
        <v>102.769271604675</v>
      </c>
      <c r="BI186">
        <v>104.769117033301</v>
      </c>
      <c r="BJ186">
        <v>105.45516208793801</v>
      </c>
      <c r="BK186">
        <v>121.824068875756</v>
      </c>
      <c r="BL186">
        <v>150.036253839864</v>
      </c>
      <c r="BM186">
        <v>161.83847968471801</v>
      </c>
      <c r="BN186">
        <v>162.90625374741799</v>
      </c>
      <c r="BO186">
        <v>204.86718746998201</v>
      </c>
      <c r="BP186">
        <v>280.35611165514899</v>
      </c>
      <c r="BQ186">
        <v>278.58071616756303</v>
      </c>
    </row>
    <row r="187" spans="1:69" x14ac:dyDescent="0.3">
      <c r="A187" t="s">
        <v>376</v>
      </c>
      <c r="B187" t="s">
        <v>377</v>
      </c>
      <c r="C187" t="s">
        <v>6</v>
      </c>
      <c r="D187" t="s">
        <v>7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</row>
    <row r="188" spans="1:69" x14ac:dyDescent="0.3">
      <c r="A188" t="s">
        <v>378</v>
      </c>
      <c r="B188" t="s">
        <v>379</v>
      </c>
      <c r="C188" t="s">
        <v>6</v>
      </c>
      <c r="D188" t="s">
        <v>7</v>
      </c>
      <c r="E188" s="1">
        <v>2.7299166665916701E-8</v>
      </c>
      <c r="F188" s="1">
        <v>2.681666666575E-8</v>
      </c>
      <c r="G188" s="1">
        <v>2.6819999998999999E-8</v>
      </c>
      <c r="H188" s="1">
        <v>2.6819999998999999E-8</v>
      </c>
      <c r="I188" s="1">
        <v>2.6819999998999999E-8</v>
      </c>
      <c r="J188" s="1">
        <v>2.6819999998999999E-8</v>
      </c>
      <c r="K188" s="1">
        <v>2.6819999998999999E-8</v>
      </c>
      <c r="L188" s="1">
        <v>3.0248333332333302E-8</v>
      </c>
      <c r="M188" s="1">
        <v>3.8699999999000001E-8</v>
      </c>
      <c r="N188" s="1">
        <v>3.8699999999000001E-8</v>
      </c>
      <c r="O188" s="1">
        <v>3.8699999999000001E-8</v>
      </c>
      <c r="P188" s="1">
        <v>3.8699999999000001E-8</v>
      </c>
      <c r="Q188" s="1">
        <v>3.8699999999000001E-8</v>
      </c>
      <c r="R188" s="1">
        <v>3.8699999999000001E-8</v>
      </c>
      <c r="S188" s="1">
        <v>3.8699999999000001E-8</v>
      </c>
      <c r="T188" s="1">
        <v>4.0370833332583299E-8</v>
      </c>
      <c r="U188" s="1">
        <v>5.5755833332916602E-8</v>
      </c>
      <c r="V188" s="1">
        <v>8.4234833332583294E-8</v>
      </c>
      <c r="W188" s="1">
        <v>1.5634883333275001E-7</v>
      </c>
      <c r="X188" s="1">
        <v>2.24718916665667E-7</v>
      </c>
      <c r="Y188" s="1">
        <v>2.8885524999866702E-7</v>
      </c>
      <c r="Z188" s="1">
        <v>4.2231799999849999E-7</v>
      </c>
      <c r="AA188" s="1">
        <v>6.9756674999766704E-7</v>
      </c>
      <c r="AB188" s="1">
        <v>1.62863416666367E-6</v>
      </c>
      <c r="AC188" s="1">
        <v>3.4668541666649202E-6</v>
      </c>
      <c r="AD188" s="1">
        <v>1.09749424999999E-5</v>
      </c>
      <c r="AE188" s="1">
        <v>1.39475E-5</v>
      </c>
      <c r="AF188" s="1">
        <v>1.6835833333333298E-5</v>
      </c>
      <c r="AG188">
        <v>1.2883166666666701E-4</v>
      </c>
      <c r="AH188">
        <v>2.6661875000000002E-3</v>
      </c>
      <c r="AI188">
        <v>0.18788557916666701</v>
      </c>
      <c r="AJ188">
        <v>0.77249999999999996</v>
      </c>
      <c r="AK188">
        <v>1.24583333333333</v>
      </c>
      <c r="AL188">
        <v>1.9883189166666699</v>
      </c>
      <c r="AM188">
        <v>2.1949999999999998</v>
      </c>
      <c r="AN188">
        <v>2.2533333333333299</v>
      </c>
      <c r="AO188">
        <v>2.45333333333333</v>
      </c>
      <c r="AP188">
        <v>2.6641666666666701</v>
      </c>
      <c r="AQ188">
        <v>2.93</v>
      </c>
      <c r="AR188">
        <v>3.3833333333333302</v>
      </c>
      <c r="AS188">
        <v>3.49</v>
      </c>
      <c r="AT188">
        <v>3.5068333333333301</v>
      </c>
      <c r="AU188">
        <v>3.5165000000000002</v>
      </c>
      <c r="AV188">
        <v>3.4784670000000002</v>
      </c>
      <c r="AW188">
        <v>3.4131749999999998</v>
      </c>
      <c r="AX188">
        <v>3.2958416666666701</v>
      </c>
      <c r="AY188">
        <v>3.27403250265816</v>
      </c>
      <c r="AZ188">
        <v>3.1280445773524699</v>
      </c>
      <c r="BA188">
        <v>2.9244083333333299</v>
      </c>
      <c r="BB188">
        <v>3.0115083333333299</v>
      </c>
      <c r="BC188">
        <v>2.8251249999999999</v>
      </c>
      <c r="BD188">
        <v>2.7541000000000002</v>
      </c>
      <c r="BE188">
        <v>2.6375864177489201</v>
      </c>
      <c r="BF188">
        <v>2.7018990259740301</v>
      </c>
      <c r="BG188">
        <v>2.8390441378066398</v>
      </c>
      <c r="BH188">
        <v>3.1844392415223699</v>
      </c>
      <c r="BI188">
        <v>3.3750615872066501</v>
      </c>
      <c r="BJ188">
        <v>3.2604884908320999</v>
      </c>
      <c r="BK188">
        <v>3.2866026980329601</v>
      </c>
      <c r="BL188">
        <v>3.3372655465368002</v>
      </c>
      <c r="BM188">
        <v>3.4949411976912002</v>
      </c>
      <c r="BN188">
        <v>3.8805541313758698</v>
      </c>
      <c r="BO188">
        <v>3.83518137473542</v>
      </c>
      <c r="BP188">
        <v>3.74382620959376</v>
      </c>
      <c r="BQ188">
        <v>3.7524999999999999</v>
      </c>
    </row>
    <row r="189" spans="1:69" x14ac:dyDescent="0.3">
      <c r="A189" t="s">
        <v>380</v>
      </c>
      <c r="B189" t="s">
        <v>381</v>
      </c>
      <c r="C189" t="s">
        <v>6</v>
      </c>
      <c r="D189" t="s">
        <v>7</v>
      </c>
      <c r="E189">
        <v>2.0149984883118099</v>
      </c>
      <c r="F189">
        <v>2.0199979840824098</v>
      </c>
      <c r="G189">
        <v>3.7278515776187202</v>
      </c>
      <c r="H189">
        <v>3.9104231462455998</v>
      </c>
      <c r="I189">
        <v>3.9100072879016801</v>
      </c>
      <c r="J189">
        <v>3.9091733474848702</v>
      </c>
      <c r="K189">
        <v>3.9000000029000002</v>
      </c>
      <c r="L189">
        <v>3.9000000029000002</v>
      </c>
      <c r="M189">
        <v>3.9000000029000002</v>
      </c>
      <c r="N189">
        <v>3.9000000029000002</v>
      </c>
      <c r="O189">
        <v>5.9043499993250004</v>
      </c>
      <c r="P189">
        <v>6.4317083323333302</v>
      </c>
      <c r="Q189">
        <v>6.6748416657499998</v>
      </c>
      <c r="R189">
        <v>6.7562833323333296</v>
      </c>
      <c r="S189">
        <v>6.7878749994166698</v>
      </c>
      <c r="T189">
        <v>7.2478999990000004</v>
      </c>
      <c r="U189">
        <v>7.4402583323333298</v>
      </c>
      <c r="V189">
        <v>7.4028249989999999</v>
      </c>
      <c r="W189">
        <v>7.3657583324999996</v>
      </c>
      <c r="X189">
        <v>7.3775499990000002</v>
      </c>
      <c r="Y189">
        <v>7.51143333233333</v>
      </c>
      <c r="Z189">
        <v>7.89964999908333</v>
      </c>
      <c r="AA189">
        <v>8.5399999994166702</v>
      </c>
      <c r="AB189">
        <v>11.1127166658333</v>
      </c>
      <c r="AC189">
        <v>16.698708332916699</v>
      </c>
      <c r="AD189">
        <v>18.607341666500002</v>
      </c>
      <c r="AE189">
        <v>20.385683333333301</v>
      </c>
      <c r="AF189">
        <v>20.567675000000001</v>
      </c>
      <c r="AG189">
        <v>21.094674999999999</v>
      </c>
      <c r="AH189">
        <v>21.7366833333333</v>
      </c>
      <c r="AI189">
        <v>24.310500000000001</v>
      </c>
      <c r="AJ189">
        <v>27.478633333333299</v>
      </c>
      <c r="AK189">
        <v>25.512491666666701</v>
      </c>
      <c r="AL189">
        <v>27.119841666666701</v>
      </c>
      <c r="AM189">
        <v>26.417166666666699</v>
      </c>
      <c r="AN189">
        <v>25.714466666666699</v>
      </c>
      <c r="AO189">
        <v>26.216100000000001</v>
      </c>
      <c r="AP189">
        <v>29.470658333333301</v>
      </c>
      <c r="AQ189">
        <v>40.893050000000002</v>
      </c>
      <c r="AR189">
        <v>39.088983333333303</v>
      </c>
      <c r="AS189">
        <v>44.192250000000001</v>
      </c>
      <c r="AT189">
        <v>50.992649999999998</v>
      </c>
      <c r="AU189">
        <v>51.603566666666701</v>
      </c>
      <c r="AV189">
        <v>54.203333333333298</v>
      </c>
      <c r="AW189">
        <v>56.039916666666599</v>
      </c>
      <c r="AX189">
        <v>55.085491666666599</v>
      </c>
      <c r="AY189">
        <v>51.314272500000001</v>
      </c>
      <c r="AZ189">
        <v>46.148391177755002</v>
      </c>
      <c r="BA189">
        <v>44.323287609410002</v>
      </c>
      <c r="BB189">
        <v>47.679688453509101</v>
      </c>
      <c r="BC189">
        <v>45.109664180089602</v>
      </c>
      <c r="BD189">
        <v>43.3131369237488</v>
      </c>
      <c r="BE189">
        <v>42.228794734943399</v>
      </c>
      <c r="BF189">
        <v>42.4461848306739</v>
      </c>
      <c r="BG189">
        <v>44.395154304209697</v>
      </c>
      <c r="BH189">
        <v>45.502839942143098</v>
      </c>
      <c r="BI189">
        <v>47.4924638585099</v>
      </c>
      <c r="BJ189">
        <v>50.403719793717698</v>
      </c>
      <c r="BK189">
        <v>52.661429953968302</v>
      </c>
      <c r="BL189">
        <v>51.795782651733198</v>
      </c>
      <c r="BM189">
        <v>49.624096002632797</v>
      </c>
      <c r="BN189">
        <v>49.254597728841198</v>
      </c>
      <c r="BO189">
        <v>54.477785837204998</v>
      </c>
      <c r="BP189">
        <v>55.630363223193001</v>
      </c>
      <c r="BQ189">
        <v>57.290655069973397</v>
      </c>
    </row>
    <row r="190" spans="1:69" x14ac:dyDescent="0.3">
      <c r="A190" t="s">
        <v>382</v>
      </c>
      <c r="B190" t="s">
        <v>383</v>
      </c>
      <c r="C190" t="s">
        <v>6</v>
      </c>
      <c r="D190" t="s">
        <v>7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</row>
    <row r="191" spans="1:69" x14ac:dyDescent="0.3">
      <c r="A191" t="s">
        <v>384</v>
      </c>
      <c r="B191" t="s">
        <v>385</v>
      </c>
      <c r="C191" t="s">
        <v>6</v>
      </c>
      <c r="D191" t="s">
        <v>7</v>
      </c>
      <c r="E191">
        <v>0.89285699989285705</v>
      </c>
      <c r="F191">
        <v>0.89285699989285705</v>
      </c>
      <c r="G191">
        <v>0.89285699989285705</v>
      </c>
      <c r="H191">
        <v>0.89285699989285705</v>
      </c>
      <c r="I191">
        <v>0.89285699989285705</v>
      </c>
      <c r="J191">
        <v>0.89285699989285705</v>
      </c>
      <c r="K191">
        <v>0.89285699989285705</v>
      </c>
      <c r="L191">
        <v>0.89285699989285705</v>
      </c>
      <c r="M191">
        <v>0.89285699989285705</v>
      </c>
      <c r="N191">
        <v>0.89285699989285705</v>
      </c>
      <c r="O191">
        <v>0.89285699989285705</v>
      </c>
      <c r="P191">
        <v>0.88275827124897299</v>
      </c>
      <c r="Q191">
        <v>0.83503897375136704</v>
      </c>
      <c r="R191">
        <v>0.70411390796665796</v>
      </c>
      <c r="S191">
        <v>0.69666586863809599</v>
      </c>
      <c r="T191">
        <v>0.76389333233333301</v>
      </c>
      <c r="U191">
        <v>0.79280749900000003</v>
      </c>
      <c r="V191">
        <v>0.79140833233333396</v>
      </c>
      <c r="W191">
        <v>0.70892499899999994</v>
      </c>
      <c r="X191">
        <v>0.71175749899999996</v>
      </c>
      <c r="Y191">
        <v>0.67094583233333305</v>
      </c>
      <c r="Z191">
        <v>0.67296749899999997</v>
      </c>
      <c r="AA191">
        <v>0.73845833233333302</v>
      </c>
      <c r="AB191">
        <v>0.83614583233333295</v>
      </c>
      <c r="AC191">
        <v>0.89855166625000005</v>
      </c>
      <c r="AD191">
        <v>1.0003141664166699</v>
      </c>
      <c r="AE191">
        <v>0.97141416666666702</v>
      </c>
      <c r="AF191">
        <v>0.90789916666666703</v>
      </c>
      <c r="AG191">
        <v>0.8670525</v>
      </c>
      <c r="AH191">
        <v>0.85879749999999999</v>
      </c>
      <c r="AI191">
        <v>0.95499999999999996</v>
      </c>
      <c r="AJ191">
        <v>0.95170916666666705</v>
      </c>
      <c r="AK191">
        <v>0.96466333333333398</v>
      </c>
      <c r="AL191">
        <v>0.97817666666666703</v>
      </c>
      <c r="AM191">
        <v>1.0113399999999999</v>
      </c>
      <c r="AN191">
        <v>1.2798416666666701</v>
      </c>
      <c r="AO191">
        <v>1.319075</v>
      </c>
      <c r="AP191">
        <v>1.43797166666667</v>
      </c>
      <c r="AQ191">
        <v>2.0735916666666698</v>
      </c>
      <c r="AR191">
        <v>2.5707724999999999</v>
      </c>
      <c r="AS191">
        <v>2.7821566666666699</v>
      </c>
      <c r="AT191">
        <v>3.3887150645833302</v>
      </c>
      <c r="AU191">
        <v>3.8952208016666701</v>
      </c>
      <c r="AV191">
        <v>3.5634528749999999</v>
      </c>
      <c r="AW191">
        <v>3.2225401036691999</v>
      </c>
      <c r="AX191">
        <v>3.1019498003333301</v>
      </c>
      <c r="AY191">
        <v>3.0567347873333302</v>
      </c>
      <c r="AZ191">
        <v>2.96534583333333</v>
      </c>
      <c r="BA191">
        <v>2.7000883333333299</v>
      </c>
      <c r="BB191">
        <v>2.7551433333333302</v>
      </c>
      <c r="BC191">
        <v>2.7192941666666699</v>
      </c>
      <c r="BD191">
        <v>2.37096994940423</v>
      </c>
      <c r="BE191">
        <v>2.0836483390254799</v>
      </c>
      <c r="BF191">
        <v>2.24451</v>
      </c>
      <c r="BG191">
        <v>2.4613849999999999</v>
      </c>
      <c r="BH191">
        <v>2.7684116666666698</v>
      </c>
      <c r="BI191">
        <v>3.1330293018560398</v>
      </c>
      <c r="BJ191">
        <v>3.1887883828961701</v>
      </c>
      <c r="BK191">
        <v>3.2934630812507999</v>
      </c>
      <c r="BL191">
        <v>3.38753768145423</v>
      </c>
      <c r="BM191">
        <v>3.45997438644787</v>
      </c>
      <c r="BN191">
        <v>3.5087719298245599</v>
      </c>
      <c r="BO191">
        <v>3.5192297050674499</v>
      </c>
      <c r="BP191">
        <v>3.58962274932016</v>
      </c>
      <c r="BQ191">
        <v>3.8527502682192001</v>
      </c>
    </row>
    <row r="192" spans="1:69" x14ac:dyDescent="0.3">
      <c r="A192" t="s">
        <v>386</v>
      </c>
      <c r="B192" t="s">
        <v>387</v>
      </c>
      <c r="C192" t="s">
        <v>6</v>
      </c>
      <c r="D192" t="s">
        <v>7</v>
      </c>
      <c r="E192">
        <v>3.9999999989999999E-4</v>
      </c>
      <c r="F192">
        <v>3.9999999989999999E-4</v>
      </c>
      <c r="G192">
        <v>3.9999999989999999E-4</v>
      </c>
      <c r="H192">
        <v>3.9999999989999999E-4</v>
      </c>
      <c r="I192">
        <v>3.9999999989999999E-4</v>
      </c>
      <c r="J192">
        <v>3.9999999989999999E-4</v>
      </c>
      <c r="K192">
        <v>3.9999999989999999E-4</v>
      </c>
      <c r="L192">
        <v>3.9999999989999999E-4</v>
      </c>
      <c r="M192">
        <v>3.9999999989999999E-4</v>
      </c>
      <c r="N192">
        <v>3.9999999989999999E-4</v>
      </c>
      <c r="O192">
        <v>4.0000000000000002E-4</v>
      </c>
      <c r="P192">
        <v>3.8933333323333302E-4</v>
      </c>
      <c r="Q192">
        <v>3.6799999990000002E-4</v>
      </c>
      <c r="R192">
        <v>3.3499999989999998E-4</v>
      </c>
      <c r="S192">
        <v>3.3199999990000001E-4</v>
      </c>
      <c r="T192">
        <v>3.3199999999999999E-4</v>
      </c>
      <c r="U192">
        <v>3.3199999999999999E-4</v>
      </c>
      <c r="V192">
        <v>3.3199999999999999E-4</v>
      </c>
      <c r="W192">
        <v>5.8100000000000003E-4</v>
      </c>
      <c r="X192">
        <v>3.32E-3</v>
      </c>
      <c r="Y192">
        <v>4.4216666666666701E-3</v>
      </c>
      <c r="Z192">
        <v>5.11525E-3</v>
      </c>
      <c r="AA192">
        <v>8.4824166666416703E-3</v>
      </c>
      <c r="AB192">
        <v>9.1549999999666707E-3</v>
      </c>
      <c r="AC192">
        <v>1.1323999999950001E-2</v>
      </c>
      <c r="AD192">
        <v>1.47141666666333E-2</v>
      </c>
      <c r="AE192">
        <v>1.7528666666666699E-2</v>
      </c>
      <c r="AF192">
        <v>2.6508250000000001E-2</v>
      </c>
      <c r="AG192">
        <v>4.3054583333333299E-2</v>
      </c>
      <c r="AH192">
        <v>0.14391841666666699</v>
      </c>
      <c r="AI192">
        <v>0.95</v>
      </c>
      <c r="AJ192">
        <v>1.05760583333333</v>
      </c>
      <c r="AK192">
        <v>1.3626433333333301</v>
      </c>
      <c r="AL192">
        <v>1.8114966666666701</v>
      </c>
      <c r="AM192">
        <v>2.2722766666666701</v>
      </c>
      <c r="AN192">
        <v>2.4249833333333299</v>
      </c>
      <c r="AO192">
        <v>2.6960999999999999</v>
      </c>
      <c r="AP192">
        <v>3.27929166666667</v>
      </c>
      <c r="AQ192">
        <v>3.4754</v>
      </c>
      <c r="AR192">
        <v>3.9671083333333299</v>
      </c>
      <c r="AS192">
        <v>4.3460749999999999</v>
      </c>
      <c r="AT192">
        <v>4.0938999999999997</v>
      </c>
      <c r="AU192">
        <v>4.0800333333333301</v>
      </c>
      <c r="AV192">
        <v>3.8890750000000001</v>
      </c>
      <c r="AW192">
        <v>3.6576416666666698</v>
      </c>
      <c r="AX192">
        <v>3.2354833333333302</v>
      </c>
      <c r="AY192">
        <v>3.1031583333333299</v>
      </c>
      <c r="AZ192">
        <v>2.7679499999999999</v>
      </c>
      <c r="BA192">
        <v>2.4092416666666701</v>
      </c>
      <c r="BB192">
        <v>3.1201416666666701</v>
      </c>
      <c r="BC192">
        <v>3.0152999999999999</v>
      </c>
      <c r="BD192">
        <v>2.96284777777778</v>
      </c>
      <c r="BE192">
        <v>3.2565416666666702</v>
      </c>
      <c r="BF192">
        <v>3.16061666666667</v>
      </c>
      <c r="BG192">
        <v>3.1545416666666699</v>
      </c>
      <c r="BH192">
        <v>3.7694999999999999</v>
      </c>
      <c r="BI192">
        <v>3.94278333333334</v>
      </c>
      <c r="BJ192">
        <v>3.7793333333333301</v>
      </c>
      <c r="BK192">
        <v>3.6117166666666698</v>
      </c>
      <c r="BL192">
        <v>3.839375</v>
      </c>
      <c r="BM192">
        <v>3.89974166666667</v>
      </c>
      <c r="BN192">
        <v>3.8619166666666702</v>
      </c>
      <c r="BO192">
        <v>4.4577583333333299</v>
      </c>
      <c r="BP192">
        <v>4.2036666666666704</v>
      </c>
      <c r="BQ192">
        <v>3.98078333333333</v>
      </c>
    </row>
    <row r="193" spans="1:69" x14ac:dyDescent="0.3">
      <c r="A193" t="s">
        <v>388</v>
      </c>
      <c r="B193" t="s">
        <v>389</v>
      </c>
      <c r="C193" t="s">
        <v>6</v>
      </c>
      <c r="D193" t="s">
        <v>7</v>
      </c>
    </row>
    <row r="194" spans="1:69" x14ac:dyDescent="0.3">
      <c r="A194" t="s">
        <v>390</v>
      </c>
      <c r="B194" t="s">
        <v>391</v>
      </c>
      <c r="C194" t="s">
        <v>6</v>
      </c>
      <c r="D194" t="s">
        <v>7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</row>
    <row r="195" spans="1:69" x14ac:dyDescent="0.3">
      <c r="A195" t="s">
        <v>392</v>
      </c>
      <c r="B195" t="s">
        <v>393</v>
      </c>
      <c r="C195" t="s">
        <v>6</v>
      </c>
      <c r="D195" t="s">
        <v>7</v>
      </c>
    </row>
    <row r="196" spans="1:69" x14ac:dyDescent="0.3">
      <c r="A196" t="s">
        <v>394</v>
      </c>
      <c r="B196" t="s">
        <v>395</v>
      </c>
      <c r="C196" t="s">
        <v>6</v>
      </c>
      <c r="D196" t="s">
        <v>7</v>
      </c>
      <c r="E196">
        <v>28.750000028750001</v>
      </c>
      <c r="F196">
        <v>28.750000028750001</v>
      </c>
      <c r="G196">
        <v>28.750000028750001</v>
      </c>
      <c r="H196">
        <v>28.750000028750001</v>
      </c>
      <c r="I196">
        <v>28.750000028750001</v>
      </c>
      <c r="J196">
        <v>28.750000028750001</v>
      </c>
      <c r="K196">
        <v>28.750000028750001</v>
      </c>
      <c r="L196">
        <v>28.750000028750001</v>
      </c>
      <c r="M196">
        <v>28.750000028750001</v>
      </c>
      <c r="N196">
        <v>28.750000028750001</v>
      </c>
      <c r="O196">
        <v>28.750000028750001</v>
      </c>
      <c r="P196">
        <v>28.3601702876561</v>
      </c>
      <c r="Q196">
        <v>27.053416666499999</v>
      </c>
      <c r="R196">
        <v>24.5151666664167</v>
      </c>
      <c r="S196">
        <v>25.408166665666698</v>
      </c>
      <c r="T196">
        <v>25.552749999</v>
      </c>
      <c r="U196">
        <v>30.229083332583301</v>
      </c>
      <c r="V196">
        <v>38.276949999000003</v>
      </c>
      <c r="W196">
        <v>43.9373333325833</v>
      </c>
      <c r="X196">
        <v>48.923466665666702</v>
      </c>
      <c r="Y196">
        <v>50.062133332333303</v>
      </c>
      <c r="Z196">
        <v>61.546374999249998</v>
      </c>
      <c r="AA196">
        <v>79.473333332833306</v>
      </c>
      <c r="AB196">
        <v>110.779833332583</v>
      </c>
      <c r="AC196">
        <v>146.39033333291701</v>
      </c>
      <c r="AD196">
        <v>170.3946666665</v>
      </c>
      <c r="AE196">
        <v>149.58674999999999</v>
      </c>
      <c r="AF196">
        <v>140.88241666666701</v>
      </c>
      <c r="AG196">
        <v>143.953916666667</v>
      </c>
      <c r="AH196">
        <v>157.45824999999999</v>
      </c>
      <c r="AI196">
        <v>142.55475000000001</v>
      </c>
      <c r="AJ196">
        <v>144.482</v>
      </c>
      <c r="AK196">
        <v>134.99783333333301</v>
      </c>
      <c r="AL196">
        <v>160.80018583333299</v>
      </c>
      <c r="AM196">
        <v>165.992776666667</v>
      </c>
      <c r="AN196">
        <v>151.10552833333301</v>
      </c>
      <c r="AO196">
        <v>154.24366166666701</v>
      </c>
      <c r="AP196">
        <v>175.312445</v>
      </c>
      <c r="AQ196">
        <v>180.10448</v>
      </c>
      <c r="AR196">
        <v>0.93828307239528297</v>
      </c>
      <c r="AS196">
        <v>1.0827050813260199</v>
      </c>
      <c r="AT196">
        <v>1.1165330856446201</v>
      </c>
      <c r="AU196">
        <v>1.0575589962396501</v>
      </c>
      <c r="AV196">
        <v>0.88404792718492997</v>
      </c>
      <c r="AW196">
        <v>0.80392164774761798</v>
      </c>
      <c r="AX196">
        <v>0.80380019216144205</v>
      </c>
      <c r="AY196">
        <v>0.79643273094910205</v>
      </c>
      <c r="AZ196">
        <v>0.72967239998408295</v>
      </c>
      <c r="BA196">
        <v>0.67992268004272904</v>
      </c>
      <c r="BB196">
        <v>0.71695770201613596</v>
      </c>
      <c r="BC196">
        <v>0.75430899010596097</v>
      </c>
      <c r="BD196">
        <v>0.71841389865331695</v>
      </c>
      <c r="BE196">
        <v>0.77833812041681205</v>
      </c>
      <c r="BF196">
        <v>0.75294512270199598</v>
      </c>
      <c r="BG196">
        <v>0.75272819693260296</v>
      </c>
      <c r="BH196">
        <v>0.90129642336709603</v>
      </c>
      <c r="BI196">
        <v>0.90342143625726301</v>
      </c>
      <c r="BJ196">
        <v>0.88520550826937205</v>
      </c>
      <c r="BK196">
        <v>0.84677266710811105</v>
      </c>
      <c r="BL196">
        <v>0.89327625706740899</v>
      </c>
      <c r="BM196">
        <v>0.87550639698799804</v>
      </c>
      <c r="BN196">
        <v>0.84549413889045</v>
      </c>
      <c r="BO196">
        <v>0.94962375315694103</v>
      </c>
      <c r="BP196">
        <v>0.92483955847069799</v>
      </c>
      <c r="BQ196">
        <v>0.92388954611760699</v>
      </c>
    </row>
    <row r="197" spans="1:69" x14ac:dyDescent="0.3">
      <c r="A197" t="s">
        <v>396</v>
      </c>
      <c r="B197" t="s">
        <v>397</v>
      </c>
      <c r="C197" t="s">
        <v>6</v>
      </c>
      <c r="D197" t="s">
        <v>7</v>
      </c>
      <c r="E197">
        <v>123.166666666667</v>
      </c>
      <c r="F197">
        <v>126</v>
      </c>
      <c r="G197">
        <v>126</v>
      </c>
      <c r="H197">
        <v>126</v>
      </c>
      <c r="I197">
        <v>126</v>
      </c>
      <c r="J197">
        <v>126</v>
      </c>
      <c r="K197">
        <v>126</v>
      </c>
      <c r="L197">
        <v>126</v>
      </c>
      <c r="M197">
        <v>126</v>
      </c>
      <c r="N197">
        <v>126</v>
      </c>
      <c r="O197">
        <v>126</v>
      </c>
      <c r="P197">
        <v>126</v>
      </c>
      <c r="Q197">
        <v>126</v>
      </c>
      <c r="R197">
        <v>126</v>
      </c>
      <c r="S197">
        <v>126</v>
      </c>
      <c r="T197">
        <v>126</v>
      </c>
      <c r="U197">
        <v>126</v>
      </c>
      <c r="V197">
        <v>126</v>
      </c>
      <c r="W197">
        <v>126</v>
      </c>
      <c r="X197">
        <v>126</v>
      </c>
      <c r="Y197">
        <v>126</v>
      </c>
      <c r="Z197">
        <v>126</v>
      </c>
      <c r="AA197">
        <v>126</v>
      </c>
      <c r="AB197">
        <v>126</v>
      </c>
      <c r="AC197">
        <v>201</v>
      </c>
      <c r="AD197">
        <v>306.66666666666703</v>
      </c>
      <c r="AE197">
        <v>339.16666666666703</v>
      </c>
      <c r="AF197">
        <v>550</v>
      </c>
      <c r="AG197">
        <v>550</v>
      </c>
      <c r="AH197">
        <v>1056.2166666666701</v>
      </c>
      <c r="AI197">
        <v>1229.80833333333</v>
      </c>
      <c r="AJ197">
        <v>1325.18333333333</v>
      </c>
      <c r="AK197">
        <v>1500.25833333333</v>
      </c>
      <c r="AL197">
        <v>1744.3458333333299</v>
      </c>
      <c r="AM197">
        <v>1904.7608333333301</v>
      </c>
      <c r="AN197">
        <v>1963.0191666666699</v>
      </c>
      <c r="AO197">
        <v>2056.8116666666701</v>
      </c>
      <c r="AP197">
        <v>2177.8625000000002</v>
      </c>
      <c r="AQ197">
        <v>2726.49</v>
      </c>
      <c r="AR197">
        <v>3119.0733333333301</v>
      </c>
      <c r="AS197">
        <v>3486.3533333333298</v>
      </c>
      <c r="AT197">
        <v>4105.9250000000002</v>
      </c>
      <c r="AU197">
        <v>5716.2583333333296</v>
      </c>
      <c r="AV197">
        <v>6424.3391666666703</v>
      </c>
      <c r="AW197">
        <v>5974.5775000000003</v>
      </c>
      <c r="AX197">
        <v>6177.9349469696999</v>
      </c>
      <c r="AY197">
        <v>5635.0939393939398</v>
      </c>
      <c r="AZ197">
        <v>5032.7115764790797</v>
      </c>
      <c r="BA197">
        <v>4363.2916082449201</v>
      </c>
      <c r="BB197">
        <v>4966.6822965021202</v>
      </c>
      <c r="BC197">
        <v>4758.4301287878798</v>
      </c>
      <c r="BD197">
        <v>4193.8023075919</v>
      </c>
      <c r="BE197">
        <v>4421.6592864041404</v>
      </c>
      <c r="BF197">
        <v>4303.8825659981903</v>
      </c>
      <c r="BG197">
        <v>4462.1852882909297</v>
      </c>
      <c r="BH197">
        <v>5204.92080811087</v>
      </c>
      <c r="BI197">
        <v>5670.5408979978401</v>
      </c>
      <c r="BJ197">
        <v>5618.9334516427998</v>
      </c>
      <c r="BK197">
        <v>5732.10455572912</v>
      </c>
      <c r="BL197">
        <v>6240.7220784425699</v>
      </c>
      <c r="BM197">
        <v>6771.0974251965199</v>
      </c>
      <c r="BN197">
        <v>6774.1627348484899</v>
      </c>
      <c r="BO197">
        <v>6982.7523777669203</v>
      </c>
      <c r="BP197">
        <v>7288.8720537412801</v>
      </c>
      <c r="BQ197">
        <v>7560.2475883774396</v>
      </c>
    </row>
    <row r="198" spans="1:69" x14ac:dyDescent="0.3">
      <c r="A198" t="s">
        <v>398</v>
      </c>
      <c r="B198" t="s">
        <v>399</v>
      </c>
      <c r="C198" t="s">
        <v>6</v>
      </c>
      <c r="D198" t="s">
        <v>7</v>
      </c>
    </row>
    <row r="199" spans="1:69" x14ac:dyDescent="0.3">
      <c r="A199" t="s">
        <v>400</v>
      </c>
      <c r="B199" t="s">
        <v>401</v>
      </c>
      <c r="C199" t="s">
        <v>6</v>
      </c>
      <c r="D199" t="s">
        <v>7</v>
      </c>
    </row>
    <row r="200" spans="1:69" x14ac:dyDescent="0.3">
      <c r="A200" t="s">
        <v>402</v>
      </c>
      <c r="B200" t="s">
        <v>403</v>
      </c>
      <c r="C200" t="s">
        <v>6</v>
      </c>
      <c r="D200" t="s">
        <v>7</v>
      </c>
    </row>
    <row r="201" spans="1:69" x14ac:dyDescent="0.3">
      <c r="A201" t="s">
        <v>404</v>
      </c>
      <c r="B201" t="s">
        <v>405</v>
      </c>
      <c r="C201" t="s">
        <v>6</v>
      </c>
      <c r="D201" t="s">
        <v>7</v>
      </c>
      <c r="E201">
        <v>89.765000088765007</v>
      </c>
      <c r="F201">
        <v>89.765000088765007</v>
      </c>
      <c r="G201">
        <v>89.765000088765007</v>
      </c>
      <c r="H201">
        <v>89.765000088765007</v>
      </c>
      <c r="I201">
        <v>89.765000088765007</v>
      </c>
      <c r="J201">
        <v>89.765000088765007</v>
      </c>
      <c r="K201">
        <v>89.765000088765007</v>
      </c>
      <c r="L201">
        <v>89.765000088765007</v>
      </c>
      <c r="M201">
        <v>89.765000088765007</v>
      </c>
      <c r="N201">
        <v>94.440000093440005</v>
      </c>
      <c r="O201">
        <v>100.985000099985</v>
      </c>
      <c r="P201">
        <v>100.689451223571</v>
      </c>
      <c r="Q201">
        <v>91.645968951929206</v>
      </c>
      <c r="R201">
        <v>81.0502219755422</v>
      </c>
      <c r="S201">
        <v>87.528548830185898</v>
      </c>
      <c r="T201">
        <v>77.931588724653196</v>
      </c>
      <c r="U201">
        <v>86.890670674160404</v>
      </c>
      <c r="V201">
        <v>89.337637916450106</v>
      </c>
      <c r="W201">
        <v>82.056281563365701</v>
      </c>
      <c r="X201">
        <v>77.352952935139498</v>
      </c>
      <c r="Y201">
        <v>76.828559514107795</v>
      </c>
      <c r="Z201">
        <v>98.810961781363503</v>
      </c>
      <c r="AA201">
        <v>119.492607763333</v>
      </c>
      <c r="AB201">
        <v>138.56880080833301</v>
      </c>
      <c r="AC201">
        <v>158.89256837242399</v>
      </c>
      <c r="AD201">
        <v>163.367563900455</v>
      </c>
      <c r="AE201">
        <v>125.928813465</v>
      </c>
      <c r="AF201">
        <v>109.285496775</v>
      </c>
      <c r="AG201">
        <v>108.307921995</v>
      </c>
      <c r="AH201">
        <v>116.002459755</v>
      </c>
      <c r="AI201">
        <v>99.004900995</v>
      </c>
      <c r="AJ201">
        <v>102.58383680999999</v>
      </c>
      <c r="AK201">
        <v>96.251100718499998</v>
      </c>
      <c r="AL201">
        <v>102.96771521399999</v>
      </c>
      <c r="AM201">
        <v>100.946171781</v>
      </c>
      <c r="AN201">
        <v>90.754136518500005</v>
      </c>
      <c r="AO201">
        <v>93.009406990499997</v>
      </c>
      <c r="AP201">
        <v>106.12156054499999</v>
      </c>
      <c r="AQ201">
        <v>107.2638139482</v>
      </c>
      <c r="AR201">
        <v>111.966914110147</v>
      </c>
      <c r="AS201">
        <v>129.201037953271</v>
      </c>
      <c r="AT201">
        <v>133.23779121622499</v>
      </c>
      <c r="AU201">
        <v>126.200312871571</v>
      </c>
      <c r="AV201">
        <v>105.494942032458</v>
      </c>
      <c r="AW201">
        <v>95.933336892522902</v>
      </c>
      <c r="AX201">
        <v>95.918843390948496</v>
      </c>
      <c r="AY201">
        <v>95.039671719798207</v>
      </c>
      <c r="AZ201">
        <v>87.073047933181201</v>
      </c>
      <c r="BA201">
        <v>81.136329278054902</v>
      </c>
      <c r="BB201">
        <v>85.5557814096789</v>
      </c>
      <c r="BC201">
        <v>90.0129741146296</v>
      </c>
      <c r="BD201">
        <v>85.729551829928695</v>
      </c>
      <c r="BE201">
        <v>92.880411084142906</v>
      </c>
      <c r="BF201">
        <v>89.850221498738506</v>
      </c>
      <c r="BG201">
        <v>89.824335377900894</v>
      </c>
      <c r="BH201">
        <v>107.55323440431501</v>
      </c>
      <c r="BI201">
        <v>107.806815805024</v>
      </c>
      <c r="BJ201">
        <v>105.63307815114899</v>
      </c>
      <c r="BK201">
        <v>101.046821879543</v>
      </c>
      <c r="BL201">
        <v>106.588933804405</v>
      </c>
      <c r="BM201">
        <v>104.710608186968</v>
      </c>
      <c r="BN201">
        <v>100.88022256618601</v>
      </c>
      <c r="BO201">
        <v>113.474367224106</v>
      </c>
      <c r="BP201">
        <v>110.34717131744</v>
      </c>
      <c r="BQ201">
        <v>110.30633890742099</v>
      </c>
    </row>
    <row r="202" spans="1:69" x14ac:dyDescent="0.3">
      <c r="A202" t="s">
        <v>406</v>
      </c>
      <c r="B202" t="s">
        <v>407</v>
      </c>
      <c r="C202" t="s">
        <v>6</v>
      </c>
      <c r="D202" t="s">
        <v>7</v>
      </c>
      <c r="K202">
        <v>4.7619000037618999</v>
      </c>
      <c r="L202">
        <v>4.7619000037618999</v>
      </c>
      <c r="M202">
        <v>4.7619000037618999</v>
      </c>
      <c r="N202">
        <v>4.7619000037618999</v>
      </c>
      <c r="O202">
        <v>4.7619000037618999</v>
      </c>
      <c r="P202">
        <v>4.7479628848644202</v>
      </c>
      <c r="Q202">
        <v>4.3859778425048797</v>
      </c>
      <c r="R202">
        <v>3.99629355042679</v>
      </c>
      <c r="S202">
        <v>3.9473999989999999</v>
      </c>
      <c r="T202">
        <v>3.9307166656666701</v>
      </c>
      <c r="U202">
        <v>3.96343333233333</v>
      </c>
      <c r="V202">
        <v>3.9590166656666699</v>
      </c>
      <c r="W202">
        <v>3.8768999989999999</v>
      </c>
      <c r="X202">
        <v>3.7733249990000002</v>
      </c>
      <c r="Y202">
        <v>3.6569666656666699</v>
      </c>
      <c r="Z202">
        <v>3.639999999</v>
      </c>
      <c r="AA202">
        <v>3.639999999</v>
      </c>
      <c r="AB202">
        <v>3.639999999</v>
      </c>
      <c r="AC202">
        <v>3.6399999995833299</v>
      </c>
      <c r="AD202">
        <v>3.64</v>
      </c>
      <c r="AE202">
        <v>3.64</v>
      </c>
      <c r="AF202">
        <v>3.64</v>
      </c>
      <c r="AG202">
        <v>3.64</v>
      </c>
      <c r="AH202">
        <v>3.64</v>
      </c>
      <c r="AI202">
        <v>3.64</v>
      </c>
      <c r="AJ202">
        <v>3.64</v>
      </c>
      <c r="AK202">
        <v>3.64</v>
      </c>
      <c r="AL202">
        <v>3.64</v>
      </c>
      <c r="AM202">
        <v>3.64</v>
      </c>
      <c r="AN202">
        <v>3.64</v>
      </c>
      <c r="AO202">
        <v>3.64</v>
      </c>
      <c r="AP202">
        <v>3.64</v>
      </c>
      <c r="AQ202">
        <v>3.64</v>
      </c>
      <c r="AR202">
        <v>3.64</v>
      </c>
      <c r="AS202">
        <v>3.64</v>
      </c>
      <c r="AT202">
        <v>3.64</v>
      </c>
      <c r="AU202">
        <v>3.64</v>
      </c>
      <c r="AV202">
        <v>3.64</v>
      </c>
      <c r="AW202">
        <v>3.64</v>
      </c>
      <c r="AX202">
        <v>3.64</v>
      </c>
      <c r="AY202">
        <v>3.64</v>
      </c>
      <c r="AZ202">
        <v>3.64</v>
      </c>
      <c r="BA202">
        <v>3.64</v>
      </c>
      <c r="BB202">
        <v>3.64</v>
      </c>
      <c r="BC202">
        <v>3.64</v>
      </c>
      <c r="BD202">
        <v>3.64</v>
      </c>
      <c r="BE202">
        <v>3.64</v>
      </c>
      <c r="BF202">
        <v>3.64</v>
      </c>
      <c r="BG202">
        <v>3.64</v>
      </c>
      <c r="BH202">
        <v>3.64</v>
      </c>
      <c r="BI202">
        <v>3.64</v>
      </c>
      <c r="BJ202">
        <v>3.64</v>
      </c>
      <c r="BK202">
        <v>3.64</v>
      </c>
      <c r="BL202">
        <v>3.64</v>
      </c>
      <c r="BM202">
        <v>3.64</v>
      </c>
      <c r="BN202">
        <v>3.64</v>
      </c>
      <c r="BO202">
        <v>3.64</v>
      </c>
      <c r="BP202">
        <v>3.64</v>
      </c>
      <c r="BQ202">
        <v>3.64</v>
      </c>
    </row>
    <row r="203" spans="1:69" x14ac:dyDescent="0.3">
      <c r="A203" t="s">
        <v>408</v>
      </c>
      <c r="B203" t="s">
        <v>409</v>
      </c>
      <c r="C203" t="s">
        <v>6</v>
      </c>
      <c r="D203" t="s">
        <v>7</v>
      </c>
      <c r="E203">
        <v>5.9999999989999997E-4</v>
      </c>
      <c r="F203">
        <v>5.9999999989999997E-4</v>
      </c>
      <c r="G203">
        <v>5.9999999989999997E-4</v>
      </c>
      <c r="H203">
        <v>5.9999999989999997E-4</v>
      </c>
      <c r="I203">
        <v>5.9999999989999997E-4</v>
      </c>
      <c r="J203">
        <v>5.9999999989999997E-4</v>
      </c>
      <c r="K203">
        <v>5.9999999989999997E-4</v>
      </c>
      <c r="L203">
        <v>5.9999999989999997E-4</v>
      </c>
      <c r="M203">
        <v>5.9999999989999997E-4</v>
      </c>
      <c r="N203">
        <v>5.9999999989999997E-4</v>
      </c>
      <c r="O203">
        <v>5.9999999989999997E-4</v>
      </c>
      <c r="P203">
        <v>5.9999999989999997E-4</v>
      </c>
      <c r="Q203">
        <v>5.5299999990000002E-4</v>
      </c>
      <c r="R203">
        <v>1.87941666665833E-3</v>
      </c>
      <c r="S203">
        <v>2E-3</v>
      </c>
      <c r="T203">
        <v>2E-3</v>
      </c>
      <c r="U203">
        <v>2E-3</v>
      </c>
      <c r="V203">
        <v>2E-3</v>
      </c>
      <c r="W203">
        <v>1.8360249999916701E-3</v>
      </c>
      <c r="X203">
        <v>1.8E-3</v>
      </c>
      <c r="Y203">
        <v>1.8E-3</v>
      </c>
      <c r="Z203">
        <v>1.5E-3</v>
      </c>
      <c r="AA203">
        <v>1.5E-3</v>
      </c>
      <c r="AB203">
        <v>1.71784999995E-3</v>
      </c>
      <c r="AC203">
        <v>2.1280166666249999E-3</v>
      </c>
      <c r="AD203">
        <v>1.714141666625E-3</v>
      </c>
      <c r="AE203">
        <v>1.6153416666499999E-3</v>
      </c>
      <c r="AF203">
        <v>1.4557000000000001E-3</v>
      </c>
      <c r="AG203">
        <v>1.42769166666667E-3</v>
      </c>
      <c r="AH203">
        <v>1.4921583333333301E-3</v>
      </c>
      <c r="AI203">
        <v>2.2432083333333301E-3</v>
      </c>
      <c r="AJ203">
        <v>7.6387249999999999E-3</v>
      </c>
      <c r="AK203">
        <v>3.07953333333333E-2</v>
      </c>
      <c r="AL203">
        <v>7.6005083333333306E-2</v>
      </c>
      <c r="AM203">
        <v>0.16550858333333299</v>
      </c>
      <c r="AN203">
        <v>0.20332758333333301</v>
      </c>
      <c r="AO203">
        <v>0.30842174999999999</v>
      </c>
      <c r="AP203">
        <v>0.71679433333333398</v>
      </c>
      <c r="AQ203">
        <v>0.88755758333333301</v>
      </c>
      <c r="AR203">
        <v>1.5332837500000001</v>
      </c>
      <c r="AS203">
        <v>2.1708720833333301</v>
      </c>
      <c r="AT203">
        <v>2.9060791666666699</v>
      </c>
      <c r="AU203">
        <v>3.3055430000000001</v>
      </c>
      <c r="AV203">
        <v>3.3200070833333299</v>
      </c>
      <c r="AW203">
        <v>3.26365683333333</v>
      </c>
      <c r="AX203">
        <v>2.9136531666666698</v>
      </c>
      <c r="AY203">
        <v>2.8089833333333298</v>
      </c>
      <c r="AZ203">
        <v>2.43825</v>
      </c>
      <c r="BA203">
        <v>2.5188583333333301</v>
      </c>
      <c r="BB203">
        <v>3.0493250000000001</v>
      </c>
      <c r="BC203">
        <v>3.1779000000000002</v>
      </c>
      <c r="BD203">
        <v>3.04860833333333</v>
      </c>
      <c r="BE203">
        <v>3.4681999999999999</v>
      </c>
      <c r="BF203">
        <v>3.32791666666667</v>
      </c>
      <c r="BG203">
        <v>3.3491749999999998</v>
      </c>
      <c r="BH203">
        <v>4.0056666666666603</v>
      </c>
      <c r="BI203">
        <v>4.0591833333333298</v>
      </c>
      <c r="BJ203">
        <v>4.0524916666666604</v>
      </c>
      <c r="BK203">
        <v>3.9416166666666701</v>
      </c>
      <c r="BL203">
        <v>4.2379249999999997</v>
      </c>
      <c r="BM203">
        <v>4.2439916666666697</v>
      </c>
      <c r="BN203">
        <v>4.1604166666666602</v>
      </c>
      <c r="BO203">
        <v>4.6884750000000004</v>
      </c>
      <c r="BP203">
        <v>4.57429166666667</v>
      </c>
      <c r="BQ203">
        <v>4.5983749999999999</v>
      </c>
    </row>
    <row r="204" spans="1:69" x14ac:dyDescent="0.3">
      <c r="A204" t="s">
        <v>410</v>
      </c>
      <c r="B204" t="s">
        <v>411</v>
      </c>
      <c r="C204" t="s">
        <v>6</v>
      </c>
      <c r="D204" t="s">
        <v>7</v>
      </c>
      <c r="AL204">
        <v>0.99166666666666703</v>
      </c>
      <c r="AO204">
        <v>5.12083333333333</v>
      </c>
      <c r="AP204">
        <v>5.7848333333333404</v>
      </c>
      <c r="AQ204">
        <v>9.7050833333333308</v>
      </c>
      <c r="AR204">
        <v>24.619900000000001</v>
      </c>
      <c r="AS204">
        <v>28.129166666666698</v>
      </c>
      <c r="AT204">
        <v>29.168524999999999</v>
      </c>
      <c r="AU204">
        <v>31.348483333333299</v>
      </c>
      <c r="AV204">
        <v>30.692025000000001</v>
      </c>
      <c r="AW204">
        <v>28.813741666666701</v>
      </c>
      <c r="AX204">
        <v>28.284441666666702</v>
      </c>
      <c r="AY204">
        <v>27.190958333333299</v>
      </c>
      <c r="AZ204">
        <v>25.580845367540402</v>
      </c>
      <c r="BA204">
        <v>24.852875000000001</v>
      </c>
      <c r="BB204">
        <v>31.740358333333301</v>
      </c>
      <c r="BC204">
        <v>30.367915338305899</v>
      </c>
      <c r="BD204">
        <v>29.382341370930199</v>
      </c>
      <c r="BE204">
        <v>30.839831351991698</v>
      </c>
      <c r="BF204">
        <v>31.837143640281301</v>
      </c>
      <c r="BG204">
        <v>38.378207144416798</v>
      </c>
      <c r="BH204">
        <v>60.937650108895099</v>
      </c>
      <c r="BI204">
        <v>67.0559333333333</v>
      </c>
      <c r="BJ204">
        <v>58.342801185171901</v>
      </c>
      <c r="BK204">
        <v>62.668133333333401</v>
      </c>
      <c r="BL204">
        <v>64.7376583333333</v>
      </c>
      <c r="BM204">
        <v>72.104908333333299</v>
      </c>
      <c r="BN204">
        <v>73.654349999999994</v>
      </c>
      <c r="BO204">
        <v>68.4849416666667</v>
      </c>
      <c r="BP204">
        <v>85.162008333333304</v>
      </c>
      <c r="BQ204">
        <v>92.552400000000006</v>
      </c>
    </row>
    <row r="205" spans="1:69" x14ac:dyDescent="0.3">
      <c r="A205" t="s">
        <v>412</v>
      </c>
      <c r="B205" t="s">
        <v>413</v>
      </c>
      <c r="C205" t="s">
        <v>6</v>
      </c>
      <c r="D205" t="s">
        <v>7</v>
      </c>
      <c r="E205">
        <v>49.999999950000003</v>
      </c>
      <c r="F205">
        <v>49.999999950000003</v>
      </c>
      <c r="G205">
        <v>49.999999950000003</v>
      </c>
      <c r="H205">
        <v>49.999999950000003</v>
      </c>
      <c r="I205">
        <v>49.999999950000003</v>
      </c>
      <c r="J205">
        <v>49.999999950000003</v>
      </c>
      <c r="K205">
        <v>87.499999912500002</v>
      </c>
      <c r="L205">
        <v>99.999999900000006</v>
      </c>
      <c r="M205">
        <v>99.999999900000006</v>
      </c>
      <c r="N205">
        <v>99.999999900000006</v>
      </c>
      <c r="O205">
        <v>99.999999900000006</v>
      </c>
      <c r="P205">
        <v>99.707333233333301</v>
      </c>
      <c r="Q205">
        <v>92.104999899999996</v>
      </c>
      <c r="R205">
        <v>83.921999900000003</v>
      </c>
      <c r="S205">
        <v>92.301756555666699</v>
      </c>
      <c r="T205">
        <v>92.277266554666696</v>
      </c>
      <c r="U205">
        <v>97.012346554666706</v>
      </c>
      <c r="V205">
        <v>95.935093221333304</v>
      </c>
      <c r="W205">
        <v>89.487906554666694</v>
      </c>
      <c r="X205">
        <v>86.690706554666704</v>
      </c>
      <c r="Y205">
        <v>86.063879888000002</v>
      </c>
      <c r="Z205">
        <v>87.160305038956693</v>
      </c>
      <c r="AA205">
        <v>93.059967438956704</v>
      </c>
      <c r="AB205">
        <v>96.093935247290005</v>
      </c>
      <c r="AC205">
        <v>100.23289152364499</v>
      </c>
      <c r="AD205">
        <v>101.244670649548</v>
      </c>
      <c r="AE205">
        <v>87.590916816666706</v>
      </c>
      <c r="AF205">
        <v>79.460649991666699</v>
      </c>
      <c r="AG205">
        <v>76.447737733333298</v>
      </c>
      <c r="AH205">
        <v>80.148978174999996</v>
      </c>
      <c r="AI205">
        <v>83.704097558333302</v>
      </c>
      <c r="AJ205">
        <v>125.1642483</v>
      </c>
      <c r="AK205">
        <v>133.938583325</v>
      </c>
      <c r="AL205">
        <v>144.23702053722499</v>
      </c>
      <c r="AM205">
        <v>140.703847467575</v>
      </c>
      <c r="AN205">
        <v>262.18226325860002</v>
      </c>
      <c r="AO205">
        <v>306.82</v>
      </c>
      <c r="AP205">
        <v>301.52981666666699</v>
      </c>
      <c r="AQ205">
        <v>312.31409166666703</v>
      </c>
      <c r="AR205">
        <v>333.94192500000003</v>
      </c>
      <c r="AS205">
        <v>389.69621666666598</v>
      </c>
      <c r="AT205">
        <v>442.99189166666702</v>
      </c>
      <c r="AU205">
        <v>475.36524166666698</v>
      </c>
      <c r="AV205">
        <v>537.65498475000004</v>
      </c>
      <c r="AW205">
        <v>577.44897458333298</v>
      </c>
      <c r="AX205">
        <v>557.82264075000001</v>
      </c>
      <c r="AY205">
        <v>551.71033333333401</v>
      </c>
      <c r="AZ205">
        <v>546.95500000000004</v>
      </c>
      <c r="BA205">
        <v>546.84865316666696</v>
      </c>
      <c r="BB205">
        <v>568.28132683333399</v>
      </c>
      <c r="BC205">
        <v>583.13090658333294</v>
      </c>
      <c r="BD205">
        <v>600.30651975000001</v>
      </c>
      <c r="BE205">
        <v>614.29514241666698</v>
      </c>
      <c r="BF205">
        <v>646.63597449999997</v>
      </c>
      <c r="BG205">
        <v>682.43779538750005</v>
      </c>
      <c r="BH205">
        <v>719.85955550000006</v>
      </c>
      <c r="BI205">
        <v>787.25152175000005</v>
      </c>
      <c r="BJ205">
        <v>831.55433975000005</v>
      </c>
      <c r="BK205">
        <v>861.09341216666701</v>
      </c>
      <c r="BL205">
        <v>899.35050899999999</v>
      </c>
      <c r="BM205">
        <v>943.27804816666696</v>
      </c>
      <c r="BN205">
        <v>988.62480655176796</v>
      </c>
      <c r="BO205">
        <v>1030.3082997420599</v>
      </c>
      <c r="BP205">
        <v>1160.0986942500001</v>
      </c>
      <c r="BQ205">
        <v>1318.1283573333301</v>
      </c>
    </row>
    <row r="206" spans="1:69" x14ac:dyDescent="0.3">
      <c r="A206" t="s">
        <v>414</v>
      </c>
      <c r="B206" t="s">
        <v>415</v>
      </c>
      <c r="C206" t="s">
        <v>6</v>
      </c>
      <c r="D206" t="s">
        <v>7</v>
      </c>
    </row>
    <row r="207" spans="1:69" x14ac:dyDescent="0.3">
      <c r="A207" t="s">
        <v>416</v>
      </c>
      <c r="B207" t="s">
        <v>417</v>
      </c>
      <c r="C207" t="s">
        <v>6</v>
      </c>
      <c r="D207" t="s">
        <v>7</v>
      </c>
      <c r="E207">
        <v>4.5000000035000003</v>
      </c>
      <c r="F207">
        <v>4.5000000035000003</v>
      </c>
      <c r="G207">
        <v>4.5000000035000003</v>
      </c>
      <c r="H207">
        <v>4.5000000035000003</v>
      </c>
      <c r="I207">
        <v>4.5000000035000003</v>
      </c>
      <c r="J207">
        <v>4.5000000035000003</v>
      </c>
      <c r="K207">
        <v>4.5000000035000003</v>
      </c>
      <c r="L207">
        <v>4.5000000035000003</v>
      </c>
      <c r="M207">
        <v>4.5000000035000003</v>
      </c>
      <c r="N207">
        <v>4.5000000035000003</v>
      </c>
      <c r="O207">
        <v>4.5000000035000003</v>
      </c>
      <c r="P207">
        <v>4.4868294129714501</v>
      </c>
      <c r="Q207">
        <v>4.1447532058696597</v>
      </c>
      <c r="R207">
        <v>3.7065890401029402</v>
      </c>
      <c r="S207">
        <v>3.5499999990000002</v>
      </c>
      <c r="T207">
        <v>3.5176124990000002</v>
      </c>
      <c r="U207">
        <v>3.5299999990000002</v>
      </c>
      <c r="V207">
        <v>3.525064999</v>
      </c>
      <c r="W207">
        <v>3.3995616656666701</v>
      </c>
      <c r="X207">
        <v>3.36083666566666</v>
      </c>
      <c r="Y207">
        <v>3.32674166566667</v>
      </c>
      <c r="Z207">
        <v>3.3825083325833298</v>
      </c>
      <c r="AA207">
        <v>3.42817083241667</v>
      </c>
      <c r="AB207">
        <v>3.4547591657500001</v>
      </c>
      <c r="AC207">
        <v>3.5238108330000002</v>
      </c>
      <c r="AD207">
        <v>3.62213583316667</v>
      </c>
      <c r="AE207">
        <v>3.7062499999999998</v>
      </c>
      <c r="AF207">
        <v>3.75</v>
      </c>
      <c r="AG207">
        <v>3.75</v>
      </c>
      <c r="AH207">
        <v>3.75</v>
      </c>
      <c r="AI207">
        <v>3.75</v>
      </c>
      <c r="AJ207">
        <v>3.75</v>
      </c>
      <c r="AK207">
        <v>3.75</v>
      </c>
      <c r="AL207">
        <v>3.75</v>
      </c>
      <c r="AM207">
        <v>3.75</v>
      </c>
      <c r="AN207">
        <v>3.75</v>
      </c>
      <c r="AO207">
        <v>3.75</v>
      </c>
      <c r="AP207">
        <v>3.75</v>
      </c>
      <c r="AQ207">
        <v>3.75</v>
      </c>
      <c r="AR207">
        <v>3.75</v>
      </c>
      <c r="AS207">
        <v>3.75</v>
      </c>
      <c r="AT207">
        <v>3.75</v>
      </c>
      <c r="AU207">
        <v>3.75</v>
      </c>
      <c r="AV207">
        <v>3.75</v>
      </c>
      <c r="AW207">
        <v>3.75</v>
      </c>
      <c r="AX207">
        <v>3.75</v>
      </c>
      <c r="AY207">
        <v>3.75</v>
      </c>
      <c r="AZ207">
        <v>3.75</v>
      </c>
      <c r="BA207">
        <v>3.75</v>
      </c>
      <c r="BB207">
        <v>3.75</v>
      </c>
      <c r="BC207">
        <v>3.75</v>
      </c>
      <c r="BD207">
        <v>3.75</v>
      </c>
      <c r="BE207">
        <v>3.75</v>
      </c>
      <c r="BF207">
        <v>3.75</v>
      </c>
      <c r="BG207">
        <v>3.75</v>
      </c>
      <c r="BH207">
        <v>3.75</v>
      </c>
      <c r="BI207">
        <v>3.75</v>
      </c>
      <c r="BJ207">
        <v>3.75</v>
      </c>
      <c r="BK207">
        <v>3.75</v>
      </c>
      <c r="BL207">
        <v>3.75</v>
      </c>
      <c r="BM207">
        <v>3.75</v>
      </c>
      <c r="BN207">
        <v>3.75</v>
      </c>
      <c r="BO207">
        <v>3.75</v>
      </c>
      <c r="BP207">
        <v>3.75</v>
      </c>
      <c r="BQ207">
        <v>3.75</v>
      </c>
    </row>
    <row r="208" spans="1:69" x14ac:dyDescent="0.3">
      <c r="A208" t="s">
        <v>418</v>
      </c>
      <c r="B208" t="s">
        <v>419</v>
      </c>
      <c r="C208" t="s">
        <v>6</v>
      </c>
      <c r="D208" t="s">
        <v>7</v>
      </c>
      <c r="E208">
        <v>3.4819999900000001E-4</v>
      </c>
      <c r="F208">
        <v>3.4819999900000001E-4</v>
      </c>
      <c r="G208">
        <v>3.4819999900000001E-4</v>
      </c>
      <c r="H208">
        <v>3.4819999900000001E-4</v>
      </c>
      <c r="I208">
        <v>3.4819999900000001E-4</v>
      </c>
      <c r="J208">
        <v>3.4819999900000001E-4</v>
      </c>
      <c r="K208">
        <v>3.4819999900000001E-4</v>
      </c>
      <c r="L208">
        <v>3.4819999900000001E-4</v>
      </c>
      <c r="M208">
        <v>3.4819999900000001E-4</v>
      </c>
      <c r="N208">
        <v>3.4819999900000001E-4</v>
      </c>
      <c r="O208">
        <v>3.4819999900000001E-4</v>
      </c>
      <c r="P208">
        <v>3.4819999900000001E-4</v>
      </c>
      <c r="Q208">
        <v>3.4819999900000001E-4</v>
      </c>
      <c r="R208">
        <v>3.4819999900000001E-4</v>
      </c>
      <c r="S208">
        <v>3.4819999900000001E-4</v>
      </c>
      <c r="T208">
        <v>3.4819999900000001E-4</v>
      </c>
      <c r="U208">
        <v>3.4819999900000001E-4</v>
      </c>
      <c r="V208">
        <v>3.4820616566666701E-4</v>
      </c>
      <c r="W208">
        <v>3.7745183233333301E-4</v>
      </c>
      <c r="X208">
        <v>4.29166665666667E-4</v>
      </c>
      <c r="Y208">
        <v>4.9999999900000001E-4</v>
      </c>
      <c r="Z208">
        <v>5.5885833233333302E-4</v>
      </c>
      <c r="AA208">
        <v>9.5229999916666703E-4</v>
      </c>
      <c r="AB208">
        <v>1.2999999999999999E-3</v>
      </c>
      <c r="AC208">
        <v>1.2999999999999999E-3</v>
      </c>
      <c r="AD208">
        <v>2.3040249999166699E-3</v>
      </c>
      <c r="AE208">
        <v>2.5000000000000001E-3</v>
      </c>
      <c r="AF208">
        <v>3.0000000000000001E-3</v>
      </c>
      <c r="AG208">
        <v>4.4999999999999997E-3</v>
      </c>
      <c r="AH208">
        <v>4.4999999999999997E-3</v>
      </c>
      <c r="AI208">
        <v>4.4999999999999997E-3</v>
      </c>
      <c r="AJ208">
        <v>6.95564166666667E-3</v>
      </c>
      <c r="AK208">
        <v>9.7431666666666694E-2</v>
      </c>
      <c r="AL208">
        <v>0.159313916666667</v>
      </c>
      <c r="AM208">
        <v>0.28960891666666699</v>
      </c>
      <c r="AN208">
        <v>0.58087374999999997</v>
      </c>
      <c r="AO208">
        <v>1.2507916666666701</v>
      </c>
      <c r="AP208">
        <v>1.5757425</v>
      </c>
      <c r="AQ208">
        <v>2.0080191666666698</v>
      </c>
      <c r="AR208">
        <v>2.52550416666667</v>
      </c>
      <c r="AS208">
        <v>2.5712250000000001</v>
      </c>
      <c r="AT208">
        <v>2.5870210416666701</v>
      </c>
      <c r="AU208">
        <v>2.6330583333333299</v>
      </c>
      <c r="AV208">
        <v>2.60983433333333</v>
      </c>
      <c r="AW208">
        <v>2.5790500000000001</v>
      </c>
      <c r="AX208">
        <v>2.4360583333333299</v>
      </c>
      <c r="AY208">
        <v>2.17153333333333</v>
      </c>
      <c r="AZ208">
        <v>2.0160999999999998</v>
      </c>
      <c r="BA208">
        <v>2.0901628287698402</v>
      </c>
      <c r="BB208">
        <v>2.3015333333333299</v>
      </c>
      <c r="BC208">
        <v>2.30600092016667</v>
      </c>
      <c r="BD208">
        <v>2.6666196217746898</v>
      </c>
      <c r="BE208">
        <v>3.5729583333333301</v>
      </c>
      <c r="BF208">
        <v>4.7567605470882102</v>
      </c>
      <c r="BG208">
        <v>5.7368666666666703</v>
      </c>
      <c r="BH208">
        <v>6.0257325979166696</v>
      </c>
      <c r="BI208">
        <v>6.2117136458333304</v>
      </c>
      <c r="BJ208">
        <v>6.6833600000000004</v>
      </c>
      <c r="BK208">
        <v>24.3289109018116</v>
      </c>
      <c r="BL208">
        <v>45.767045454545503</v>
      </c>
      <c r="BM208">
        <v>53.9960119047619</v>
      </c>
      <c r="BN208">
        <v>370.79058333333302</v>
      </c>
      <c r="BO208">
        <v>546.75885000000005</v>
      </c>
    </row>
    <row r="209" spans="1:69" x14ac:dyDescent="0.3">
      <c r="A209" t="s">
        <v>420</v>
      </c>
      <c r="B209" t="s">
        <v>421</v>
      </c>
      <c r="C209" t="s">
        <v>6</v>
      </c>
      <c r="D209" t="s">
        <v>7</v>
      </c>
      <c r="E209">
        <v>245.19510139835899</v>
      </c>
      <c r="F209">
        <v>245.26010162116</v>
      </c>
      <c r="G209">
        <v>245.013850686544</v>
      </c>
      <c r="H209">
        <v>245.01635069607499</v>
      </c>
      <c r="I209">
        <v>245.027184079042</v>
      </c>
      <c r="J209">
        <v>245.06093420770799</v>
      </c>
      <c r="K209">
        <v>245.67843655764401</v>
      </c>
      <c r="L209">
        <v>246.00093779128099</v>
      </c>
      <c r="M209">
        <v>247.56469375695099</v>
      </c>
      <c r="N209">
        <v>259.960574351236</v>
      </c>
      <c r="O209">
        <v>276.403137026845</v>
      </c>
      <c r="P209">
        <v>275.35645668533198</v>
      </c>
      <c r="Q209">
        <v>252.02762746264901</v>
      </c>
      <c r="R209">
        <v>222.88918305322699</v>
      </c>
      <c r="S209">
        <v>240.70466763782301</v>
      </c>
      <c r="T209">
        <v>214.31290034121901</v>
      </c>
      <c r="U209">
        <v>238.95049426705901</v>
      </c>
      <c r="V209">
        <v>245.67968656657601</v>
      </c>
      <c r="W209">
        <v>225.65586023395699</v>
      </c>
      <c r="X209">
        <v>212.721644262377</v>
      </c>
      <c r="Y209">
        <v>211.27955541470499</v>
      </c>
      <c r="Z209">
        <v>271.73145255032699</v>
      </c>
      <c r="AA209">
        <v>328.60625269898998</v>
      </c>
      <c r="AB209">
        <v>381.06603602462798</v>
      </c>
      <c r="AC209">
        <v>436.95666578800802</v>
      </c>
      <c r="AD209">
        <v>449.26296271160697</v>
      </c>
      <c r="AE209">
        <v>346.305903554493</v>
      </c>
      <c r="AF209">
        <v>300.53656240147802</v>
      </c>
      <c r="AG209">
        <v>297.84821881937802</v>
      </c>
      <c r="AH209">
        <v>319.008299487903</v>
      </c>
      <c r="AI209">
        <v>272.264787954393</v>
      </c>
      <c r="AJ209">
        <v>282.10690880881998</v>
      </c>
      <c r="AK209">
        <v>264.69180075057898</v>
      </c>
      <c r="AL209">
        <v>283.16257950001801</v>
      </c>
      <c r="AM209">
        <v>555.20469565569704</v>
      </c>
      <c r="AN209">
        <v>499.14842590131002</v>
      </c>
      <c r="AO209">
        <v>511.55243027251601</v>
      </c>
      <c r="AP209">
        <v>583.66937235339606</v>
      </c>
      <c r="AQ209">
        <v>589.951774567332</v>
      </c>
      <c r="AR209">
        <v>615.47334931916396</v>
      </c>
      <c r="AS209">
        <v>710.20797703136702</v>
      </c>
      <c r="AT209">
        <v>732.39769326022804</v>
      </c>
      <c r="AU209">
        <v>693.71322649637398</v>
      </c>
      <c r="AV209">
        <v>579.897426172466</v>
      </c>
      <c r="AW209">
        <v>527.33803229157604</v>
      </c>
      <c r="AX209">
        <v>527.25836264962595</v>
      </c>
      <c r="AY209">
        <v>522.42562489517604</v>
      </c>
      <c r="AZ209">
        <v>478.63371847636301</v>
      </c>
      <c r="BA209">
        <v>446.00004143278801</v>
      </c>
      <c r="BB209">
        <v>470.29342334139801</v>
      </c>
      <c r="BC209">
        <v>494.794262222947</v>
      </c>
      <c r="BD209">
        <v>471.24862571893698</v>
      </c>
      <c r="BE209">
        <v>510.55633845425098</v>
      </c>
      <c r="BF209">
        <v>493.89962385223703</v>
      </c>
      <c r="BG209">
        <v>493.757329875312</v>
      </c>
      <c r="BH209">
        <v>591.21169798260996</v>
      </c>
      <c r="BI209">
        <v>592.60561506302201</v>
      </c>
      <c r="BJ209">
        <v>580.65674958785803</v>
      </c>
      <c r="BK209">
        <v>555.44645839822601</v>
      </c>
      <c r="BL209">
        <v>585.91101318036897</v>
      </c>
      <c r="BM209">
        <v>575.58600451094503</v>
      </c>
      <c r="BN209">
        <v>554.53067503310399</v>
      </c>
      <c r="BO209">
        <v>623.75970091118199</v>
      </c>
      <c r="BP209">
        <v>606.56975016591696</v>
      </c>
      <c r="BQ209">
        <v>606.34529760906298</v>
      </c>
    </row>
    <row r="210" spans="1:69" x14ac:dyDescent="0.3">
      <c r="A210" t="s">
        <v>422</v>
      </c>
      <c r="B210" t="s">
        <v>423</v>
      </c>
      <c r="C210" t="s">
        <v>6</v>
      </c>
      <c r="D210" t="s">
        <v>7</v>
      </c>
      <c r="E210">
        <v>3.0612200020612201</v>
      </c>
      <c r="F210">
        <v>3.0612200020612201</v>
      </c>
      <c r="G210">
        <v>3.0612200020612201</v>
      </c>
      <c r="H210">
        <v>3.0612200020612201</v>
      </c>
      <c r="I210">
        <v>3.0612200020612201</v>
      </c>
      <c r="J210">
        <v>3.0612200020612201</v>
      </c>
      <c r="K210">
        <v>3.0612200020612201</v>
      </c>
      <c r="L210">
        <v>3.0612200020612201</v>
      </c>
      <c r="M210">
        <v>3.0612200020612201</v>
      </c>
      <c r="N210">
        <v>3.0612200020612201</v>
      </c>
      <c r="O210">
        <v>3.0612200020612201</v>
      </c>
      <c r="P210">
        <v>3.0507016684727799</v>
      </c>
      <c r="Q210">
        <v>2.8124999989999999</v>
      </c>
      <c r="R210">
        <v>2.4573666658333302</v>
      </c>
      <c r="S210">
        <v>2.43686666583333</v>
      </c>
      <c r="T210">
        <v>2.3712999990833299</v>
      </c>
      <c r="U210">
        <v>2.4708416659166699</v>
      </c>
      <c r="V210">
        <v>2.43939999925</v>
      </c>
      <c r="W210">
        <v>2.2740249991666701</v>
      </c>
      <c r="X210">
        <v>2.1745583325000002</v>
      </c>
      <c r="Y210">
        <v>2.14120833258333</v>
      </c>
      <c r="Z210">
        <v>2.1126916659999999</v>
      </c>
      <c r="AA210">
        <v>2.1400249991666702</v>
      </c>
      <c r="AB210">
        <v>2.1130499989999998</v>
      </c>
      <c r="AC210">
        <v>2.1330833330000001</v>
      </c>
      <c r="AD210">
        <v>2.20014999966667</v>
      </c>
      <c r="AE210">
        <v>2.1774166665000001</v>
      </c>
      <c r="AF210">
        <v>2.10598333333333</v>
      </c>
      <c r="AG210">
        <v>2.0124249999999999</v>
      </c>
      <c r="AH210">
        <v>1.9502583333333301</v>
      </c>
      <c r="AI210">
        <v>1.81253333333333</v>
      </c>
      <c r="AJ210">
        <v>1.7275499999999999</v>
      </c>
      <c r="AK210">
        <v>1.62896666666667</v>
      </c>
      <c r="AL210">
        <v>1.61579083333333</v>
      </c>
      <c r="AM210">
        <v>1.52744416666667</v>
      </c>
      <c r="AN210">
        <v>1.4173750000000001</v>
      </c>
      <c r="AO210">
        <v>1.4100408333333301</v>
      </c>
      <c r="AP210">
        <v>1.48480583333333</v>
      </c>
      <c r="AQ210">
        <v>1.67360166666667</v>
      </c>
      <c r="AR210">
        <v>1.69495666666667</v>
      </c>
      <c r="AS210">
        <v>1.72396333333333</v>
      </c>
      <c r="AT210">
        <v>1.7917225000000001</v>
      </c>
      <c r="AU210">
        <v>1.7905883333333299</v>
      </c>
      <c r="AV210">
        <v>1.7421833333333301</v>
      </c>
      <c r="AW210">
        <v>1.6902283333333299</v>
      </c>
      <c r="AX210">
        <v>1.6643975</v>
      </c>
      <c r="AY210">
        <v>1.58893333333333</v>
      </c>
      <c r="AZ210">
        <v>1.5071016666666699</v>
      </c>
      <c r="BA210">
        <v>1.4148608333333299</v>
      </c>
      <c r="BB210">
        <v>1.4545147134387399</v>
      </c>
      <c r="BC210">
        <v>1.36350833333333</v>
      </c>
      <c r="BD210">
        <v>1.2577758771929799</v>
      </c>
      <c r="BE210">
        <v>1.2496762037036999</v>
      </c>
      <c r="BF210">
        <v>1.2513000000000001</v>
      </c>
      <c r="BG210">
        <v>1.26705</v>
      </c>
      <c r="BH210">
        <v>1.374825</v>
      </c>
      <c r="BI210">
        <v>1.3815463636363601</v>
      </c>
      <c r="BJ210">
        <v>1.380925</v>
      </c>
      <c r="BK210">
        <v>1.34884166666667</v>
      </c>
      <c r="BL210">
        <v>1.36415833333333</v>
      </c>
      <c r="BM210">
        <v>1.37974166666667</v>
      </c>
      <c r="BN210">
        <v>1.34348333333333</v>
      </c>
      <c r="BO210">
        <v>1.37866666666667</v>
      </c>
      <c r="BP210">
        <v>1.34276666666667</v>
      </c>
      <c r="BQ210">
        <v>1.3362333333333301</v>
      </c>
    </row>
    <row r="211" spans="1:69" x14ac:dyDescent="0.3">
      <c r="A211" t="s">
        <v>424</v>
      </c>
      <c r="B211" t="s">
        <v>425</v>
      </c>
      <c r="C211" t="s">
        <v>6</v>
      </c>
      <c r="D211" t="s">
        <v>7</v>
      </c>
      <c r="E211">
        <v>0.89285699989285705</v>
      </c>
      <c r="F211">
        <v>0.89285699989285705</v>
      </c>
      <c r="G211">
        <v>0.89285699989285705</v>
      </c>
      <c r="H211">
        <v>0.89285699989285705</v>
      </c>
      <c r="I211">
        <v>0.89285699989285705</v>
      </c>
      <c r="J211">
        <v>0.89285699989285705</v>
      </c>
      <c r="K211">
        <v>0.89285699989285705</v>
      </c>
      <c r="L211">
        <v>0.89285699989285705</v>
      </c>
      <c r="M211">
        <v>0.89285699989285705</v>
      </c>
      <c r="N211">
        <v>0.89285699989285705</v>
      </c>
      <c r="O211">
        <v>0.89285699989285705</v>
      </c>
      <c r="P211">
        <v>0.88161645427590696</v>
      </c>
      <c r="Q211">
        <v>0.83729999899999996</v>
      </c>
      <c r="R211">
        <v>0.70411390796665796</v>
      </c>
      <c r="S211">
        <v>0.698085449275053</v>
      </c>
      <c r="T211">
        <v>0.76386666666666603</v>
      </c>
      <c r="U211">
        <v>0.81828333333333303</v>
      </c>
      <c r="V211">
        <v>0.90181666666666704</v>
      </c>
      <c r="W211">
        <v>0.87365833333333398</v>
      </c>
      <c r="X211">
        <v>0.86596432184602701</v>
      </c>
      <c r="Y211">
        <v>0.82982723705133399</v>
      </c>
      <c r="Z211">
        <v>0.87016628815513497</v>
      </c>
      <c r="AA211">
        <v>0.97110438154040202</v>
      </c>
      <c r="AB211">
        <v>1.1485583118840701</v>
      </c>
      <c r="AC211">
        <v>1.2737151385596699</v>
      </c>
      <c r="AD211">
        <v>1.4807666665000001</v>
      </c>
      <c r="AE211">
        <v>1.74149999983333</v>
      </c>
      <c r="AF211">
        <v>2.0032916666666698</v>
      </c>
      <c r="AG211">
        <v>2.0825166666666699</v>
      </c>
      <c r="AH211">
        <v>2.29324166666667</v>
      </c>
      <c r="AI211">
        <v>2.5287833333333301</v>
      </c>
      <c r="AJ211">
        <v>2.71475</v>
      </c>
      <c r="AK211">
        <v>2.9281000000000001</v>
      </c>
      <c r="AL211">
        <v>3.18773333333333</v>
      </c>
      <c r="AM211">
        <v>3.2913583333333301</v>
      </c>
      <c r="AN211">
        <v>3.4058999999999999</v>
      </c>
      <c r="AO211">
        <v>3.56635833333333</v>
      </c>
      <c r="AP211">
        <v>3.7169416666666701</v>
      </c>
      <c r="AQ211">
        <v>4.8156491666666703</v>
      </c>
      <c r="AR211">
        <v>4.8381416666666697</v>
      </c>
      <c r="AS211">
        <v>5.0889308333333299</v>
      </c>
      <c r="AT211">
        <v>5.2779849531703702</v>
      </c>
      <c r="AU211">
        <v>6.7487721028988696</v>
      </c>
      <c r="AV211">
        <v>7.50594374859842</v>
      </c>
      <c r="AW211">
        <v>7.4847439055083997</v>
      </c>
      <c r="AX211">
        <v>7.5298730248359602</v>
      </c>
      <c r="AY211">
        <v>7.6094583333333397</v>
      </c>
      <c r="AZ211">
        <v>7.6520000000000001</v>
      </c>
      <c r="BA211">
        <v>7.7479166666666703</v>
      </c>
      <c r="BB211">
        <v>8.0550416666666695</v>
      </c>
      <c r="BC211">
        <v>8.06450134408602</v>
      </c>
      <c r="BD211">
        <v>7.64125903009875</v>
      </c>
      <c r="BE211">
        <v>7.3552028471520297</v>
      </c>
      <c r="BF211">
        <v>7.3021351000420598</v>
      </c>
      <c r="BG211">
        <v>7.3753453536421096</v>
      </c>
      <c r="BH211">
        <v>7.9146889773578799</v>
      </c>
      <c r="BI211">
        <v>7.9481529377886702</v>
      </c>
      <c r="BJ211">
        <v>7.8873903690918299</v>
      </c>
      <c r="BK211">
        <v>7.9525048613100298</v>
      </c>
      <c r="BL211">
        <v>8.1733992977783902</v>
      </c>
      <c r="BM211">
        <v>8.2134129096726092</v>
      </c>
      <c r="BN211">
        <v>8.0301029910493291</v>
      </c>
      <c r="BO211">
        <v>8.1555286976263002</v>
      </c>
      <c r="BP211">
        <v>8.3755967761304593</v>
      </c>
      <c r="BQ211">
        <v>8.4548356017165407</v>
      </c>
    </row>
    <row r="212" spans="1:69" x14ac:dyDescent="0.3">
      <c r="A212" t="s">
        <v>426</v>
      </c>
      <c r="B212" t="s">
        <v>427</v>
      </c>
      <c r="C212" t="s">
        <v>6</v>
      </c>
      <c r="D212" t="s">
        <v>7</v>
      </c>
      <c r="E212">
        <v>7.1428599971428601E-4</v>
      </c>
      <c r="F212">
        <v>7.1428599971428601E-4</v>
      </c>
      <c r="G212">
        <v>7.1428599971428601E-4</v>
      </c>
      <c r="H212">
        <v>7.1428599971428601E-4</v>
      </c>
      <c r="I212">
        <v>7.1428599971428601E-4</v>
      </c>
      <c r="J212">
        <v>7.1428599971428601E-4</v>
      </c>
      <c r="K212">
        <v>7.1428599971428601E-4</v>
      </c>
      <c r="L212">
        <v>7.2420691633134904E-4</v>
      </c>
      <c r="M212">
        <v>8.3333299983333298E-4</v>
      </c>
      <c r="N212">
        <v>8.3333299983333298E-4</v>
      </c>
      <c r="O212">
        <v>8.3333299983333298E-4</v>
      </c>
      <c r="P212">
        <v>8.3089400256528998E-4</v>
      </c>
      <c r="Q212">
        <v>8.0078166566666695E-4</v>
      </c>
      <c r="R212">
        <v>8.1634166566666604E-4</v>
      </c>
      <c r="S212">
        <v>8.5546083233333295E-4</v>
      </c>
      <c r="T212">
        <v>9.0402166566666705E-4</v>
      </c>
      <c r="U212">
        <v>1.1128408325000001E-3</v>
      </c>
      <c r="V212">
        <v>1.1464966657499999E-3</v>
      </c>
      <c r="W212">
        <v>1.0470433325000001E-3</v>
      </c>
      <c r="X212">
        <v>1.05697254446629E-3</v>
      </c>
      <c r="Y212">
        <v>1.0497976491415401E-3</v>
      </c>
      <c r="Z212">
        <v>1.1590984711353401E-3</v>
      </c>
      <c r="AA212">
        <v>1.2386504266874E-3</v>
      </c>
      <c r="AB212">
        <v>1.8853301635048201E-3</v>
      </c>
      <c r="AC212">
        <v>2.5099499995833302E-3</v>
      </c>
      <c r="AD212">
        <v>5.0941624999999999E-3</v>
      </c>
      <c r="AE212">
        <v>1.6092133333249999E-2</v>
      </c>
      <c r="AF212">
        <v>3.4042524999999997E-2</v>
      </c>
      <c r="AG212">
        <v>3.2514083333333298E-2</v>
      </c>
      <c r="AH212">
        <v>5.9812758333333299E-2</v>
      </c>
      <c r="AI212">
        <v>0.151445833333333</v>
      </c>
      <c r="AJ212">
        <v>0.29534416666666702</v>
      </c>
      <c r="AK212">
        <v>0.49944183333333297</v>
      </c>
      <c r="AL212">
        <v>0.56745858333333299</v>
      </c>
      <c r="AM212">
        <v>0.586739708333333</v>
      </c>
      <c r="AN212">
        <v>0.75521583333333298</v>
      </c>
      <c r="AO212">
        <v>0.92073249999999995</v>
      </c>
      <c r="AP212">
        <v>0.98148250000000004</v>
      </c>
      <c r="AQ212">
        <v>1.563618</v>
      </c>
      <c r="AR212">
        <v>1.804195</v>
      </c>
      <c r="AS212">
        <v>2.0921249999999998</v>
      </c>
      <c r="AT212">
        <v>1.98615416666667</v>
      </c>
      <c r="AU212">
        <v>2.0990338657500001</v>
      </c>
      <c r="AV212">
        <v>2.3479416666666699</v>
      </c>
      <c r="AW212">
        <v>2.70129666666667</v>
      </c>
      <c r="AX212">
        <v>2.8895875000000002</v>
      </c>
      <c r="AY212">
        <v>2.9619091666666701</v>
      </c>
      <c r="AZ212">
        <v>2.9851858333333299</v>
      </c>
      <c r="BA212">
        <v>2.9815149999999999</v>
      </c>
      <c r="BB212">
        <v>3.38565</v>
      </c>
      <c r="BC212">
        <v>3.9780866666666701</v>
      </c>
      <c r="BD212">
        <v>4.3491616666666699</v>
      </c>
      <c r="BE212">
        <v>4.3440366666666703</v>
      </c>
      <c r="BF212">
        <v>4.3325008333333397</v>
      </c>
      <c r="BG212">
        <v>4.5241591666666698</v>
      </c>
      <c r="BH212">
        <v>5.0807475000000002</v>
      </c>
      <c r="BI212">
        <v>6.2902974149522803</v>
      </c>
      <c r="BJ212">
        <v>7.3844322224869199</v>
      </c>
      <c r="BK212">
        <v>7.9316317497372797</v>
      </c>
      <c r="BL212">
        <v>9.0102211440091509</v>
      </c>
      <c r="BM212">
        <v>9.8299267633237495</v>
      </c>
      <c r="BN212">
        <v>10.439425319458699</v>
      </c>
      <c r="BO212">
        <v>14.047649794215699</v>
      </c>
      <c r="BP212">
        <v>21.304875110381801</v>
      </c>
    </row>
    <row r="213" spans="1:69" x14ac:dyDescent="0.3">
      <c r="A213" t="s">
        <v>428</v>
      </c>
      <c r="B213" t="s">
        <v>429</v>
      </c>
      <c r="C213" t="s">
        <v>6</v>
      </c>
      <c r="D213" t="s">
        <v>7</v>
      </c>
      <c r="E213">
        <v>2.5000000015000001</v>
      </c>
      <c r="F213">
        <v>2.5000000015000001</v>
      </c>
      <c r="G213">
        <v>2.5000000015000001</v>
      </c>
      <c r="H213">
        <v>2.5000000015000001</v>
      </c>
      <c r="I213">
        <v>2.5000000015000001</v>
      </c>
      <c r="J213">
        <v>2.5000000015000001</v>
      </c>
      <c r="K213">
        <v>2.5000000015000001</v>
      </c>
      <c r="L213">
        <v>2.5000000015000001</v>
      </c>
      <c r="M213">
        <v>2.5000000015000001</v>
      </c>
      <c r="N213">
        <v>2.5000000015000001</v>
      </c>
      <c r="O213">
        <v>2.5000000015000001</v>
      </c>
      <c r="P213">
        <v>2.5000000012916699</v>
      </c>
      <c r="Q213">
        <v>2.5000138172256099</v>
      </c>
      <c r="R213">
        <v>2.4999976984432202</v>
      </c>
      <c r="S213">
        <v>2.4999979282546501</v>
      </c>
      <c r="T213">
        <v>2.5</v>
      </c>
      <c r="U213">
        <v>2.5</v>
      </c>
      <c r="V213">
        <v>2.5</v>
      </c>
      <c r="W213">
        <v>2.5</v>
      </c>
      <c r="X213">
        <v>2.5</v>
      </c>
      <c r="Y213">
        <v>2.5</v>
      </c>
      <c r="Z213">
        <v>2.5</v>
      </c>
      <c r="AA213">
        <v>2.5</v>
      </c>
      <c r="AB213">
        <v>2.5</v>
      </c>
      <c r="AC213">
        <v>2.5</v>
      </c>
      <c r="AD213">
        <v>2.5</v>
      </c>
      <c r="AE213">
        <v>4.85215</v>
      </c>
      <c r="AF213">
        <v>5</v>
      </c>
      <c r="AG213">
        <v>5</v>
      </c>
      <c r="AH213">
        <v>5</v>
      </c>
      <c r="AI213">
        <v>6.8483333333333301</v>
      </c>
      <c r="AJ213">
        <v>8.0166666666666693</v>
      </c>
      <c r="AK213">
        <v>8.3608333333333302</v>
      </c>
      <c r="AL213">
        <v>8.7025083333333306</v>
      </c>
      <c r="AM213">
        <v>8.7287499999999998</v>
      </c>
      <c r="AN213">
        <v>8.7545833333333292</v>
      </c>
      <c r="AO213">
        <v>8.7550000000000008</v>
      </c>
      <c r="AP213">
        <v>8.7562499999999996</v>
      </c>
      <c r="AQ213">
        <v>8.7550000000000008</v>
      </c>
      <c r="AR213">
        <v>8.7550000000000008</v>
      </c>
      <c r="AS213">
        <v>8.7550000000000008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</row>
    <row r="214" spans="1:69" x14ac:dyDescent="0.3">
      <c r="A214" t="s">
        <v>430</v>
      </c>
      <c r="B214" t="s">
        <v>431</v>
      </c>
      <c r="C214" t="s">
        <v>6</v>
      </c>
      <c r="D214" t="s">
        <v>7</v>
      </c>
      <c r="Q214">
        <v>583.21749999941699</v>
      </c>
      <c r="R214">
        <v>582.99583333191697</v>
      </c>
      <c r="S214">
        <v>650.34333333183304</v>
      </c>
      <c r="T214">
        <v>652.84916666599997</v>
      </c>
      <c r="U214">
        <v>832.33499999966705</v>
      </c>
      <c r="V214">
        <v>882.38833333125001</v>
      </c>
      <c r="W214">
        <v>848.663333330917</v>
      </c>
      <c r="X214">
        <v>830.86166666591703</v>
      </c>
      <c r="Y214">
        <v>856.44749999741703</v>
      </c>
      <c r="Z214">
        <v>1136.7649999995799</v>
      </c>
      <c r="AA214">
        <v>1352.50999999808</v>
      </c>
      <c r="AB214">
        <v>1518.84833333283</v>
      </c>
      <c r="AC214">
        <v>1756.9608333318299</v>
      </c>
      <c r="AD214">
        <v>1909.4391666639999</v>
      </c>
      <c r="AE214">
        <v>1490.8099999987501</v>
      </c>
      <c r="AF214">
        <v>1296.07</v>
      </c>
      <c r="AG214">
        <v>1301.6275000000001</v>
      </c>
      <c r="AH214">
        <v>1372.0933333333301</v>
      </c>
      <c r="AI214">
        <v>1198.1016666666701</v>
      </c>
      <c r="AJ214">
        <v>1240.61333333333</v>
      </c>
      <c r="AK214">
        <v>1232.4058333333301</v>
      </c>
      <c r="AL214">
        <v>1573.6658666666699</v>
      </c>
      <c r="AM214">
        <v>1612.4449833333299</v>
      </c>
      <c r="AN214">
        <v>1628.9331583333301</v>
      </c>
      <c r="AO214">
        <v>1542.9469666666701</v>
      </c>
      <c r="AP214">
        <v>1703.09690833333</v>
      </c>
      <c r="AQ214">
        <v>1736.20738333333</v>
      </c>
      <c r="AR214">
        <v>0.938283072395239</v>
      </c>
      <c r="AS214">
        <v>1.08270508132601</v>
      </c>
      <c r="AT214">
        <v>1.11653308564468</v>
      </c>
      <c r="AU214">
        <v>1.0575589962396501</v>
      </c>
      <c r="AV214">
        <v>0.88404792718496095</v>
      </c>
      <c r="AW214">
        <v>0.80392164774760499</v>
      </c>
      <c r="AX214">
        <v>0.80380019216141596</v>
      </c>
      <c r="AY214">
        <v>0.79643273094909595</v>
      </c>
      <c r="AZ214">
        <v>0.72967239998408795</v>
      </c>
      <c r="BA214">
        <v>0.67992268004272904</v>
      </c>
      <c r="BB214">
        <v>0.71695770201613596</v>
      </c>
      <c r="BC214">
        <v>0.75430899010597896</v>
      </c>
      <c r="BD214">
        <v>0.71841389865332195</v>
      </c>
      <c r="BE214">
        <v>0.77833812041681205</v>
      </c>
      <c r="BF214">
        <v>0.75294512270200198</v>
      </c>
      <c r="BG214">
        <v>0.75272819693259096</v>
      </c>
      <c r="BH214">
        <v>0.90129642336709603</v>
      </c>
      <c r="BI214">
        <v>0.90342143625728799</v>
      </c>
      <c r="BJ214">
        <v>0.88520550826938005</v>
      </c>
      <c r="BK214">
        <v>0.84677266710809596</v>
      </c>
      <c r="BL214">
        <v>0.89321558147922597</v>
      </c>
      <c r="BM214">
        <v>0.87747520723301198</v>
      </c>
      <c r="BN214">
        <v>0.84537656436794495</v>
      </c>
      <c r="BO214">
        <v>0.95091553396210804</v>
      </c>
      <c r="BP214">
        <v>0.92470962298735604</v>
      </c>
      <c r="BQ214">
        <v>0.92436744727026698</v>
      </c>
    </row>
    <row r="215" spans="1:69" x14ac:dyDescent="0.3">
      <c r="A215" t="s">
        <v>432</v>
      </c>
      <c r="B215" t="s">
        <v>433</v>
      </c>
      <c r="C215" t="s">
        <v>6</v>
      </c>
      <c r="D215" t="s">
        <v>7</v>
      </c>
      <c r="E215">
        <v>7.1428600061428602</v>
      </c>
      <c r="F215">
        <v>7.1428600061428602</v>
      </c>
      <c r="G215">
        <v>7.1428600061428602</v>
      </c>
      <c r="H215">
        <v>7.1428600061428602</v>
      </c>
      <c r="I215">
        <v>7.1428600061428602</v>
      </c>
      <c r="J215">
        <v>7.1428600061428602</v>
      </c>
      <c r="K215">
        <v>7.1428600061428602</v>
      </c>
      <c r="L215">
        <v>7.1428600061428602</v>
      </c>
      <c r="M215">
        <v>7.1428600061428602</v>
      </c>
      <c r="N215">
        <v>7.1428600061428602</v>
      </c>
      <c r="O215">
        <v>7.1428600061428602</v>
      </c>
      <c r="P215">
        <v>7.1285583388809597</v>
      </c>
      <c r="Q215">
        <v>6.9801249990000001</v>
      </c>
      <c r="R215">
        <v>6.2814999990000002</v>
      </c>
      <c r="S215">
        <v>6.2949999989999998</v>
      </c>
      <c r="T215">
        <v>6.2949999989999998</v>
      </c>
      <c r="U215">
        <v>6.2949999989999998</v>
      </c>
      <c r="V215">
        <v>6.2949999989999998</v>
      </c>
      <c r="W215">
        <v>6.2949999989999998</v>
      </c>
      <c r="X215">
        <v>6.2949999989999998</v>
      </c>
      <c r="Y215">
        <v>6.2949999989999998</v>
      </c>
      <c r="Z215">
        <v>6.2949999989999998</v>
      </c>
      <c r="AA215">
        <v>10.750349999000001</v>
      </c>
      <c r="AB215">
        <v>15.787658332333301</v>
      </c>
      <c r="AC215">
        <v>20.0185499995833</v>
      </c>
      <c r="AD215">
        <v>39.487141666666702</v>
      </c>
      <c r="AE215">
        <v>72</v>
      </c>
      <c r="AF215">
        <v>105.177083333333</v>
      </c>
      <c r="AG215">
        <v>170.45275000000001</v>
      </c>
      <c r="AH215">
        <v>490.675166666667</v>
      </c>
      <c r="BB215">
        <v>31558.9054783951</v>
      </c>
      <c r="BC215">
        <v>31269.662571225101</v>
      </c>
      <c r="BD215">
        <v>29966.835440408398</v>
      </c>
      <c r="BE215">
        <v>22516.000296771101</v>
      </c>
      <c r="BF215">
        <v>19283.799950452099</v>
      </c>
      <c r="BG215">
        <v>20230.929131054101</v>
      </c>
      <c r="BH215">
        <v>22254.2356837607</v>
      </c>
      <c r="BI215">
        <v>23061.784313865101</v>
      </c>
      <c r="BJ215">
        <v>23097.9873219373</v>
      </c>
    </row>
    <row r="216" spans="1:69" x14ac:dyDescent="0.3">
      <c r="A216" t="s">
        <v>434</v>
      </c>
      <c r="B216" t="s">
        <v>435</v>
      </c>
      <c r="C216" t="s">
        <v>6</v>
      </c>
      <c r="D216" t="s">
        <v>7</v>
      </c>
      <c r="AP216">
        <v>5.9123000000000001</v>
      </c>
      <c r="AQ216">
        <v>10.030799999999999</v>
      </c>
      <c r="AR216">
        <v>11.6615</v>
      </c>
      <c r="AS216">
        <v>63.165900000000001</v>
      </c>
      <c r="AT216">
        <v>66.913659999999993</v>
      </c>
      <c r="AU216">
        <v>64.405225000000002</v>
      </c>
      <c r="AV216">
        <v>57.5900416666667</v>
      </c>
      <c r="AW216">
        <v>58.3757083333333</v>
      </c>
      <c r="AX216">
        <v>66.717825000000005</v>
      </c>
      <c r="AY216">
        <v>67.155124999999998</v>
      </c>
      <c r="AZ216">
        <v>58.449566666666698</v>
      </c>
      <c r="BA216">
        <v>55.72925</v>
      </c>
      <c r="BB216">
        <v>67.604933333333307</v>
      </c>
      <c r="BC216">
        <v>77.722841666666696</v>
      </c>
      <c r="BD216">
        <v>73.355433333333295</v>
      </c>
      <c r="BE216">
        <v>87.958808333333295</v>
      </c>
      <c r="BF216">
        <v>85.158841666666703</v>
      </c>
      <c r="BG216">
        <v>88.405308333333295</v>
      </c>
      <c r="BH216">
        <v>108.811425</v>
      </c>
      <c r="BI216">
        <v>111.27785</v>
      </c>
      <c r="BJ216">
        <v>107.75885</v>
      </c>
      <c r="BK216">
        <v>100.17507500000001</v>
      </c>
      <c r="BL216">
        <v>105.249558333333</v>
      </c>
      <c r="BM216">
        <v>103.16329166666701</v>
      </c>
      <c r="BN216">
        <v>99.395941666666701</v>
      </c>
      <c r="BO216">
        <v>111.662183333333</v>
      </c>
      <c r="BP216">
        <v>108.402691666667</v>
      </c>
      <c r="BQ216">
        <v>108.207741666667</v>
      </c>
    </row>
    <row r="217" spans="1:69" x14ac:dyDescent="0.3">
      <c r="A217" t="s">
        <v>436</v>
      </c>
      <c r="B217" t="s">
        <v>437</v>
      </c>
      <c r="C217" t="s">
        <v>6</v>
      </c>
      <c r="D217" t="s">
        <v>7</v>
      </c>
    </row>
    <row r="218" spans="1:69" x14ac:dyDescent="0.3">
      <c r="A218" t="s">
        <v>438</v>
      </c>
      <c r="B218" t="s">
        <v>439</v>
      </c>
      <c r="C218" t="s">
        <v>6</v>
      </c>
      <c r="D218" t="s">
        <v>7</v>
      </c>
      <c r="BD218">
        <v>2.98895</v>
      </c>
      <c r="BE218">
        <v>2.95</v>
      </c>
      <c r="BF218">
        <v>2.95</v>
      </c>
      <c r="BG218">
        <v>2.95</v>
      </c>
      <c r="BH218">
        <v>3.6041666666666701</v>
      </c>
      <c r="BI218">
        <v>46.7291666666667</v>
      </c>
      <c r="BJ218">
        <v>113.64749999999999</v>
      </c>
      <c r="BK218">
        <v>141.38583333333301</v>
      </c>
      <c r="BL218">
        <v>157.99916666666701</v>
      </c>
      <c r="BM218">
        <v>165.90731666666699</v>
      </c>
      <c r="BN218">
        <v>306.35461993727603</v>
      </c>
      <c r="BO218">
        <v>534.51118869175605</v>
      </c>
      <c r="BP218">
        <v>930.33142953405104</v>
      </c>
      <c r="BQ218">
        <v>2163.1038726988299</v>
      </c>
    </row>
    <row r="219" spans="1:69" x14ac:dyDescent="0.3">
      <c r="A219" t="s">
        <v>440</v>
      </c>
      <c r="B219" t="s">
        <v>441</v>
      </c>
      <c r="C219" t="s">
        <v>6</v>
      </c>
      <c r="D219" t="s">
        <v>7</v>
      </c>
    </row>
    <row r="220" spans="1:69" x14ac:dyDescent="0.3">
      <c r="A220" t="s">
        <v>442</v>
      </c>
      <c r="B220" t="s">
        <v>443</v>
      </c>
      <c r="C220" t="s">
        <v>6</v>
      </c>
      <c r="D220" t="s">
        <v>7</v>
      </c>
    </row>
    <row r="221" spans="1:69" x14ac:dyDescent="0.3">
      <c r="A221" t="s">
        <v>444</v>
      </c>
      <c r="B221" t="s">
        <v>445</v>
      </c>
      <c r="C221" t="s">
        <v>6</v>
      </c>
      <c r="D221" t="s">
        <v>7</v>
      </c>
      <c r="E221">
        <v>2.875000002875E-2</v>
      </c>
      <c r="F221">
        <v>2.875000002875E-2</v>
      </c>
      <c r="G221">
        <v>2.875000002875E-2</v>
      </c>
      <c r="H221">
        <v>2.875000002875E-2</v>
      </c>
      <c r="I221">
        <v>2.875000002875E-2</v>
      </c>
      <c r="J221">
        <v>2.875000002875E-2</v>
      </c>
      <c r="K221">
        <v>2.875000002875E-2</v>
      </c>
      <c r="L221">
        <v>2.875000002875E-2</v>
      </c>
      <c r="M221">
        <v>2.875000002875E-2</v>
      </c>
      <c r="N221">
        <v>2.875000002875E-2</v>
      </c>
      <c r="O221">
        <v>2.875000002875E-2</v>
      </c>
      <c r="P221">
        <v>2.83601702878227E-2</v>
      </c>
      <c r="Q221">
        <v>2.7053416666666701E-2</v>
      </c>
      <c r="R221">
        <v>2.45151666665833E-2</v>
      </c>
      <c r="S221">
        <v>2.5408166666583298E-2</v>
      </c>
      <c r="T221">
        <v>2.5543249999916699E-2</v>
      </c>
      <c r="U221">
        <v>3.0229083333333299E-2</v>
      </c>
      <c r="V221">
        <v>3.7558070960585499E-2</v>
      </c>
      <c r="W221">
        <v>3.6154724439896903E-2</v>
      </c>
      <c r="X221">
        <v>3.5024583566634897E-2</v>
      </c>
      <c r="Y221">
        <v>3.4771398773720201E-2</v>
      </c>
      <c r="Z221">
        <v>3.8399464445231603E-2</v>
      </c>
      <c r="AA221">
        <v>4.0998602033422898E-2</v>
      </c>
      <c r="AB221">
        <v>4.2335198473825303E-2</v>
      </c>
      <c r="AC221">
        <v>4.4158667395588602E-2</v>
      </c>
      <c r="AD221">
        <v>4.4604388848353299E-2</v>
      </c>
      <c r="AE221">
        <v>3.85890122281718E-2</v>
      </c>
      <c r="AF221">
        <v>5.42112152376878E-2</v>
      </c>
      <c r="AG221">
        <v>8.63433333333333E-2</v>
      </c>
      <c r="AH221">
        <v>0.12467225</v>
      </c>
      <c r="AI221">
        <v>0.143330916666667</v>
      </c>
      <c r="AK221">
        <v>0.321337083333333</v>
      </c>
      <c r="AL221">
        <v>0.42985416666666698</v>
      </c>
      <c r="AM221">
        <v>0.73262816666666697</v>
      </c>
      <c r="AN221">
        <v>1.42034183333333</v>
      </c>
      <c r="AO221">
        <v>2.2031635833333301</v>
      </c>
      <c r="AP221">
        <v>4.5525059166666697</v>
      </c>
      <c r="AQ221">
        <v>6.8832428333333304</v>
      </c>
      <c r="AR221">
        <v>7.1189583333333299</v>
      </c>
      <c r="AS221">
        <v>7.9781716666666602</v>
      </c>
      <c r="AT221">
        <v>8.8421091666666705</v>
      </c>
      <c r="AU221">
        <v>9.0883249999999993</v>
      </c>
      <c r="AV221">
        <v>9.3475833333333291</v>
      </c>
      <c r="AW221">
        <v>9.9023241666666699</v>
      </c>
      <c r="AX221">
        <v>10.5579703333333</v>
      </c>
      <c r="AY221">
        <v>12.4486425</v>
      </c>
      <c r="AZ221">
        <v>13.536754999999999</v>
      </c>
      <c r="BA221">
        <v>14.6952016666667</v>
      </c>
      <c r="BB221">
        <v>16.2084512541667</v>
      </c>
      <c r="BC221">
        <v>18.498601323751</v>
      </c>
      <c r="BD221">
        <v>17.622935005819699</v>
      </c>
      <c r="BE221">
        <v>19.0684168084153</v>
      </c>
      <c r="BF221">
        <v>18.449952624878101</v>
      </c>
      <c r="BG221">
        <v>18.4664030495763</v>
      </c>
      <c r="BH221">
        <v>22.090644560211299</v>
      </c>
      <c r="BI221">
        <v>22.148860634783802</v>
      </c>
      <c r="BJ221">
        <v>21.741138360711599</v>
      </c>
      <c r="BK221">
        <v>20.750859237091401</v>
      </c>
      <c r="BL221">
        <v>21.8847418164689</v>
      </c>
      <c r="BM221">
        <v>21.507059099358202</v>
      </c>
      <c r="BN221">
        <v>20.710401516303101</v>
      </c>
      <c r="BO221">
        <v>23.2904039548641</v>
      </c>
      <c r="BP221">
        <v>22.658424788849601</v>
      </c>
      <c r="BQ221">
        <v>22.643009894781201</v>
      </c>
    </row>
    <row r="222" spans="1:69" x14ac:dyDescent="0.3">
      <c r="A222" t="s">
        <v>446</v>
      </c>
      <c r="B222" t="s">
        <v>447</v>
      </c>
      <c r="C222" t="s">
        <v>6</v>
      </c>
      <c r="D222" t="s">
        <v>7</v>
      </c>
      <c r="E222">
        <v>1.885E-3</v>
      </c>
      <c r="F222">
        <v>1.885E-3</v>
      </c>
      <c r="G222">
        <v>1.885E-3</v>
      </c>
      <c r="H222">
        <v>1.885E-3</v>
      </c>
      <c r="I222">
        <v>1.885E-3</v>
      </c>
      <c r="J222">
        <v>1.885E-3</v>
      </c>
      <c r="K222">
        <v>1.885E-3</v>
      </c>
      <c r="L222">
        <v>1.885E-3</v>
      </c>
      <c r="M222">
        <v>1.885E-3</v>
      </c>
      <c r="N222">
        <v>1.885E-3</v>
      </c>
      <c r="O222">
        <v>1.885E-3</v>
      </c>
      <c r="P222">
        <v>1.88358333333333E-3</v>
      </c>
      <c r="Q222">
        <v>1.7849999999999999E-3</v>
      </c>
      <c r="R222">
        <v>1.7849999999999999E-3</v>
      </c>
      <c r="S222">
        <v>1.7849999999999999E-3</v>
      </c>
      <c r="T222">
        <v>1.7849999999999999E-3</v>
      </c>
      <c r="U222">
        <v>1.7849999999999999E-3</v>
      </c>
      <c r="V222">
        <v>1.7849999999999999E-3</v>
      </c>
      <c r="W222">
        <v>1.7849999999999999E-3</v>
      </c>
      <c r="X222">
        <v>1.7849999999999999E-3</v>
      </c>
      <c r="Y222">
        <v>1.7849999999999999E-3</v>
      </c>
      <c r="Z222">
        <v>1.7849999999999999E-3</v>
      </c>
      <c r="AA222">
        <v>1.7849999999999999E-3</v>
      </c>
      <c r="AB222">
        <v>1.7849999999999999E-3</v>
      </c>
      <c r="AC222">
        <v>1.7849999999999999E-3</v>
      </c>
      <c r="AD222">
        <v>1.7849999999999999E-3</v>
      </c>
      <c r="AE222">
        <v>1.7849999999999999E-3</v>
      </c>
      <c r="AF222">
        <v>1.7849999999999999E-3</v>
      </c>
      <c r="AG222">
        <v>1.7849999999999999E-3</v>
      </c>
      <c r="AH222">
        <v>1.7849999999999999E-3</v>
      </c>
      <c r="AI222">
        <v>1.7849999999999999E-3</v>
      </c>
      <c r="AJ222">
        <v>1.7849999999999999E-3</v>
      </c>
      <c r="AK222">
        <v>1.7849999999999999E-3</v>
      </c>
      <c r="AL222">
        <v>1.7849999999999999E-3</v>
      </c>
      <c r="AM222">
        <v>0.22246075758842601</v>
      </c>
      <c r="AN222">
        <v>0.44277198913867399</v>
      </c>
      <c r="AO222">
        <v>0.40101835370904698</v>
      </c>
      <c r="AP222">
        <v>0.401566152294698</v>
      </c>
      <c r="AQ222">
        <v>0.40160642570281102</v>
      </c>
      <c r="AR222">
        <v>0.83408426422225102</v>
      </c>
      <c r="AS222">
        <v>1.3224905154787401</v>
      </c>
      <c r="AT222">
        <v>2.1781822542340898</v>
      </c>
      <c r="AU222">
        <v>2.3467500000000001</v>
      </c>
      <c r="AV222">
        <v>2.6013333333333302</v>
      </c>
      <c r="AW222">
        <v>2.7335829756751999</v>
      </c>
      <c r="AX222">
        <v>2.7316666654786901</v>
      </c>
      <c r="AY222">
        <v>2.7437499999999999</v>
      </c>
      <c r="AZ222">
        <v>2.7450000000000001</v>
      </c>
      <c r="BA222">
        <v>2.7450000000000001</v>
      </c>
      <c r="BB222">
        <v>2.7450000000000001</v>
      </c>
      <c r="BC222">
        <v>2.7454166666666699</v>
      </c>
      <c r="BD222">
        <v>3.2679999999999998</v>
      </c>
      <c r="BE222">
        <v>3.3</v>
      </c>
      <c r="BF222">
        <v>3.3</v>
      </c>
      <c r="BG222">
        <v>3.3</v>
      </c>
      <c r="BH222">
        <v>3.4166666666666701</v>
      </c>
      <c r="BI222">
        <v>6.2286302784897796</v>
      </c>
      <c r="BJ222">
        <v>7.4876611249999998</v>
      </c>
      <c r="BK222">
        <v>7.4625111984126997</v>
      </c>
      <c r="BL222">
        <v>7.4580000000000002</v>
      </c>
      <c r="BM222">
        <v>9.3095454545454608</v>
      </c>
      <c r="BN222">
        <v>18.238666666666699</v>
      </c>
      <c r="BO222">
        <v>24.7091747565789</v>
      </c>
      <c r="BP222">
        <v>36.775869166666702</v>
      </c>
      <c r="BQ222">
        <v>33.180551666666702</v>
      </c>
    </row>
    <row r="223" spans="1:69" x14ac:dyDescent="0.3">
      <c r="A223" t="s">
        <v>448</v>
      </c>
      <c r="B223" t="s">
        <v>449</v>
      </c>
      <c r="C223" t="s">
        <v>6</v>
      </c>
      <c r="D223" t="s">
        <v>7</v>
      </c>
      <c r="AL223">
        <v>30.769583333333301</v>
      </c>
      <c r="AM223">
        <v>32.044833333333301</v>
      </c>
      <c r="AN223">
        <v>29.713416666666699</v>
      </c>
      <c r="AO223">
        <v>30.653749999999999</v>
      </c>
      <c r="AP223">
        <v>33.6161666666667</v>
      </c>
      <c r="AQ223">
        <v>35.233416666666699</v>
      </c>
      <c r="AR223">
        <v>41.362833333333299</v>
      </c>
      <c r="AS223">
        <v>46.035166666666697</v>
      </c>
      <c r="AT223">
        <v>48.354833333333303</v>
      </c>
      <c r="AU223">
        <v>45.326749999999997</v>
      </c>
      <c r="AV223">
        <v>36.772916666666703</v>
      </c>
      <c r="AW223">
        <v>32.256916666666697</v>
      </c>
      <c r="AX223">
        <v>31.018249999999998</v>
      </c>
      <c r="AY223">
        <v>29.69725</v>
      </c>
      <c r="AZ223">
        <v>24.694333333333301</v>
      </c>
      <c r="BA223">
        <v>21.361416666666699</v>
      </c>
      <c r="BB223">
        <v>0.71695770201613596</v>
      </c>
      <c r="BC223">
        <v>0.75430899010596097</v>
      </c>
      <c r="BD223">
        <v>0.71841389865331695</v>
      </c>
      <c r="BE223">
        <v>0.77833812041681205</v>
      </c>
      <c r="BF223">
        <v>0.75294512270199598</v>
      </c>
      <c r="BG223">
        <v>0.75272819693260296</v>
      </c>
      <c r="BH223">
        <v>0.90129642336709603</v>
      </c>
      <c r="BI223">
        <v>0.90342143625726301</v>
      </c>
      <c r="BJ223">
        <v>0.88520550826937205</v>
      </c>
      <c r="BK223">
        <v>0.84677266710811105</v>
      </c>
      <c r="BL223">
        <v>0.89327625706740899</v>
      </c>
      <c r="BM223">
        <v>0.87550639698799804</v>
      </c>
      <c r="BN223">
        <v>0.84549413889045</v>
      </c>
      <c r="BO223">
        <v>0.94962375315694103</v>
      </c>
      <c r="BP223">
        <v>0.92483955847069799</v>
      </c>
      <c r="BQ223">
        <v>0.92388954611760699</v>
      </c>
    </row>
    <row r="224" spans="1:69" x14ac:dyDescent="0.3">
      <c r="A224" t="s">
        <v>450</v>
      </c>
      <c r="B224" t="s">
        <v>451</v>
      </c>
      <c r="C224" t="s">
        <v>6</v>
      </c>
      <c r="D224" t="s">
        <v>7</v>
      </c>
      <c r="AJ224">
        <v>27.571200000000001</v>
      </c>
      <c r="AK224">
        <v>81.286991666666694</v>
      </c>
      <c r="AL224">
        <v>113.24188333333301</v>
      </c>
      <c r="AM224">
        <v>128.808558333333</v>
      </c>
      <c r="AN224">
        <v>118.518466666667</v>
      </c>
      <c r="AO224">
        <v>135.36430833333301</v>
      </c>
      <c r="AP224">
        <v>159.68833333333299</v>
      </c>
      <c r="AQ224">
        <v>166.134166666667</v>
      </c>
      <c r="AR224">
        <v>181.76919333333299</v>
      </c>
      <c r="AS224">
        <v>222.65608583333301</v>
      </c>
      <c r="AT224">
        <v>242.74883500000001</v>
      </c>
      <c r="AU224">
        <v>240.24821499999999</v>
      </c>
      <c r="AV224">
        <v>207.11371569658101</v>
      </c>
      <c r="AW224">
        <v>192.38112433333299</v>
      </c>
      <c r="AX224">
        <v>192.705468</v>
      </c>
      <c r="AY224">
        <v>191.02825783333299</v>
      </c>
      <c r="AZ224">
        <v>0.72967239998408295</v>
      </c>
      <c r="BA224">
        <v>0.67992268004272904</v>
      </c>
      <c r="BB224">
        <v>0.71695770201613596</v>
      </c>
      <c r="BC224">
        <v>0.75430899010596097</v>
      </c>
      <c r="BD224">
        <v>0.71841389865331695</v>
      </c>
      <c r="BE224">
        <v>0.77833812041681205</v>
      </c>
      <c r="BF224">
        <v>0.75294512270199598</v>
      </c>
      <c r="BG224">
        <v>0.75272819693260296</v>
      </c>
      <c r="BH224">
        <v>0.90129642336709603</v>
      </c>
      <c r="BI224">
        <v>0.90342143625726301</v>
      </c>
      <c r="BJ224">
        <v>0.88520550826937205</v>
      </c>
      <c r="BK224">
        <v>0.84677266710811105</v>
      </c>
      <c r="BL224">
        <v>0.89327625706740899</v>
      </c>
      <c r="BM224">
        <v>0.87550639698799804</v>
      </c>
      <c r="BN224">
        <v>0.84549413889045</v>
      </c>
      <c r="BO224">
        <v>0.94962375315694103</v>
      </c>
      <c r="BP224">
        <v>0.92483955847069799</v>
      </c>
      <c r="BQ224">
        <v>0.92388954611760699</v>
      </c>
    </row>
    <row r="225" spans="1:69" x14ac:dyDescent="0.3">
      <c r="A225" t="s">
        <v>452</v>
      </c>
      <c r="B225" t="s">
        <v>453</v>
      </c>
      <c r="C225" t="s">
        <v>6</v>
      </c>
      <c r="D225" t="s">
        <v>7</v>
      </c>
      <c r="E225">
        <v>5.1732100041732103</v>
      </c>
      <c r="F225">
        <v>5.1732100041732103</v>
      </c>
      <c r="G225">
        <v>5.1732100041732103</v>
      </c>
      <c r="H225">
        <v>5.1732100041732103</v>
      </c>
      <c r="I225">
        <v>5.1732100041732103</v>
      </c>
      <c r="J225">
        <v>5.1732100041732103</v>
      </c>
      <c r="K225">
        <v>5.1732100041732103</v>
      </c>
      <c r="L225">
        <v>5.1732100041732103</v>
      </c>
      <c r="M225">
        <v>5.1732100041732103</v>
      </c>
      <c r="N225">
        <v>5.1732100041732103</v>
      </c>
      <c r="O225">
        <v>5.1732100041732103</v>
      </c>
      <c r="P225">
        <v>5.1259052475026898</v>
      </c>
      <c r="Q225">
        <v>4.7624166656666702</v>
      </c>
      <c r="R225">
        <v>4.3672499990000002</v>
      </c>
      <c r="S225">
        <v>4.4394249989999999</v>
      </c>
      <c r="T225">
        <v>4.1521916656666704</v>
      </c>
      <c r="U225">
        <v>4.35589166566667</v>
      </c>
      <c r="V225">
        <v>4.4816416656666602</v>
      </c>
      <c r="W225">
        <v>4.5184749990000004</v>
      </c>
      <c r="X225">
        <v>4.2870833323333297</v>
      </c>
      <c r="Y225">
        <v>4.2295749989999996</v>
      </c>
      <c r="Z225">
        <v>5.0634416656666703</v>
      </c>
      <c r="AA225">
        <v>6.2826083323333304</v>
      </c>
      <c r="AB225">
        <v>7.6671083323333296</v>
      </c>
      <c r="AC225">
        <v>8.2717999994166593</v>
      </c>
      <c r="AD225">
        <v>8.6039249996666705</v>
      </c>
      <c r="AE225">
        <v>7.1235833333333298</v>
      </c>
      <c r="AF225">
        <v>6.3404416666666696</v>
      </c>
      <c r="AG225">
        <v>6.1271500000000003</v>
      </c>
      <c r="AH225">
        <v>6.4468758333333298</v>
      </c>
      <c r="AI225">
        <v>5.9187900000000004</v>
      </c>
      <c r="AJ225">
        <v>6.0474666666666597</v>
      </c>
      <c r="AK225">
        <v>5.8238333333333303</v>
      </c>
      <c r="AL225">
        <v>7.7834266666666698</v>
      </c>
      <c r="AM225">
        <v>7.7159700000000004</v>
      </c>
      <c r="AN225">
        <v>7.1332683333333398</v>
      </c>
      <c r="AO225">
        <v>6.7059558333333298</v>
      </c>
      <c r="AP225">
        <v>7.6348941666666699</v>
      </c>
      <c r="AQ225">
        <v>7.9498681666666604</v>
      </c>
      <c r="AR225">
        <v>8.2624283333333306</v>
      </c>
      <c r="AS225">
        <v>9.1622441666666692</v>
      </c>
      <c r="AT225">
        <v>10.3291358333333</v>
      </c>
      <c r="AU225">
        <v>9.7371233333333294</v>
      </c>
      <c r="AV225">
        <v>8.08630416666667</v>
      </c>
      <c r="AW225">
        <v>7.3488866666666697</v>
      </c>
      <c r="AX225">
        <v>7.4730883333333296</v>
      </c>
      <c r="AY225">
        <v>7.3782491666666603</v>
      </c>
      <c r="AZ225">
        <v>6.7587700000000002</v>
      </c>
      <c r="BA225">
        <v>6.5910991666666696</v>
      </c>
      <c r="BB225">
        <v>7.6538191666666702</v>
      </c>
      <c r="BC225">
        <v>7.2075241666666701</v>
      </c>
      <c r="BD225">
        <v>6.4935433333333297</v>
      </c>
      <c r="BE225">
        <v>6.7750158333333301</v>
      </c>
      <c r="BF225">
        <v>6.5139716666666603</v>
      </c>
      <c r="BG225">
        <v>6.8607849999999999</v>
      </c>
      <c r="BH225">
        <v>8.4348408333333307</v>
      </c>
      <c r="BI225">
        <v>8.5619916666666693</v>
      </c>
      <c r="BJ225">
        <v>8.5488608333333307</v>
      </c>
      <c r="BK225">
        <v>8.6925183333333305</v>
      </c>
      <c r="BL225">
        <v>9.4583491666666699</v>
      </c>
      <c r="BM225">
        <v>9.2103090284208502</v>
      </c>
      <c r="BN225">
        <v>8.5765667160737795</v>
      </c>
      <c r="BO225">
        <v>10.114251277564</v>
      </c>
      <c r="BP225">
        <v>10.610161296553599</v>
      </c>
      <c r="BQ225">
        <v>10.5676364344775</v>
      </c>
    </row>
    <row r="226" spans="1:69" x14ac:dyDescent="0.3">
      <c r="A226" t="s">
        <v>454</v>
      </c>
      <c r="B226" t="s">
        <v>455</v>
      </c>
      <c r="C226" t="s">
        <v>6</v>
      </c>
      <c r="D226" t="s">
        <v>7</v>
      </c>
      <c r="E226">
        <v>0.71428599971428597</v>
      </c>
      <c r="F226">
        <v>0.71428599971428597</v>
      </c>
      <c r="G226">
        <v>0.71428599971428597</v>
      </c>
      <c r="H226">
        <v>0.71428599971428597</v>
      </c>
      <c r="I226">
        <v>0.71428599971428597</v>
      </c>
      <c r="J226">
        <v>0.71428599971428597</v>
      </c>
      <c r="K226">
        <v>0.71428599971428597</v>
      </c>
      <c r="L226">
        <v>0.71428599971428597</v>
      </c>
      <c r="M226">
        <v>0.71428599971428597</v>
      </c>
      <c r="N226">
        <v>0.71428599971428597</v>
      </c>
      <c r="O226">
        <v>0.71428599971428597</v>
      </c>
      <c r="P226">
        <v>0.71521691632142903</v>
      </c>
      <c r="Q226">
        <v>0.76872523719602703</v>
      </c>
      <c r="R226">
        <v>0.69395909802109201</v>
      </c>
      <c r="S226">
        <v>0.67947700357025098</v>
      </c>
      <c r="T226">
        <v>0.73950775529633594</v>
      </c>
      <c r="U226">
        <v>0.86956521814744803</v>
      </c>
      <c r="V226">
        <v>0.86956521814744803</v>
      </c>
      <c r="W226">
        <v>0.86956521814744803</v>
      </c>
      <c r="X226">
        <v>0.84202260193494305</v>
      </c>
      <c r="Y226">
        <v>0.77883373727604099</v>
      </c>
      <c r="Z226">
        <v>0.87757894275815396</v>
      </c>
      <c r="AA226">
        <v>1.0858158330833301</v>
      </c>
      <c r="AB226">
        <v>1.1140999997500001</v>
      </c>
      <c r="AC226">
        <v>1.47527749975</v>
      </c>
      <c r="AD226">
        <v>2.2286749994166701</v>
      </c>
      <c r="AE226">
        <v>2.2850316664166699</v>
      </c>
      <c r="AF226">
        <v>2.03603333333333</v>
      </c>
      <c r="AG226">
        <v>2.2734675000000002</v>
      </c>
      <c r="AH226">
        <v>2.6226775</v>
      </c>
      <c r="AI226">
        <v>2.58732083333333</v>
      </c>
      <c r="AJ226">
        <v>2.7613150000000002</v>
      </c>
      <c r="AK226">
        <v>2.8520141666666698</v>
      </c>
      <c r="AL226">
        <v>3.2677415833333301</v>
      </c>
      <c r="AM226">
        <v>3.5507983333333302</v>
      </c>
      <c r="AN226">
        <v>3.6270850000000001</v>
      </c>
      <c r="AO226">
        <v>4.2993491666666701</v>
      </c>
      <c r="AP226">
        <v>4.6079616666666698</v>
      </c>
      <c r="AQ226">
        <v>5.52828416666667</v>
      </c>
      <c r="AR226">
        <v>6.1094841666666699</v>
      </c>
      <c r="AS226">
        <v>6.9398283333333302</v>
      </c>
      <c r="AT226">
        <v>8.6091808333333297</v>
      </c>
      <c r="AU226">
        <v>10.540746666666699</v>
      </c>
      <c r="AV226">
        <v>7.5647491666666697</v>
      </c>
      <c r="AW226">
        <v>6.4596925000000001</v>
      </c>
      <c r="AX226">
        <v>6.3593283333333304</v>
      </c>
      <c r="AY226">
        <v>6.7715491666666701</v>
      </c>
      <c r="AZ226">
        <v>7.0453650000000003</v>
      </c>
      <c r="BA226">
        <v>8.26122333333333</v>
      </c>
      <c r="BB226">
        <v>8.4736741582488797</v>
      </c>
      <c r="BC226">
        <v>7.3212219611528804</v>
      </c>
      <c r="BD226">
        <v>7.2611321323273499</v>
      </c>
      <c r="BE226">
        <v>8.2099686265933105</v>
      </c>
      <c r="BF226">
        <v>9.6550560691352594</v>
      </c>
      <c r="BG226">
        <v>10.852655568783099</v>
      </c>
      <c r="BH226">
        <v>12.7589308811644</v>
      </c>
      <c r="BI226">
        <v>14.7096108855267</v>
      </c>
      <c r="BJ226">
        <v>13.3238014244992</v>
      </c>
      <c r="BK226">
        <v>13.233926471583301</v>
      </c>
      <c r="BL226">
        <v>14.451789228882401</v>
      </c>
      <c r="BM226">
        <v>16.470255865432499</v>
      </c>
      <c r="BN226">
        <v>14.783435139578399</v>
      </c>
      <c r="BO226">
        <v>16.362283055928199</v>
      </c>
      <c r="BP226">
        <v>18.453592491744899</v>
      </c>
      <c r="BQ226">
        <v>18.317686831085599</v>
      </c>
    </row>
    <row r="227" spans="1:69" x14ac:dyDescent="0.3">
      <c r="A227" t="s">
        <v>456</v>
      </c>
      <c r="B227" t="s">
        <v>457</v>
      </c>
      <c r="C227" t="s">
        <v>6</v>
      </c>
      <c r="D227" t="s">
        <v>7</v>
      </c>
      <c r="BD227">
        <v>1.79</v>
      </c>
      <c r="BE227">
        <v>1.79</v>
      </c>
      <c r="BF227">
        <v>1.79</v>
      </c>
      <c r="BG227">
        <v>1.79</v>
      </c>
      <c r="BH227">
        <v>1.79</v>
      </c>
      <c r="BI227">
        <v>1.79</v>
      </c>
      <c r="BJ227">
        <v>1.79</v>
      </c>
      <c r="BK227">
        <v>1.79</v>
      </c>
      <c r="BL227">
        <v>1.79</v>
      </c>
      <c r="BM227">
        <v>1.79</v>
      </c>
      <c r="BN227">
        <v>1.79</v>
      </c>
      <c r="BO227">
        <v>1.79</v>
      </c>
      <c r="BP227">
        <v>1.79</v>
      </c>
      <c r="BQ227">
        <v>1.79</v>
      </c>
    </row>
    <row r="228" spans="1:69" x14ac:dyDescent="0.3">
      <c r="A228" t="s">
        <v>458</v>
      </c>
      <c r="B228" t="s">
        <v>459</v>
      </c>
      <c r="C228" t="s">
        <v>6</v>
      </c>
      <c r="D228" t="s">
        <v>7</v>
      </c>
      <c r="E228">
        <v>4.7618947529714504</v>
      </c>
      <c r="F228">
        <v>4.7618947529714504</v>
      </c>
      <c r="G228">
        <v>4.7618947529714504</v>
      </c>
      <c r="H228">
        <v>4.7618947529714504</v>
      </c>
      <c r="I228">
        <v>4.7618947529714504</v>
      </c>
      <c r="J228">
        <v>4.7618947529714504</v>
      </c>
      <c r="K228">
        <v>4.7618947529714504</v>
      </c>
      <c r="L228">
        <v>4.8280328026350103</v>
      </c>
      <c r="M228">
        <v>5.5555461029055797</v>
      </c>
      <c r="N228">
        <v>5.5555461029055797</v>
      </c>
      <c r="O228">
        <v>5.5555461029055797</v>
      </c>
      <c r="P228">
        <v>5.4857627546936696</v>
      </c>
      <c r="Q228">
        <v>5.3385333323333404</v>
      </c>
      <c r="R228">
        <v>5.4422833323333304</v>
      </c>
      <c r="S228">
        <v>5.7030916656666699</v>
      </c>
      <c r="T228">
        <v>6.0267999989999996</v>
      </c>
      <c r="U228">
        <v>7.4188833324166703</v>
      </c>
      <c r="V228">
        <v>7.6433833323333298</v>
      </c>
      <c r="W228">
        <v>6.9524666656666696</v>
      </c>
      <c r="X228">
        <v>6.332649999</v>
      </c>
      <c r="Y228">
        <v>6.3919499990000004</v>
      </c>
      <c r="Z228">
        <v>6.3149249989999996</v>
      </c>
      <c r="AA228">
        <v>6.5525416656666602</v>
      </c>
      <c r="AB228">
        <v>6.7676416656666696</v>
      </c>
      <c r="AC228">
        <v>7.0588666662500001</v>
      </c>
      <c r="AD228">
        <v>7.1343333333333296</v>
      </c>
      <c r="AE228">
        <v>6.17679166666667</v>
      </c>
      <c r="AF228">
        <v>5.6000083333333297</v>
      </c>
      <c r="AG228">
        <v>5.3835666666666704</v>
      </c>
      <c r="AH228">
        <v>5.6457166666666696</v>
      </c>
      <c r="AI228">
        <v>5.3369</v>
      </c>
      <c r="AJ228">
        <v>5.2893083333333299</v>
      </c>
      <c r="AK228">
        <v>5.12198333333333</v>
      </c>
      <c r="AL228">
        <v>5.1815333333333298</v>
      </c>
      <c r="AM228">
        <v>5.0558583333333296</v>
      </c>
      <c r="AN228">
        <v>4.7619749999999996</v>
      </c>
      <c r="AO228">
        <v>4.9699833333333299</v>
      </c>
      <c r="AP228">
        <v>5.0263416666666698</v>
      </c>
      <c r="AQ228">
        <v>5.2621916666666602</v>
      </c>
      <c r="AR228">
        <v>5.3425833333333301</v>
      </c>
      <c r="AS228">
        <v>5.7138166666666699</v>
      </c>
      <c r="AT228">
        <v>5.8575416666666698</v>
      </c>
      <c r="AU228">
        <v>5.4800333333333304</v>
      </c>
      <c r="AV228">
        <v>5.4007166666666704</v>
      </c>
      <c r="AW228">
        <v>5.5</v>
      </c>
      <c r="AX228">
        <v>5.5</v>
      </c>
      <c r="AY228">
        <v>5.5196916666666702</v>
      </c>
      <c r="AZ228">
        <v>6.7010595376306004</v>
      </c>
      <c r="BA228">
        <v>9.4572432834492108</v>
      </c>
      <c r="BB228">
        <v>13.609940452489999</v>
      </c>
      <c r="BC228">
        <v>12.06775664095</v>
      </c>
      <c r="BD228">
        <v>12.381031907384401</v>
      </c>
      <c r="BE228">
        <v>13.704031214932501</v>
      </c>
      <c r="BF228">
        <v>12.0583166666667</v>
      </c>
      <c r="BG228">
        <v>12.747033333333301</v>
      </c>
      <c r="BH228">
        <v>13.313924999999999</v>
      </c>
      <c r="BI228">
        <v>13.3191166666667</v>
      </c>
      <c r="BJ228">
        <v>13.6478416666667</v>
      </c>
      <c r="BK228">
        <v>13.9111166666667</v>
      </c>
      <c r="BL228">
        <v>14.033250000000001</v>
      </c>
      <c r="BM228">
        <v>17.616518755411299</v>
      </c>
      <c r="BN228">
        <v>16.9205225709613</v>
      </c>
      <c r="BO228">
        <v>14.2727945255291</v>
      </c>
      <c r="BP228">
        <v>14.0181106992979</v>
      </c>
      <c r="BQ228">
        <v>14.5296931907518</v>
      </c>
    </row>
    <row r="229" spans="1:69" x14ac:dyDescent="0.3">
      <c r="A229" t="s">
        <v>460</v>
      </c>
      <c r="B229" t="s">
        <v>461</v>
      </c>
      <c r="C229" t="s">
        <v>6</v>
      </c>
      <c r="D229" t="s">
        <v>7</v>
      </c>
      <c r="E229">
        <v>3.579999999</v>
      </c>
      <c r="F229">
        <v>3.579999999</v>
      </c>
      <c r="G229">
        <v>3.6899999989999999</v>
      </c>
      <c r="H229">
        <v>3.8199999990000002</v>
      </c>
      <c r="I229">
        <v>3.8199999990000002</v>
      </c>
      <c r="J229">
        <v>3.8199999990000002</v>
      </c>
      <c r="K229">
        <v>3.8199999990000002</v>
      </c>
      <c r="L229">
        <v>3.8199999990000002</v>
      </c>
      <c r="M229">
        <v>3.8199999990000002</v>
      </c>
      <c r="N229">
        <v>3.8199999990000002</v>
      </c>
      <c r="O229">
        <v>3.8199999990000002</v>
      </c>
      <c r="P229">
        <v>3.8199999990000002</v>
      </c>
      <c r="Q229">
        <v>3.8199999990000002</v>
      </c>
      <c r="R229">
        <v>3.8232499990000002</v>
      </c>
      <c r="S229">
        <v>3.7329166656666701</v>
      </c>
      <c r="T229">
        <v>3.6999999990000001</v>
      </c>
      <c r="U229">
        <v>3.8526666656666699</v>
      </c>
      <c r="V229">
        <v>3.9249999990000002</v>
      </c>
      <c r="W229">
        <v>3.9249999990000002</v>
      </c>
      <c r="X229">
        <v>3.9249999990000002</v>
      </c>
      <c r="Y229">
        <v>3.9249999990000002</v>
      </c>
      <c r="Z229">
        <v>3.9249999990000002</v>
      </c>
      <c r="AA229">
        <v>3.9249999990000002</v>
      </c>
      <c r="AB229">
        <v>3.9249999990000002</v>
      </c>
      <c r="AC229">
        <v>3.92499999958333</v>
      </c>
      <c r="AD229">
        <v>3.9249999999999998</v>
      </c>
      <c r="AE229">
        <v>3.9249999999999998</v>
      </c>
      <c r="AF229">
        <v>3.9249999999999998</v>
      </c>
      <c r="AG229">
        <v>11.225</v>
      </c>
      <c r="AH229">
        <v>11.225</v>
      </c>
      <c r="AI229">
        <v>11.225</v>
      </c>
      <c r="AJ229">
        <v>11.225</v>
      </c>
      <c r="AK229">
        <v>11.225</v>
      </c>
      <c r="AL229">
        <v>11.225</v>
      </c>
      <c r="AM229">
        <v>11.225</v>
      </c>
      <c r="AN229">
        <v>11.225</v>
      </c>
      <c r="AO229">
        <v>11.225</v>
      </c>
      <c r="AP229">
        <v>11.225</v>
      </c>
      <c r="AQ229">
        <v>11.225</v>
      </c>
      <c r="AR229">
        <v>11.225</v>
      </c>
      <c r="AS229">
        <v>11.225</v>
      </c>
      <c r="AT229">
        <v>11.225</v>
      </c>
      <c r="AU229">
        <v>11.225</v>
      </c>
      <c r="AV229">
        <v>11.225</v>
      </c>
      <c r="AW229">
        <v>11.225</v>
      </c>
      <c r="AX229">
        <v>11.225</v>
      </c>
      <c r="AY229">
        <v>11.225</v>
      </c>
      <c r="AZ229">
        <v>11.225</v>
      </c>
      <c r="BA229">
        <v>11.225</v>
      </c>
      <c r="BB229">
        <v>11.225</v>
      </c>
      <c r="BC229">
        <v>11.225</v>
      </c>
      <c r="BD229">
        <v>48.336666666666702</v>
      </c>
      <c r="BE229">
        <v>64.580833333333302</v>
      </c>
      <c r="BF229">
        <v>108.73333333333299</v>
      </c>
      <c r="BG229">
        <v>154.13</v>
      </c>
      <c r="BH229">
        <v>237.02916666666701</v>
      </c>
      <c r="BI229">
        <v>460.27583333333303</v>
      </c>
      <c r="BJ229">
        <v>492.61083333333301</v>
      </c>
      <c r="BK229">
        <v>436.5</v>
      </c>
      <c r="BL229">
        <v>436.5</v>
      </c>
      <c r="BM229">
        <v>877.94525089605702</v>
      </c>
      <c r="BN229">
        <v>1256</v>
      </c>
      <c r="BO229">
        <v>2505.7469108587302</v>
      </c>
    </row>
    <row r="230" spans="1:69" x14ac:dyDescent="0.3">
      <c r="A230" t="s">
        <v>462</v>
      </c>
      <c r="B230" t="s">
        <v>463</v>
      </c>
      <c r="C230" t="s">
        <v>6</v>
      </c>
      <c r="D230" t="s">
        <v>7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</row>
    <row r="231" spans="1:69" x14ac:dyDescent="0.3">
      <c r="A231" t="s">
        <v>464</v>
      </c>
      <c r="B231" t="s">
        <v>465</v>
      </c>
      <c r="C231" t="s">
        <v>6</v>
      </c>
      <c r="D231" t="s">
        <v>7</v>
      </c>
      <c r="E231">
        <v>245.19510139835899</v>
      </c>
      <c r="F231">
        <v>245.26010162116</v>
      </c>
      <c r="G231">
        <v>245.013850686544</v>
      </c>
      <c r="H231">
        <v>245.01635069607499</v>
      </c>
      <c r="I231">
        <v>245.027184079042</v>
      </c>
      <c r="J231">
        <v>245.06093420770799</v>
      </c>
      <c r="K231">
        <v>245.67843655764401</v>
      </c>
      <c r="L231">
        <v>246.00093779128099</v>
      </c>
      <c r="M231">
        <v>247.56469375695099</v>
      </c>
      <c r="N231">
        <v>259.960574351236</v>
      </c>
      <c r="O231">
        <v>276.403137026845</v>
      </c>
      <c r="P231">
        <v>275.35645668533198</v>
      </c>
      <c r="Q231">
        <v>252.02762746264901</v>
      </c>
      <c r="R231">
        <v>222.88918305322699</v>
      </c>
      <c r="S231">
        <v>240.70466763782301</v>
      </c>
      <c r="T231">
        <v>214.31290034121901</v>
      </c>
      <c r="U231">
        <v>238.95049426705901</v>
      </c>
      <c r="V231">
        <v>245.67968656657601</v>
      </c>
      <c r="W231">
        <v>225.65586023395699</v>
      </c>
      <c r="X231">
        <v>212.721644262377</v>
      </c>
      <c r="Y231">
        <v>211.27955541470499</v>
      </c>
      <c r="Z231">
        <v>271.73145255032699</v>
      </c>
      <c r="AA231">
        <v>328.60625269898998</v>
      </c>
      <c r="AB231">
        <v>381.06603602462798</v>
      </c>
      <c r="AC231">
        <v>436.95666578800802</v>
      </c>
      <c r="AD231">
        <v>449.26296271160697</v>
      </c>
      <c r="AE231">
        <v>346.305903554493</v>
      </c>
      <c r="AF231">
        <v>300.53656240147802</v>
      </c>
      <c r="AG231">
        <v>297.84821881937802</v>
      </c>
      <c r="AH231">
        <v>319.008299487903</v>
      </c>
      <c r="AI231">
        <v>272.264787954393</v>
      </c>
      <c r="AJ231">
        <v>282.10690880881998</v>
      </c>
      <c r="AK231">
        <v>264.69180075057898</v>
      </c>
      <c r="AL231">
        <v>283.16257950001801</v>
      </c>
      <c r="AM231">
        <v>555.20469565569704</v>
      </c>
      <c r="AN231">
        <v>499.14842590131002</v>
      </c>
      <c r="AO231">
        <v>511.55243027251601</v>
      </c>
      <c r="AP231">
        <v>583.66937235339606</v>
      </c>
      <c r="AQ231">
        <v>589.951774567332</v>
      </c>
      <c r="AR231">
        <v>615.47334931916396</v>
      </c>
      <c r="AS231">
        <v>710.20797703136702</v>
      </c>
      <c r="AT231">
        <v>732.39769326022804</v>
      </c>
      <c r="AU231">
        <v>693.71322649637398</v>
      </c>
      <c r="AV231">
        <v>579.897426172466</v>
      </c>
      <c r="AW231">
        <v>527.33803229157604</v>
      </c>
      <c r="AX231">
        <v>527.25836264962595</v>
      </c>
      <c r="AY231">
        <v>522.42562489517604</v>
      </c>
      <c r="AZ231">
        <v>478.63371847636301</v>
      </c>
      <c r="BA231">
        <v>446.00004143278801</v>
      </c>
      <c r="BB231">
        <v>470.29342334139801</v>
      </c>
      <c r="BC231">
        <v>494.794262222947</v>
      </c>
      <c r="BD231">
        <v>471.24862571893698</v>
      </c>
      <c r="BE231">
        <v>510.55633845425098</v>
      </c>
      <c r="BF231">
        <v>493.89962385223703</v>
      </c>
      <c r="BG231">
        <v>493.757329875312</v>
      </c>
      <c r="BH231">
        <v>591.21169798260996</v>
      </c>
      <c r="BI231">
        <v>592.60561506302201</v>
      </c>
      <c r="BJ231">
        <v>580.65674958785803</v>
      </c>
      <c r="BK231">
        <v>555.44645839822601</v>
      </c>
      <c r="BL231">
        <v>585.91101318036897</v>
      </c>
      <c r="BM231">
        <v>575.58600451094503</v>
      </c>
      <c r="BN231">
        <v>554.53067503310399</v>
      </c>
      <c r="BO231">
        <v>623.75970091118199</v>
      </c>
      <c r="BP231">
        <v>606.56975016591696</v>
      </c>
      <c r="BQ231">
        <v>606.34529760906298</v>
      </c>
    </row>
    <row r="232" spans="1:69" x14ac:dyDescent="0.3">
      <c r="A232" t="s">
        <v>466</v>
      </c>
      <c r="B232" t="s">
        <v>467</v>
      </c>
      <c r="C232" t="s">
        <v>6</v>
      </c>
      <c r="D232" t="s">
        <v>7</v>
      </c>
    </row>
    <row r="233" spans="1:69" x14ac:dyDescent="0.3">
      <c r="A233" t="s">
        <v>468</v>
      </c>
      <c r="B233" t="s">
        <v>469</v>
      </c>
      <c r="C233" t="s">
        <v>6</v>
      </c>
      <c r="D233" t="s">
        <v>7</v>
      </c>
    </row>
    <row r="234" spans="1:69" x14ac:dyDescent="0.3">
      <c r="A234" t="s">
        <v>470</v>
      </c>
      <c r="B234" t="s">
        <v>471</v>
      </c>
      <c r="C234" t="s">
        <v>6</v>
      </c>
      <c r="D234" t="s">
        <v>7</v>
      </c>
      <c r="E234">
        <v>245.19510139835899</v>
      </c>
      <c r="F234">
        <v>245.26010162116</v>
      </c>
      <c r="G234">
        <v>245.013850686544</v>
      </c>
      <c r="H234">
        <v>245.01635069607499</v>
      </c>
      <c r="I234">
        <v>245.027184079042</v>
      </c>
      <c r="J234">
        <v>245.06093420770799</v>
      </c>
      <c r="K234">
        <v>245.67843655764401</v>
      </c>
      <c r="L234">
        <v>246.00093779128099</v>
      </c>
      <c r="M234">
        <v>247.56469375695099</v>
      </c>
      <c r="N234">
        <v>259.960574351236</v>
      </c>
      <c r="O234">
        <v>276.403137026845</v>
      </c>
      <c r="P234">
        <v>275.35645668533198</v>
      </c>
      <c r="Q234">
        <v>252.02762746264901</v>
      </c>
      <c r="R234">
        <v>222.88918305322699</v>
      </c>
      <c r="S234">
        <v>240.70466763782301</v>
      </c>
      <c r="T234">
        <v>214.31290034121901</v>
      </c>
      <c r="U234">
        <v>238.95049426705901</v>
      </c>
      <c r="V234">
        <v>245.67968656657601</v>
      </c>
      <c r="W234">
        <v>225.65586023395699</v>
      </c>
      <c r="X234">
        <v>212.721644262377</v>
      </c>
      <c r="Y234">
        <v>211.27955541470499</v>
      </c>
      <c r="Z234">
        <v>271.73145255032699</v>
      </c>
      <c r="AA234">
        <v>328.60625269898998</v>
      </c>
      <c r="AB234">
        <v>381.06603602462798</v>
      </c>
      <c r="AC234">
        <v>436.95666578800802</v>
      </c>
      <c r="AD234">
        <v>449.26296271160697</v>
      </c>
      <c r="AE234">
        <v>346.305903554493</v>
      </c>
      <c r="AF234">
        <v>300.53656240147802</v>
      </c>
      <c r="AG234">
        <v>297.84821881937802</v>
      </c>
      <c r="AH234">
        <v>319.008299487903</v>
      </c>
      <c r="AI234">
        <v>272.264787954393</v>
      </c>
      <c r="AJ234">
        <v>282.10690880881998</v>
      </c>
      <c r="AK234">
        <v>264.69180075057898</v>
      </c>
      <c r="AL234">
        <v>283.16257950001801</v>
      </c>
      <c r="AM234">
        <v>555.20469565569704</v>
      </c>
      <c r="AN234">
        <v>499.14842590131002</v>
      </c>
      <c r="AO234">
        <v>511.55243027251601</v>
      </c>
      <c r="AP234">
        <v>583.66937235339606</v>
      </c>
      <c r="AQ234">
        <v>589.951774567332</v>
      </c>
      <c r="AR234">
        <v>615.47334931916396</v>
      </c>
      <c r="AS234">
        <v>710.20797703136702</v>
      </c>
      <c r="AT234">
        <v>732.39769326022804</v>
      </c>
      <c r="AU234">
        <v>693.71322649637398</v>
      </c>
      <c r="AV234">
        <v>579.897426172466</v>
      </c>
      <c r="AW234">
        <v>527.33803229157604</v>
      </c>
      <c r="AX234">
        <v>527.25836264962595</v>
      </c>
      <c r="AY234">
        <v>522.42562489517604</v>
      </c>
      <c r="AZ234">
        <v>478.63371847636301</v>
      </c>
      <c r="BA234">
        <v>446.00004143278801</v>
      </c>
      <c r="BB234">
        <v>470.29342334139801</v>
      </c>
      <c r="BC234">
        <v>494.794262222947</v>
      </c>
      <c r="BD234">
        <v>471.24862571893698</v>
      </c>
      <c r="BE234">
        <v>510.55633845425098</v>
      </c>
      <c r="BF234">
        <v>493.89962385223703</v>
      </c>
      <c r="BG234">
        <v>493.757329875312</v>
      </c>
      <c r="BH234">
        <v>591.21169798260996</v>
      </c>
      <c r="BI234">
        <v>592.60561506302201</v>
      </c>
      <c r="BJ234">
        <v>580.65674958785803</v>
      </c>
      <c r="BK234">
        <v>555.44645839822601</v>
      </c>
      <c r="BL234">
        <v>585.91101318036897</v>
      </c>
      <c r="BM234">
        <v>575.58600451094503</v>
      </c>
      <c r="BN234">
        <v>554.53067503310399</v>
      </c>
      <c r="BO234">
        <v>623.75970091118199</v>
      </c>
      <c r="BP234">
        <v>606.56975016591696</v>
      </c>
      <c r="BQ234">
        <v>606.34529760906298</v>
      </c>
    </row>
    <row r="235" spans="1:69" x14ac:dyDescent="0.3">
      <c r="A235" t="s">
        <v>472</v>
      </c>
      <c r="B235" t="s">
        <v>473</v>
      </c>
      <c r="C235" t="s">
        <v>6</v>
      </c>
      <c r="D235" t="s">
        <v>7</v>
      </c>
      <c r="E235">
        <v>21.181773533674701</v>
      </c>
      <c r="F235">
        <v>21.058439578086801</v>
      </c>
      <c r="G235">
        <v>20.880105345007198</v>
      </c>
      <c r="H235">
        <v>20.830078862346198</v>
      </c>
      <c r="I235">
        <v>20.800000019799999</v>
      </c>
      <c r="J235">
        <v>20.800000019799999</v>
      </c>
      <c r="K235">
        <v>20.800000019799999</v>
      </c>
      <c r="L235">
        <v>20.800000019799999</v>
      </c>
      <c r="M235">
        <v>20.800000019799999</v>
      </c>
      <c r="N235">
        <v>20.800000019799999</v>
      </c>
      <c r="O235">
        <v>20.800000019799999</v>
      </c>
      <c r="P235">
        <v>20.800000018066701</v>
      </c>
      <c r="Q235">
        <v>20.800029492037499</v>
      </c>
      <c r="R235">
        <v>20.619581636391299</v>
      </c>
      <c r="S235">
        <v>20.375102798127202</v>
      </c>
      <c r="T235">
        <v>20.379269485649299</v>
      </c>
      <c r="U235">
        <v>20.400102923259801</v>
      </c>
      <c r="V235">
        <v>20.400102923259801</v>
      </c>
      <c r="W235">
        <v>20.336102600360199</v>
      </c>
      <c r="X235">
        <v>20.418936351696502</v>
      </c>
      <c r="Y235">
        <v>20.476353308047798</v>
      </c>
      <c r="Z235">
        <v>21.820443423110699</v>
      </c>
      <c r="AA235">
        <v>23.000116042057702</v>
      </c>
      <c r="AB235">
        <v>23.000116042057702</v>
      </c>
      <c r="AC235">
        <v>23.639369267103401</v>
      </c>
      <c r="AD235">
        <v>27.158887023977499</v>
      </c>
      <c r="AE235">
        <v>26.2988826852636</v>
      </c>
      <c r="AF235">
        <v>25.722796445413099</v>
      </c>
      <c r="AG235">
        <v>25.293877614730199</v>
      </c>
      <c r="AH235">
        <v>25.702046340723001</v>
      </c>
      <c r="AI235">
        <v>25.585462419191</v>
      </c>
      <c r="AJ235">
        <v>25.5167954060799</v>
      </c>
      <c r="AK235">
        <v>25.400128150794099</v>
      </c>
      <c r="AL235">
        <v>25.319611077896099</v>
      </c>
      <c r="AM235">
        <v>25.1499518885845</v>
      </c>
      <c r="AN235">
        <v>24.915175704072599</v>
      </c>
      <c r="AO235">
        <v>25.342682860966502</v>
      </c>
      <c r="AP235">
        <v>31.364334454295399</v>
      </c>
      <c r="AQ235">
        <v>41.359387499999997</v>
      </c>
      <c r="AR235">
        <v>37.8136558333333</v>
      </c>
      <c r="AS235">
        <v>40.111803333333299</v>
      </c>
      <c r="AT235">
        <v>44.431899999999999</v>
      </c>
      <c r="AU235">
        <v>42.960083333333301</v>
      </c>
      <c r="AV235">
        <v>41.484616666666703</v>
      </c>
      <c r="AW235">
        <v>40.2224149175021</v>
      </c>
      <c r="AX235">
        <v>40.220130208333302</v>
      </c>
      <c r="AY235">
        <v>37.881983221536302</v>
      </c>
      <c r="AZ235">
        <v>34.518180591701302</v>
      </c>
      <c r="BA235">
        <v>33.313300641233802</v>
      </c>
      <c r="BB235">
        <v>34.285774123424098</v>
      </c>
      <c r="BC235">
        <v>31.685704999999999</v>
      </c>
      <c r="BD235">
        <v>30.4917333333333</v>
      </c>
      <c r="BE235">
        <v>31.0830916666667</v>
      </c>
      <c r="BF235">
        <v>30.7259666666667</v>
      </c>
      <c r="BG235">
        <v>32.479833333333303</v>
      </c>
      <c r="BH235">
        <v>34.247716666666697</v>
      </c>
      <c r="BI235">
        <v>35.296383333333303</v>
      </c>
      <c r="BJ235">
        <v>33.939811056685798</v>
      </c>
      <c r="BK235">
        <v>32.3102257431458</v>
      </c>
      <c r="BL235">
        <v>31.047605780549901</v>
      </c>
      <c r="BM235">
        <v>31.293673213083199</v>
      </c>
      <c r="BN235">
        <v>31.9770934417717</v>
      </c>
      <c r="BO235">
        <v>35.061350214477599</v>
      </c>
      <c r="BP235">
        <v>34.8021885808364</v>
      </c>
      <c r="BQ235">
        <v>35.293538080808098</v>
      </c>
    </row>
    <row r="236" spans="1:69" x14ac:dyDescent="0.3">
      <c r="A236" t="s">
        <v>474</v>
      </c>
      <c r="B236" t="s">
        <v>475</v>
      </c>
      <c r="C236" t="s">
        <v>6</v>
      </c>
      <c r="D236" t="s">
        <v>7</v>
      </c>
      <c r="AK236">
        <v>2.4685179666666698E-3</v>
      </c>
      <c r="AL236">
        <v>1.0357405E-2</v>
      </c>
      <c r="AM236">
        <v>2.44943481666667E-2</v>
      </c>
      <c r="AN236">
        <v>0.122858703333333</v>
      </c>
      <c r="AO236">
        <v>0.29549999999999998</v>
      </c>
      <c r="AP236">
        <v>0.56233333333333302</v>
      </c>
      <c r="AQ236">
        <v>0.77662500000000001</v>
      </c>
      <c r="AR236">
        <v>1.23779166666667</v>
      </c>
      <c r="AS236">
        <v>2.0762499999999999</v>
      </c>
      <c r="AT236">
        <v>2.3721916666666698</v>
      </c>
      <c r="AU236">
        <v>2.76413333333333</v>
      </c>
      <c r="AV236">
        <v>3.0613666666666699</v>
      </c>
      <c r="AW236">
        <v>2.97050833333333</v>
      </c>
      <c r="AX236">
        <v>3.11656666666667</v>
      </c>
      <c r="AY236">
        <v>3.2984083333333301</v>
      </c>
      <c r="AZ236">
        <v>3.44248333333333</v>
      </c>
      <c r="BA236">
        <v>3.4307249999999998</v>
      </c>
      <c r="BB236">
        <v>4.1427083333333297</v>
      </c>
      <c r="BC236">
        <v>4.3789666666666696</v>
      </c>
      <c r="BD236">
        <v>4.61018333333333</v>
      </c>
      <c r="BE236">
        <v>4.7377083333333303</v>
      </c>
      <c r="BF236">
        <v>4.7642333333333404</v>
      </c>
      <c r="BG236">
        <v>4.9375666666666698</v>
      </c>
      <c r="BH236">
        <v>6.1631166666666699</v>
      </c>
      <c r="BI236">
        <v>7.8356750000000002</v>
      </c>
      <c r="BJ236">
        <v>8.5497416666666695</v>
      </c>
      <c r="BK236">
        <v>9.1512166666666701</v>
      </c>
      <c r="BL236">
        <v>9.5303666666666693</v>
      </c>
      <c r="BM236">
        <v>10.321941666666699</v>
      </c>
      <c r="BN236">
        <v>11.30885</v>
      </c>
      <c r="BO236">
        <v>11.031075</v>
      </c>
      <c r="BP236">
        <v>10.844525000000001</v>
      </c>
      <c r="BQ236">
        <v>10.7994916666667</v>
      </c>
    </row>
    <row r="237" spans="1:69" x14ac:dyDescent="0.3">
      <c r="A237" t="s">
        <v>476</v>
      </c>
      <c r="B237" t="s">
        <v>477</v>
      </c>
      <c r="C237" t="s">
        <v>6</v>
      </c>
      <c r="D237" t="s">
        <v>7</v>
      </c>
      <c r="AM237">
        <v>19.198333333333299</v>
      </c>
      <c r="AN237">
        <v>110.916666666667</v>
      </c>
      <c r="AO237">
        <v>3257.6666666666702</v>
      </c>
      <c r="AP237">
        <v>4143.4166666666697</v>
      </c>
      <c r="AQ237">
        <v>4890.1666666666697</v>
      </c>
      <c r="AR237">
        <v>5200</v>
      </c>
      <c r="AS237">
        <v>5200</v>
      </c>
      <c r="AT237">
        <v>5200</v>
      </c>
    </row>
    <row r="238" spans="1:69" x14ac:dyDescent="0.3">
      <c r="A238" t="s">
        <v>478</v>
      </c>
      <c r="B238" t="s">
        <v>479</v>
      </c>
      <c r="C238" t="s">
        <v>6</v>
      </c>
      <c r="D238" t="s">
        <v>7</v>
      </c>
    </row>
    <row r="239" spans="1:69" x14ac:dyDescent="0.3">
      <c r="A239" t="s">
        <v>480</v>
      </c>
      <c r="B239" t="s">
        <v>481</v>
      </c>
      <c r="C239" t="s">
        <v>6</v>
      </c>
      <c r="D239" t="s">
        <v>7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</row>
    <row r="240" spans="1:69" x14ac:dyDescent="0.3">
      <c r="A240" t="s">
        <v>482</v>
      </c>
      <c r="B240" t="s">
        <v>483</v>
      </c>
      <c r="C240" t="s">
        <v>6</v>
      </c>
      <c r="D240" t="s">
        <v>7</v>
      </c>
    </row>
    <row r="241" spans="1:69" x14ac:dyDescent="0.3">
      <c r="A241" t="s">
        <v>484</v>
      </c>
      <c r="B241" t="s">
        <v>485</v>
      </c>
      <c r="C241" t="s">
        <v>6</v>
      </c>
      <c r="D241" t="s">
        <v>7</v>
      </c>
      <c r="E241">
        <v>0.89285699989285705</v>
      </c>
      <c r="F241">
        <v>0.89285699989285705</v>
      </c>
      <c r="G241">
        <v>0.89285699989285705</v>
      </c>
      <c r="H241">
        <v>0.89285699989285705</v>
      </c>
      <c r="I241">
        <v>0.89285699989285705</v>
      </c>
      <c r="J241">
        <v>0.89285699989285705</v>
      </c>
      <c r="K241">
        <v>0.89285699989285705</v>
      </c>
      <c r="L241">
        <v>0.89285699989285705</v>
      </c>
      <c r="M241">
        <v>0.89285699989285705</v>
      </c>
      <c r="N241">
        <v>0.89285699989285705</v>
      </c>
      <c r="O241">
        <v>0.89285699989285705</v>
      </c>
      <c r="P241">
        <v>0.88060784236696699</v>
      </c>
      <c r="Q241">
        <v>0.81920056904624705</v>
      </c>
      <c r="R241">
        <v>0.70411390796665796</v>
      </c>
      <c r="S241">
        <v>0.69584522149195305</v>
      </c>
      <c r="T241">
        <v>0.763901879621256</v>
      </c>
      <c r="U241">
        <v>0.81831689486533898</v>
      </c>
      <c r="V241">
        <v>0.90186116145541395</v>
      </c>
      <c r="W241">
        <v>0.87369428203154598</v>
      </c>
      <c r="X241">
        <v>0.89467679004613099</v>
      </c>
      <c r="Y241">
        <v>0.87827954922302398</v>
      </c>
      <c r="Z241">
        <v>0.87024947723652302</v>
      </c>
      <c r="AA241">
        <v>0.98590236463811198</v>
      </c>
      <c r="AB241">
        <v>1.11005950987325</v>
      </c>
      <c r="AC241">
        <v>1.13956485971655</v>
      </c>
      <c r="AD241">
        <v>1.4319524173350899</v>
      </c>
      <c r="AE241">
        <v>1.49603415377469</v>
      </c>
      <c r="AF241">
        <v>1.4282372688666101</v>
      </c>
      <c r="AG241">
        <v>1.27973640514364</v>
      </c>
      <c r="AH241">
        <v>1.2637440682849801</v>
      </c>
      <c r="AI241">
        <v>1.2809288379911801</v>
      </c>
      <c r="AJ241">
        <v>1.2961145894858599</v>
      </c>
      <c r="AK241">
        <v>1.34717068495896</v>
      </c>
      <c r="AL241">
        <v>1.3840888319542</v>
      </c>
      <c r="AM241">
        <v>1.32021960428569</v>
      </c>
      <c r="AN241">
        <v>1.2709426283979099</v>
      </c>
      <c r="AO241">
        <v>1.2319743991993299</v>
      </c>
      <c r="AP241">
        <v>1.26351842815085</v>
      </c>
      <c r="AQ241">
        <v>1.4920553704766999</v>
      </c>
      <c r="AR241">
        <v>1.5991323724217399</v>
      </c>
      <c r="AS241">
        <v>1.75850260417167</v>
      </c>
      <c r="AT241">
        <v>2.1235741689248901</v>
      </c>
      <c r="AU241">
        <v>2.1951873352873799</v>
      </c>
      <c r="AV241">
        <v>2.1458922520015999</v>
      </c>
      <c r="AW241">
        <v>1.9715627931326101</v>
      </c>
      <c r="AX241">
        <v>1.9430362169364801</v>
      </c>
      <c r="AY241">
        <v>2.0258807949091402</v>
      </c>
      <c r="AZ241">
        <v>1.97093365696189</v>
      </c>
      <c r="BA241">
        <v>1.9424442568685301</v>
      </c>
      <c r="BB241">
        <v>2.0344936132287899</v>
      </c>
      <c r="BC241">
        <v>1.9059878423835299</v>
      </c>
      <c r="BD241">
        <v>1.7289507097783201</v>
      </c>
      <c r="BE241">
        <v>1.7195070158616499</v>
      </c>
      <c r="BF241">
        <v>1.77371311869907</v>
      </c>
      <c r="BG241">
        <v>1.8467736845354601</v>
      </c>
      <c r="BH241">
        <v>2.1057632574496701</v>
      </c>
      <c r="BI241">
        <v>2.2156611042252798</v>
      </c>
      <c r="BJ241">
        <v>2.2059726971783999</v>
      </c>
      <c r="BK241">
        <v>2.2365714759422302</v>
      </c>
      <c r="BL241">
        <v>2.28948563032632</v>
      </c>
      <c r="BM241">
        <v>2.2995615078788898</v>
      </c>
      <c r="BN241">
        <v>2.2649596005005499</v>
      </c>
      <c r="BO241">
        <v>2.3279298273164399</v>
      </c>
      <c r="BP241">
        <v>2.36369881809753</v>
      </c>
      <c r="BQ241">
        <v>2.3730415740836901</v>
      </c>
    </row>
    <row r="242" spans="1:69" x14ac:dyDescent="0.3">
      <c r="A242" t="s">
        <v>486</v>
      </c>
      <c r="B242" t="s">
        <v>487</v>
      </c>
      <c r="C242" t="s">
        <v>6</v>
      </c>
      <c r="D242" t="s">
        <v>7</v>
      </c>
    </row>
    <row r="243" spans="1:69" x14ac:dyDescent="0.3">
      <c r="A243" t="s">
        <v>488</v>
      </c>
      <c r="B243" t="s">
        <v>489</v>
      </c>
      <c r="C243" t="s">
        <v>6</v>
      </c>
      <c r="D243" t="s">
        <v>7</v>
      </c>
    </row>
    <row r="244" spans="1:69" x14ac:dyDescent="0.3">
      <c r="A244" t="s">
        <v>490</v>
      </c>
      <c r="B244" t="s">
        <v>491</v>
      </c>
      <c r="C244" t="s">
        <v>6</v>
      </c>
      <c r="D244" t="s">
        <v>7</v>
      </c>
      <c r="E244">
        <v>1.7142900007142901</v>
      </c>
      <c r="F244">
        <v>1.7142900007142901</v>
      </c>
      <c r="G244">
        <v>1.7142900007142901</v>
      </c>
      <c r="H244">
        <v>1.7142900007142901</v>
      </c>
      <c r="I244">
        <v>1.7142900007142901</v>
      </c>
      <c r="J244">
        <v>1.7142900007142901</v>
      </c>
      <c r="K244">
        <v>1.7142900007142901</v>
      </c>
      <c r="L244">
        <v>1.7380991672619099</v>
      </c>
      <c r="M244">
        <v>2.0000000010000001</v>
      </c>
      <c r="N244">
        <v>2.0000000010000001</v>
      </c>
      <c r="O244">
        <v>2.0000000010000001</v>
      </c>
      <c r="P244">
        <v>1.9748761519687701</v>
      </c>
      <c r="Q244">
        <v>1.92128071035725</v>
      </c>
      <c r="R244">
        <v>1.95922053743668</v>
      </c>
      <c r="S244">
        <v>2.0532309107887801</v>
      </c>
      <c r="T244">
        <v>2.1697975951999999</v>
      </c>
      <c r="U244">
        <v>2.4357864317</v>
      </c>
      <c r="V244">
        <v>2.3999999989999998</v>
      </c>
      <c r="W244">
        <v>2.3999999989999998</v>
      </c>
      <c r="X244">
        <v>2.3999999989999998</v>
      </c>
      <c r="Y244">
        <v>2.3999999989999998</v>
      </c>
      <c r="Z244">
        <v>2.3999999989999998</v>
      </c>
      <c r="AA244">
        <v>2.3999999989999998</v>
      </c>
      <c r="AB244">
        <v>2.3999999989999998</v>
      </c>
      <c r="AC244">
        <v>2.3999999995833301</v>
      </c>
      <c r="AD244">
        <v>2.4500000000000002</v>
      </c>
      <c r="AE244">
        <v>3.6</v>
      </c>
      <c r="AF244">
        <v>3.6</v>
      </c>
      <c r="AG244">
        <v>3.84375</v>
      </c>
      <c r="AH244">
        <v>4.25</v>
      </c>
      <c r="AI244">
        <v>4.25</v>
      </c>
      <c r="AJ244">
        <v>4.25</v>
      </c>
      <c r="AK244">
        <v>4.25</v>
      </c>
      <c r="AL244">
        <v>5.3510966666666704</v>
      </c>
      <c r="AM244">
        <v>5.9249291666666704</v>
      </c>
      <c r="AN244">
        <v>5.9477958333333296</v>
      </c>
      <c r="AO244">
        <v>6.0050658333333304</v>
      </c>
      <c r="AP244">
        <v>6.2516783333333397</v>
      </c>
      <c r="AQ244">
        <v>6.2983074999999999</v>
      </c>
      <c r="AR244">
        <v>6.2988999999999997</v>
      </c>
      <c r="AS244">
        <v>6.29979666666667</v>
      </c>
      <c r="AT244">
        <v>6.2332166666666602</v>
      </c>
      <c r="AU244">
        <v>6.2486833333333296</v>
      </c>
      <c r="AV244">
        <v>6.2950999999999997</v>
      </c>
      <c r="AW244">
        <v>6.2989916666666597</v>
      </c>
      <c r="AX244">
        <v>6.2995583333333398</v>
      </c>
      <c r="AY244">
        <v>6.3122833333333297</v>
      </c>
      <c r="AZ244">
        <v>6.3280333333333303</v>
      </c>
      <c r="BA244">
        <v>6.2894333333333297</v>
      </c>
      <c r="BB244">
        <v>6.3249083333333296</v>
      </c>
      <c r="BC244">
        <v>6.3755083333333298</v>
      </c>
      <c r="BD244">
        <v>6.4093007056857898</v>
      </c>
      <c r="BE244">
        <v>6.4296026559454198</v>
      </c>
      <c r="BF244">
        <v>6.4426293976465896</v>
      </c>
      <c r="BG244">
        <v>6.4090945782979301</v>
      </c>
      <c r="BH244">
        <v>6.3774416666666696</v>
      </c>
      <c r="BI244">
        <v>6.6689666666666696</v>
      </c>
      <c r="BJ244">
        <v>6.7795249999999996</v>
      </c>
      <c r="BK244">
        <v>6.7707508982460602</v>
      </c>
      <c r="BL244">
        <v>6.7543266828631996</v>
      </c>
      <c r="BM244">
        <v>6.7510526871150498</v>
      </c>
      <c r="BN244">
        <v>6.7585300491629399</v>
      </c>
      <c r="BO244">
        <v>6.7541289609947501</v>
      </c>
      <c r="BP244">
        <v>6.7502623793450196</v>
      </c>
      <c r="BQ244">
        <v>6.7501232487059104</v>
      </c>
    </row>
    <row r="245" spans="1:69" x14ac:dyDescent="0.3">
      <c r="A245" t="s">
        <v>492</v>
      </c>
      <c r="B245" t="s">
        <v>493</v>
      </c>
      <c r="C245" t="s">
        <v>6</v>
      </c>
      <c r="D245" t="s">
        <v>7</v>
      </c>
      <c r="E245">
        <v>0.41999999941999999</v>
      </c>
      <c r="F245">
        <v>0.41999999941999999</v>
      </c>
      <c r="G245">
        <v>0.41999999941999999</v>
      </c>
      <c r="H245">
        <v>0.41999999941999999</v>
      </c>
      <c r="I245">
        <v>0.44624999941124999</v>
      </c>
      <c r="J245">
        <v>0.52499999952499998</v>
      </c>
      <c r="K245">
        <v>0.52499999952499998</v>
      </c>
      <c r="L245">
        <v>0.52499999952499998</v>
      </c>
      <c r="M245">
        <v>0.52499999952499998</v>
      </c>
      <c r="N245">
        <v>0.52499999952499998</v>
      </c>
      <c r="O245">
        <v>0.52499999952499998</v>
      </c>
      <c r="P245">
        <v>0.52291666623124999</v>
      </c>
      <c r="Q245">
        <v>0.477083333</v>
      </c>
      <c r="R245">
        <v>0.42159583283333302</v>
      </c>
      <c r="S245">
        <v>0.43650833233333403</v>
      </c>
      <c r="T245">
        <v>0.40226666566666702</v>
      </c>
      <c r="U245">
        <v>0.42877499899999999</v>
      </c>
      <c r="V245">
        <v>0.42894999900000003</v>
      </c>
      <c r="W245">
        <v>0.41617083233333302</v>
      </c>
      <c r="X245">
        <v>0.40646249899999998</v>
      </c>
      <c r="Y245">
        <v>0.40495416566666698</v>
      </c>
      <c r="Z245">
        <v>0.49380416566666702</v>
      </c>
      <c r="AA245">
        <v>0.59068749899999995</v>
      </c>
      <c r="AB245">
        <v>0.67876666575</v>
      </c>
      <c r="AC245">
        <v>0.77683333291666701</v>
      </c>
      <c r="AD245">
        <v>0.83449583324999999</v>
      </c>
      <c r="AE245">
        <v>0.79402916666666701</v>
      </c>
      <c r="AF245">
        <v>0.82866249999999997</v>
      </c>
      <c r="AG245">
        <v>0.85780416666666603</v>
      </c>
      <c r="AH245">
        <v>0.94932083333333295</v>
      </c>
      <c r="AI245">
        <v>0.87833333333333397</v>
      </c>
      <c r="AJ245">
        <v>0.924620833333333</v>
      </c>
      <c r="AK245">
        <v>0.88443333333333296</v>
      </c>
      <c r="AL245">
        <v>1.0037416666666701</v>
      </c>
      <c r="AM245">
        <v>1.0115541666666701</v>
      </c>
      <c r="AN245">
        <v>0.94574999999999998</v>
      </c>
      <c r="AO245">
        <v>0.97340833333333299</v>
      </c>
      <c r="AP245">
        <v>1.1059083333333299</v>
      </c>
      <c r="AQ245">
        <v>1.138725</v>
      </c>
      <c r="AR245">
        <v>1.1862250000000001</v>
      </c>
      <c r="AS245">
        <v>1.3706833333333299</v>
      </c>
      <c r="AT245">
        <v>1.4387125000000001</v>
      </c>
      <c r="AU245">
        <v>1.42173333333333</v>
      </c>
      <c r="AV245">
        <v>1.2884583333333299</v>
      </c>
      <c r="AW245">
        <v>1.2454666666666701</v>
      </c>
      <c r="AX245">
        <v>1.2974333333333301</v>
      </c>
      <c r="AY245">
        <v>1.3310249999999999</v>
      </c>
      <c r="AZ245">
        <v>1.28135833333333</v>
      </c>
      <c r="BA245">
        <v>1.23214166666667</v>
      </c>
      <c r="BB245">
        <v>1.3502749999999999</v>
      </c>
      <c r="BC245">
        <v>1.4314</v>
      </c>
      <c r="BD245">
        <v>1.4077833333333301</v>
      </c>
      <c r="BE245">
        <v>1.56189166666667</v>
      </c>
      <c r="BF245">
        <v>1.62465833333333</v>
      </c>
      <c r="BG245">
        <v>1.697675</v>
      </c>
      <c r="BH245">
        <v>1.961625</v>
      </c>
      <c r="BI245">
        <v>2.1480333333333301</v>
      </c>
      <c r="BJ245">
        <v>2.4194249999999999</v>
      </c>
      <c r="BK245">
        <v>2.64686666666667</v>
      </c>
      <c r="BL245">
        <v>2.9344333333333301</v>
      </c>
      <c r="BM245">
        <v>2.81235833333333</v>
      </c>
      <c r="BN245">
        <v>2.7944666666666702</v>
      </c>
      <c r="BO245">
        <v>3.1036000000000001</v>
      </c>
      <c r="BP245">
        <v>3.1061666666666699</v>
      </c>
      <c r="BQ245">
        <v>3.10745</v>
      </c>
    </row>
    <row r="246" spans="1:69" x14ac:dyDescent="0.3">
      <c r="A246" t="s">
        <v>494</v>
      </c>
      <c r="B246" t="s">
        <v>495</v>
      </c>
      <c r="C246" t="s">
        <v>6</v>
      </c>
      <c r="D246" t="s">
        <v>7</v>
      </c>
      <c r="E246" s="1">
        <v>9.0169166665833305E-6</v>
      </c>
      <c r="F246" s="1">
        <v>9.02E-6</v>
      </c>
      <c r="G246" s="1">
        <v>9.02E-6</v>
      </c>
      <c r="H246" s="1">
        <v>9.02E-6</v>
      </c>
      <c r="I246" s="1">
        <v>9.0391666657500005E-6</v>
      </c>
      <c r="J246" s="1">
        <v>9.0399999989999995E-6</v>
      </c>
      <c r="K246" s="1">
        <v>9.0399999989999995E-6</v>
      </c>
      <c r="L246" s="1">
        <v>9.0399999989999995E-6</v>
      </c>
      <c r="M246" s="1">
        <v>9.0399999989999995E-6</v>
      </c>
      <c r="N246" s="1">
        <v>9.0399999989999995E-6</v>
      </c>
      <c r="O246" s="1">
        <v>1.1328499999E-5</v>
      </c>
      <c r="P246" s="1">
        <v>1.48666666670833E-5</v>
      </c>
      <c r="Q246" s="1">
        <v>1.415E-5</v>
      </c>
      <c r="R246" s="1">
        <v>1.415E-5</v>
      </c>
      <c r="S246" s="1">
        <v>1.39270833330833E-5</v>
      </c>
      <c r="T246" s="1">
        <v>1.44420833326667E-5</v>
      </c>
      <c r="U246" s="1">
        <v>1.60530833323333E-5</v>
      </c>
      <c r="V246" s="1">
        <v>1.8002249999000002E-5</v>
      </c>
      <c r="W246" s="1">
        <v>2.42821666656667E-5</v>
      </c>
      <c r="X246" s="1">
        <v>3.1077499999000002E-5</v>
      </c>
      <c r="Y246" s="1">
        <v>7.6038083332833302E-5</v>
      </c>
      <c r="Z246">
        <v>1.1121858333266701E-4</v>
      </c>
      <c r="AA246">
        <v>1.6255341666566699E-4</v>
      </c>
      <c r="AB246">
        <v>2.2545708333224999E-4</v>
      </c>
      <c r="AC246">
        <v>3.66677833333167E-4</v>
      </c>
      <c r="AD246">
        <v>5.2198308333316595E-4</v>
      </c>
      <c r="AE246">
        <v>6.7451175000024998E-4</v>
      </c>
      <c r="AF246">
        <v>8.5721416666666704E-4</v>
      </c>
      <c r="AG246">
        <v>1.4223458333333301E-3</v>
      </c>
      <c r="AH246">
        <v>2.1216791666666701E-3</v>
      </c>
      <c r="AI246">
        <v>2.6086416666666699E-3</v>
      </c>
      <c r="AJ246">
        <v>4.17181583333333E-3</v>
      </c>
      <c r="AK246">
        <v>6.8724233333333296E-3</v>
      </c>
      <c r="AL246">
        <v>1.09846283333333E-2</v>
      </c>
      <c r="AM246">
        <v>2.9608675833333299E-2</v>
      </c>
      <c r="AN246">
        <v>4.5845060833333298E-2</v>
      </c>
      <c r="AO246">
        <v>8.1404891666666604E-2</v>
      </c>
      <c r="AP246">
        <v>0.151865</v>
      </c>
      <c r="AQ246">
        <v>0.26072424999999999</v>
      </c>
      <c r="AR246">
        <v>0.418782916666667</v>
      </c>
      <c r="AS246">
        <v>0.62521850000000001</v>
      </c>
      <c r="AT246">
        <v>1.2255880833333299</v>
      </c>
      <c r="AU246">
        <v>1.50722641666667</v>
      </c>
      <c r="AV246">
        <v>1.50088520858333</v>
      </c>
      <c r="AW246">
        <v>1.4255372500000001</v>
      </c>
      <c r="AX246">
        <v>1.3435831083333301</v>
      </c>
      <c r="AY246">
        <v>1.4284534133384501</v>
      </c>
      <c r="AZ246">
        <v>1.3029309053379401</v>
      </c>
      <c r="BA246">
        <v>1.30152170281795</v>
      </c>
      <c r="BB246">
        <v>1.54995977566564</v>
      </c>
      <c r="BC246">
        <v>1.5028486296723</v>
      </c>
      <c r="BD246">
        <v>1.67495455197133</v>
      </c>
      <c r="BE246">
        <v>1.7960009444135501</v>
      </c>
      <c r="BF246">
        <v>1.90376824244752</v>
      </c>
      <c r="BG246">
        <v>2.1885424177547299</v>
      </c>
      <c r="BH246">
        <v>2.72000852790578</v>
      </c>
      <c r="BI246">
        <v>3.0201347480804301</v>
      </c>
      <c r="BJ246">
        <v>3.6481326353686701</v>
      </c>
      <c r="BK246">
        <v>4.8283701472094203</v>
      </c>
      <c r="BL246">
        <v>5.67381930843574</v>
      </c>
      <c r="BM246">
        <v>7.0086054155852198</v>
      </c>
      <c r="BN246">
        <v>8.8504075492831493</v>
      </c>
      <c r="BO246">
        <v>16.548860417306699</v>
      </c>
      <c r="BP246">
        <v>23.738566121991798</v>
      </c>
      <c r="BQ246">
        <v>32.805861443270302</v>
      </c>
    </row>
    <row r="247" spans="1:69" x14ac:dyDescent="0.3">
      <c r="A247" t="s">
        <v>496</v>
      </c>
      <c r="B247" t="s">
        <v>497</v>
      </c>
      <c r="C247" t="s">
        <v>6</v>
      </c>
      <c r="D247" t="s">
        <v>7</v>
      </c>
      <c r="BQ247">
        <v>1.51535803855596</v>
      </c>
    </row>
    <row r="248" spans="1:69" x14ac:dyDescent="0.3">
      <c r="A248" t="s">
        <v>498</v>
      </c>
      <c r="B248" t="s">
        <v>499</v>
      </c>
      <c r="C248" t="s">
        <v>6</v>
      </c>
      <c r="D248" t="s">
        <v>7</v>
      </c>
      <c r="E248">
        <v>7.1428600061428602</v>
      </c>
      <c r="F248">
        <v>7.1428600061428602</v>
      </c>
      <c r="G248">
        <v>7.1428600061428602</v>
      </c>
      <c r="H248">
        <v>7.1428600061428602</v>
      </c>
      <c r="I248">
        <v>7.1428600061428602</v>
      </c>
      <c r="J248">
        <v>7.1428600061428602</v>
      </c>
      <c r="K248">
        <v>7.1428600061428602</v>
      </c>
      <c r="L248">
        <v>7.1428600061428602</v>
      </c>
      <c r="M248">
        <v>7.1428600061428602</v>
      </c>
      <c r="N248">
        <v>7.1428600061428602</v>
      </c>
      <c r="O248">
        <v>7.1428600061428602</v>
      </c>
      <c r="P248">
        <v>7.1428600055476199</v>
      </c>
      <c r="Q248">
        <v>7.1428999989999999</v>
      </c>
      <c r="R248">
        <v>7.0214466656666703</v>
      </c>
      <c r="S248">
        <v>7.1349833323333298</v>
      </c>
      <c r="T248">
        <v>7.3667916656666703</v>
      </c>
      <c r="U248">
        <v>8.3767749994166696</v>
      </c>
      <c r="V248">
        <v>8.2892083324999994</v>
      </c>
      <c r="W248">
        <v>7.7120499990000004</v>
      </c>
      <c r="X248">
        <v>8.2166249990000004</v>
      </c>
      <c r="Y248">
        <v>8.1965916658333295</v>
      </c>
      <c r="Z248">
        <v>8.2835083325833292</v>
      </c>
      <c r="AA248">
        <v>9.2825916658333298</v>
      </c>
      <c r="AB248">
        <v>11.1427833323333</v>
      </c>
      <c r="AC248">
        <v>15.292249999499999</v>
      </c>
      <c r="AD248">
        <v>17.472333333083299</v>
      </c>
      <c r="AE248">
        <v>32.698016666416699</v>
      </c>
      <c r="AF248">
        <v>64.260350000000003</v>
      </c>
      <c r="AG248">
        <v>99.292108333333303</v>
      </c>
      <c r="AH248">
        <v>143.376916666667</v>
      </c>
      <c r="AI248">
        <v>195.055916666667</v>
      </c>
      <c r="AJ248">
        <v>219.15741666666699</v>
      </c>
      <c r="AK248">
        <v>297.70808333333298</v>
      </c>
      <c r="AL248">
        <v>405.27401666666702</v>
      </c>
      <c r="AM248">
        <v>509.630875</v>
      </c>
      <c r="AN248">
        <v>574.76174166666601</v>
      </c>
      <c r="AO248">
        <v>579.97666666666703</v>
      </c>
      <c r="AP248">
        <v>612.12249999999995</v>
      </c>
      <c r="AQ248">
        <v>664.67120833333297</v>
      </c>
      <c r="AR248">
        <v>744.75907500000005</v>
      </c>
      <c r="AS248">
        <v>800.40851666666697</v>
      </c>
      <c r="AT248">
        <v>876.41166666666697</v>
      </c>
      <c r="AU248">
        <v>966.58278425925903</v>
      </c>
      <c r="AV248">
        <v>1038.4190065960399</v>
      </c>
      <c r="AW248">
        <v>1089.33477148983</v>
      </c>
      <c r="AX248">
        <v>1128.9341791619199</v>
      </c>
      <c r="AY248">
        <v>1251.89997292515</v>
      </c>
      <c r="AZ248">
        <v>1245.0354640478299</v>
      </c>
      <c r="BA248">
        <v>1196.3107092104599</v>
      </c>
      <c r="BB248">
        <v>1320.3120607404101</v>
      </c>
      <c r="BC248">
        <v>1395.625</v>
      </c>
      <c r="BD248">
        <v>1557.43333333333</v>
      </c>
      <c r="BE248">
        <v>1571.6983333333301</v>
      </c>
      <c r="BF248">
        <v>1597.5558333333299</v>
      </c>
      <c r="BG248">
        <v>1653.2308333333301</v>
      </c>
      <c r="BH248">
        <v>1991.39083333333</v>
      </c>
      <c r="BI248">
        <v>2177.0866666666702</v>
      </c>
      <c r="BJ248">
        <v>2228.8566666666702</v>
      </c>
      <c r="BK248">
        <v>2263.7816666666699</v>
      </c>
      <c r="BL248">
        <v>2288.2066666666701</v>
      </c>
      <c r="BM248">
        <v>2294.1461505050902</v>
      </c>
      <c r="BN248">
        <v>2297.76422623792</v>
      </c>
      <c r="BO248">
        <v>2303.0336761233202</v>
      </c>
      <c r="BP248">
        <v>2383.0425833333302</v>
      </c>
      <c r="BQ248">
        <v>2597.90041666667</v>
      </c>
    </row>
    <row r="249" spans="1:69" x14ac:dyDescent="0.3">
      <c r="A249" t="s">
        <v>500</v>
      </c>
      <c r="B249" t="s">
        <v>501</v>
      </c>
      <c r="C249" t="s">
        <v>6</v>
      </c>
      <c r="D249" t="s">
        <v>7</v>
      </c>
      <c r="E249">
        <v>7.1430000071429994E-2</v>
      </c>
      <c r="F249">
        <v>7.1430000071429994E-2</v>
      </c>
      <c r="G249">
        <v>7.1430000071429994E-2</v>
      </c>
      <c r="H249">
        <v>7.1430000071429994E-2</v>
      </c>
      <c r="I249">
        <v>7.1430000071429994E-2</v>
      </c>
      <c r="J249">
        <v>7.1430000071429994E-2</v>
      </c>
      <c r="K249">
        <v>7.1430000071429994E-2</v>
      </c>
      <c r="L249">
        <v>7.1430000071429994E-2</v>
      </c>
      <c r="M249">
        <v>7.1430000071429994E-2</v>
      </c>
      <c r="N249">
        <v>7.1430000071429994E-2</v>
      </c>
      <c r="O249">
        <v>7.1430000071429994E-2</v>
      </c>
      <c r="P249">
        <v>7.1429995890081102E-2</v>
      </c>
      <c r="Q249">
        <v>7.1429999990000007E-2</v>
      </c>
      <c r="R249">
        <v>7.0214499989999998E-2</v>
      </c>
      <c r="S249">
        <v>7.1359499990000005E-2</v>
      </c>
      <c r="T249">
        <v>7.421924999E-2</v>
      </c>
      <c r="U249">
        <v>8.2661666662499994E-2</v>
      </c>
      <c r="V249">
        <v>8.2589999993333302E-2</v>
      </c>
      <c r="W249">
        <v>7.7356666656666698E-2</v>
      </c>
      <c r="X249">
        <v>7.4828333323333301E-2</v>
      </c>
      <c r="Y249">
        <v>7.4169999989999999E-2</v>
      </c>
      <c r="Z249">
        <v>0.50052333332666699</v>
      </c>
      <c r="AA249">
        <v>0.94046666666166701</v>
      </c>
      <c r="AB249">
        <v>1.5386249999924999</v>
      </c>
      <c r="AC249">
        <v>3.5970249999949999</v>
      </c>
      <c r="AD249">
        <v>6.7202000000058302</v>
      </c>
      <c r="AE249">
        <v>14</v>
      </c>
      <c r="AF249">
        <v>42.841266666666698</v>
      </c>
      <c r="AG249">
        <v>106.135833333333</v>
      </c>
      <c r="AH249">
        <v>223.09160630809001</v>
      </c>
      <c r="AI249">
        <v>428.85466666666701</v>
      </c>
      <c r="AJ249">
        <v>734.00991666666698</v>
      </c>
      <c r="AK249">
        <v>1133.8343333333301</v>
      </c>
      <c r="AL249">
        <v>1195.01675</v>
      </c>
      <c r="AM249">
        <v>979.44541666666703</v>
      </c>
      <c r="AN249">
        <v>968.91666666666697</v>
      </c>
      <c r="AO249">
        <v>1046.08475</v>
      </c>
      <c r="AP249">
        <v>1083.00866666667</v>
      </c>
      <c r="AQ249">
        <v>1240.3058333333299</v>
      </c>
      <c r="AR249">
        <v>1454.8271666666701</v>
      </c>
      <c r="AS249">
        <v>1644.4753333333299</v>
      </c>
      <c r="AT249">
        <v>1755.6587500000001</v>
      </c>
      <c r="AU249">
        <v>1797.5505000000001</v>
      </c>
      <c r="AV249">
        <v>1963.72008333333</v>
      </c>
      <c r="AW249">
        <v>1810.3047136515099</v>
      </c>
      <c r="AX249">
        <v>1780.54026086523</v>
      </c>
      <c r="AY249">
        <v>1831.45185089088</v>
      </c>
      <c r="AZ249">
        <v>1723.49158714041</v>
      </c>
      <c r="BA249">
        <v>1720.4438791511</v>
      </c>
      <c r="BB249">
        <v>2030.4880743341801</v>
      </c>
      <c r="BC249">
        <v>2177.5575068335802</v>
      </c>
      <c r="BD249">
        <v>2522.8020325226398</v>
      </c>
      <c r="BE249">
        <v>2504.5630775832801</v>
      </c>
      <c r="BF249">
        <v>2586.8895685656098</v>
      </c>
      <c r="BG249">
        <v>2599.7882006106702</v>
      </c>
      <c r="BH249">
        <v>3240.64542033826</v>
      </c>
      <c r="BI249">
        <v>3420.0980072473599</v>
      </c>
      <c r="BJ249">
        <v>3611.2244580446099</v>
      </c>
      <c r="BK249">
        <v>3727.0689948461199</v>
      </c>
      <c r="BL249">
        <v>3704.0490716968102</v>
      </c>
      <c r="BM249">
        <v>3718.2489227092401</v>
      </c>
      <c r="BN249">
        <v>3587.0517073390902</v>
      </c>
      <c r="BO249">
        <v>3689.8173856686199</v>
      </c>
      <c r="BP249">
        <v>3726.1404599708499</v>
      </c>
      <c r="BQ249">
        <v>3757.2625354215002</v>
      </c>
    </row>
    <row r="250" spans="1:69" x14ac:dyDescent="0.3">
      <c r="A250" t="s">
        <v>502</v>
      </c>
      <c r="B250" t="s">
        <v>503</v>
      </c>
      <c r="C250" t="s">
        <v>6</v>
      </c>
      <c r="D250" t="s">
        <v>7</v>
      </c>
      <c r="AL250">
        <v>4.5324999999999997E-2</v>
      </c>
      <c r="AM250">
        <v>0.32751416666666699</v>
      </c>
      <c r="AN250">
        <v>1.4730749999999999</v>
      </c>
      <c r="AO250">
        <v>1.8294685583333301</v>
      </c>
      <c r="AP250">
        <v>1.8616583333333301</v>
      </c>
      <c r="AQ250">
        <v>2.4495416666666698</v>
      </c>
      <c r="AR250">
        <v>4.1304416666666697</v>
      </c>
      <c r="AS250">
        <v>5.4402333333333299</v>
      </c>
      <c r="AT250">
        <v>5.3721583333333296</v>
      </c>
      <c r="AU250">
        <v>5.3266249999999999</v>
      </c>
      <c r="AV250">
        <v>5.3326883333333299</v>
      </c>
      <c r="AW250">
        <v>5.3191806666666697</v>
      </c>
      <c r="AX250">
        <v>5.1247290000000003</v>
      </c>
      <c r="AY250">
        <v>5.05</v>
      </c>
      <c r="AZ250">
        <v>5.05</v>
      </c>
      <c r="BA250">
        <v>5.2672214166666702</v>
      </c>
      <c r="BB250">
        <v>7.79124033333333</v>
      </c>
      <c r="BC250">
        <v>7.9356394166666702</v>
      </c>
      <c r="BD250">
        <v>7.9675628333333304</v>
      </c>
      <c r="BE250">
        <v>7.99102933333333</v>
      </c>
      <c r="BF250">
        <v>7.9930000000000003</v>
      </c>
      <c r="BG250">
        <v>11.886659416666699</v>
      </c>
      <c r="BH250">
        <v>21.844697766666702</v>
      </c>
      <c r="BI250">
        <v>25.551334116666698</v>
      </c>
      <c r="BJ250">
        <v>26.596606300000001</v>
      </c>
      <c r="BK250">
        <v>27.200492333333301</v>
      </c>
      <c r="BL250">
        <v>25.845589333333301</v>
      </c>
      <c r="BM250">
        <v>26.9575243833333</v>
      </c>
      <c r="BN250">
        <v>27.286189383333301</v>
      </c>
      <c r="BO250">
        <v>32.342301599999999</v>
      </c>
      <c r="BP250">
        <v>36.573808116666697</v>
      </c>
      <c r="BQ250">
        <v>40.152082714999999</v>
      </c>
    </row>
    <row r="251" spans="1:69" x14ac:dyDescent="0.3">
      <c r="A251" t="s">
        <v>504</v>
      </c>
      <c r="B251" t="s">
        <v>505</v>
      </c>
      <c r="C251" t="s">
        <v>6</v>
      </c>
      <c r="D251" t="s">
        <v>7</v>
      </c>
    </row>
    <row r="252" spans="1:69" x14ac:dyDescent="0.3">
      <c r="A252" t="s">
        <v>506</v>
      </c>
      <c r="B252" t="s">
        <v>507</v>
      </c>
      <c r="C252" t="s">
        <v>6</v>
      </c>
      <c r="D252" t="s">
        <v>7</v>
      </c>
      <c r="E252" s="1">
        <v>1.12966666666667E-5</v>
      </c>
      <c r="F252" s="1">
        <v>1.10091666666667E-5</v>
      </c>
      <c r="G252" s="1">
        <v>1.098E-5</v>
      </c>
      <c r="H252" s="1">
        <v>1.46475E-5</v>
      </c>
      <c r="I252" s="1">
        <v>1.6411666666666701E-5</v>
      </c>
      <c r="J252" s="1">
        <v>2.90358333333333E-5</v>
      </c>
      <c r="K252" s="1">
        <v>5.3891666666666698E-5</v>
      </c>
      <c r="L252">
        <v>1.049625E-4</v>
      </c>
      <c r="M252">
        <v>2.3185416666666699E-4</v>
      </c>
      <c r="N252">
        <v>2.4800000000000001E-4</v>
      </c>
      <c r="O252">
        <v>2.4800000000000001E-4</v>
      </c>
      <c r="P252">
        <v>2.4800000000000001E-4</v>
      </c>
      <c r="Q252">
        <v>5.3082583333333296E-4</v>
      </c>
      <c r="R252">
        <v>8.5715083333333397E-4</v>
      </c>
      <c r="S252">
        <v>1.1821325E-3</v>
      </c>
      <c r="T252">
        <v>2.2358333333333301E-3</v>
      </c>
      <c r="U252">
        <v>3.3024999999999999E-3</v>
      </c>
      <c r="V252">
        <v>4.6466666666666696E-3</v>
      </c>
      <c r="W252">
        <v>6.0233333333333397E-3</v>
      </c>
      <c r="X252">
        <v>7.8383333333333308E-3</v>
      </c>
      <c r="Y252">
        <v>9.0725000000000007E-3</v>
      </c>
      <c r="Z252">
        <v>1.0793333333333301E-2</v>
      </c>
      <c r="AA252">
        <v>1.3853333333333301E-2</v>
      </c>
      <c r="AB252">
        <v>3.43758333333333E-2</v>
      </c>
      <c r="AC252">
        <v>5.5893333333333302E-2</v>
      </c>
      <c r="AD252">
        <v>0.101155833333333</v>
      </c>
      <c r="AE252">
        <v>0.15143416666666701</v>
      </c>
      <c r="AF252">
        <v>0.22552166666666701</v>
      </c>
      <c r="AG252">
        <v>0.35850749999999998</v>
      </c>
      <c r="AH252">
        <v>0.62117833333333305</v>
      </c>
      <c r="AI252">
        <v>1.16948416666667</v>
      </c>
      <c r="AJ252">
        <v>2.01766333333333</v>
      </c>
      <c r="AK252">
        <v>3.02481166666667</v>
      </c>
      <c r="AL252">
        <v>3.94109166666667</v>
      </c>
      <c r="AM252">
        <v>5.0439166666666697</v>
      </c>
      <c r="AN252">
        <v>6.3490000000000002</v>
      </c>
      <c r="AO252">
        <v>7.9718333333333398</v>
      </c>
      <c r="AP252">
        <v>9.4418333333333297</v>
      </c>
      <c r="AQ252">
        <v>10.471916666666701</v>
      </c>
      <c r="AR252">
        <v>11.3393</v>
      </c>
      <c r="AS252">
        <v>12.099591666666701</v>
      </c>
      <c r="AT252">
        <v>13.3191166666667</v>
      </c>
      <c r="AU252">
        <v>21.256966666666699</v>
      </c>
      <c r="AV252">
        <v>28.208683333333301</v>
      </c>
      <c r="AW252">
        <v>28.7037333333333</v>
      </c>
      <c r="AX252">
        <v>24.4786</v>
      </c>
      <c r="AY252">
        <v>24.073358333333299</v>
      </c>
      <c r="AZ252">
        <v>23.471025000000001</v>
      </c>
      <c r="BA252">
        <v>20.9493166666667</v>
      </c>
      <c r="BB252">
        <v>22.567983333333299</v>
      </c>
      <c r="BC252">
        <v>20.059275</v>
      </c>
      <c r="BD252">
        <v>19.314208333333301</v>
      </c>
      <c r="BE252">
        <v>20.310575</v>
      </c>
      <c r="BF252">
        <v>20.481608333333298</v>
      </c>
      <c r="BG252">
        <v>23.246024999999999</v>
      </c>
      <c r="BH252">
        <v>27.327366666666698</v>
      </c>
      <c r="BI252">
        <v>30.162600000000001</v>
      </c>
      <c r="BJ252">
        <v>28.676400000000001</v>
      </c>
      <c r="BK252">
        <v>30.725258333333301</v>
      </c>
      <c r="BL252">
        <v>35.255375000000001</v>
      </c>
      <c r="BM252">
        <v>42.013291666666703</v>
      </c>
      <c r="BN252">
        <v>43.554575</v>
      </c>
      <c r="BO252">
        <v>41.1710833333333</v>
      </c>
      <c r="BP252">
        <v>38.823916666666697</v>
      </c>
      <c r="BQ252">
        <v>40.212787499999997</v>
      </c>
    </row>
    <row r="253" spans="1:69" x14ac:dyDescent="0.3">
      <c r="A253" t="s">
        <v>508</v>
      </c>
      <c r="B253" t="s">
        <v>509</v>
      </c>
      <c r="C253" t="s">
        <v>6</v>
      </c>
      <c r="D253" t="s">
        <v>7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</row>
    <row r="254" spans="1:69" x14ac:dyDescent="0.3">
      <c r="A254" t="s">
        <v>510</v>
      </c>
      <c r="B254" t="s">
        <v>511</v>
      </c>
      <c r="C254" t="s">
        <v>6</v>
      </c>
      <c r="D254" t="s">
        <v>7</v>
      </c>
      <c r="AN254">
        <v>29.774999999999999</v>
      </c>
      <c r="AO254">
        <v>40.066666666666599</v>
      </c>
      <c r="AP254">
        <v>62.9166666666667</v>
      </c>
      <c r="AQ254">
        <v>94.491666666666703</v>
      </c>
      <c r="AR254">
        <v>124.625</v>
      </c>
      <c r="AS254">
        <v>236.60833333333301</v>
      </c>
      <c r="BF254">
        <v>2094.9884650537601</v>
      </c>
      <c r="BG254">
        <v>2310.9481588069598</v>
      </c>
      <c r="BH254">
        <v>2567.9872133982699</v>
      </c>
      <c r="BI254">
        <v>2965.25349937684</v>
      </c>
      <c r="BJ254">
        <v>5113.8789459571699</v>
      </c>
      <c r="BK254">
        <v>8069.6062365591397</v>
      </c>
      <c r="BL254">
        <v>8836.7875000000004</v>
      </c>
      <c r="BM254">
        <v>10054.2613341653</v>
      </c>
      <c r="BN254">
        <v>10609.464390809</v>
      </c>
      <c r="BO254">
        <v>11050.145422363001</v>
      </c>
      <c r="BP254">
        <v>11734.8334198669</v>
      </c>
      <c r="BQ254">
        <v>12652.286820973901</v>
      </c>
    </row>
    <row r="255" spans="1:69" x14ac:dyDescent="0.3">
      <c r="A255" t="s">
        <v>512</v>
      </c>
      <c r="B255" t="s">
        <v>513</v>
      </c>
      <c r="C255" t="s">
        <v>6</v>
      </c>
      <c r="D255" t="s">
        <v>7</v>
      </c>
      <c r="E255">
        <v>1.7142900007142901</v>
      </c>
      <c r="F255">
        <v>1.7142900007142901</v>
      </c>
      <c r="G255">
        <v>1.7142900007142901</v>
      </c>
      <c r="H255">
        <v>1.7142900007142901</v>
      </c>
      <c r="I255">
        <v>1.7142900007142901</v>
      </c>
      <c r="J255">
        <v>1.7142900007142901</v>
      </c>
      <c r="K255">
        <v>1.7142900007142901</v>
      </c>
      <c r="L255">
        <v>1.7619083340952399</v>
      </c>
      <c r="M255">
        <v>2.0000000010000001</v>
      </c>
      <c r="N255">
        <v>2.0000000010000001</v>
      </c>
      <c r="O255">
        <v>2.0000000010000001</v>
      </c>
      <c r="P255">
        <v>1.97487273321145</v>
      </c>
      <c r="Q255">
        <v>1.9212781494760101</v>
      </c>
      <c r="R255">
        <v>1.9592192359816101</v>
      </c>
      <c r="S255">
        <v>2.0532324085176299</v>
      </c>
      <c r="T255">
        <v>2.16979583233333</v>
      </c>
      <c r="U255">
        <v>2.6146708328333301</v>
      </c>
      <c r="V255">
        <v>2.7</v>
      </c>
      <c r="W255">
        <v>2.7</v>
      </c>
      <c r="X255">
        <v>2.7</v>
      </c>
      <c r="Y255">
        <v>2.7</v>
      </c>
      <c r="Z255">
        <v>2.7</v>
      </c>
      <c r="AA255">
        <v>2.7</v>
      </c>
      <c r="AB255">
        <v>2.7</v>
      </c>
      <c r="AC255">
        <v>2.7</v>
      </c>
      <c r="AD255">
        <v>2.7</v>
      </c>
      <c r="AE255">
        <v>2.7</v>
      </c>
      <c r="AF255">
        <v>2.7</v>
      </c>
      <c r="AG255">
        <v>2.7</v>
      </c>
      <c r="AH255">
        <v>2.7</v>
      </c>
      <c r="AI255">
        <v>2.7</v>
      </c>
      <c r="AJ255">
        <v>2.7</v>
      </c>
      <c r="AK255">
        <v>2.7</v>
      </c>
      <c r="AL255">
        <v>2.7</v>
      </c>
      <c r="AM255">
        <v>2.7</v>
      </c>
      <c r="AN255">
        <v>2.7</v>
      </c>
      <c r="AO255">
        <v>2.7</v>
      </c>
      <c r="AP255">
        <v>2.7</v>
      </c>
      <c r="AQ255">
        <v>2.7</v>
      </c>
      <c r="AR255">
        <v>2.7</v>
      </c>
      <c r="AS255">
        <v>2.7</v>
      </c>
      <c r="AT255">
        <v>2.7</v>
      </c>
      <c r="AU255">
        <v>2.7</v>
      </c>
      <c r="AV255">
        <v>2.7</v>
      </c>
      <c r="AW255">
        <v>2.7</v>
      </c>
      <c r="AX255">
        <v>2.7</v>
      </c>
      <c r="AY255">
        <v>2.7</v>
      </c>
      <c r="AZ255">
        <v>2.7</v>
      </c>
      <c r="BA255">
        <v>2.7</v>
      </c>
      <c r="BB255">
        <v>2.7</v>
      </c>
      <c r="BC255">
        <v>2.7</v>
      </c>
      <c r="BD255">
        <v>2.7</v>
      </c>
      <c r="BE255">
        <v>2.7</v>
      </c>
      <c r="BF255">
        <v>2.7</v>
      </c>
      <c r="BG255">
        <v>2.7</v>
      </c>
      <c r="BH255">
        <v>2.7</v>
      </c>
      <c r="BI255">
        <v>2.7</v>
      </c>
      <c r="BJ255">
        <v>2.7</v>
      </c>
      <c r="BK255">
        <v>2.7</v>
      </c>
      <c r="BL255">
        <v>2.7</v>
      </c>
      <c r="BM255">
        <v>2.7</v>
      </c>
      <c r="BN255">
        <v>2.7</v>
      </c>
      <c r="BO255">
        <v>2.7</v>
      </c>
      <c r="BP255">
        <v>2.7</v>
      </c>
      <c r="BQ255">
        <v>2.7</v>
      </c>
    </row>
    <row r="256" spans="1:69" x14ac:dyDescent="0.3">
      <c r="A256" t="s">
        <v>514</v>
      </c>
      <c r="B256" t="s">
        <v>515</v>
      </c>
      <c r="C256" t="s">
        <v>6</v>
      </c>
      <c r="D256" t="s">
        <v>7</v>
      </c>
      <c r="E256">
        <v>3.3495833323333299E-3</v>
      </c>
      <c r="F256">
        <v>3.3498333323333301E-3</v>
      </c>
      <c r="G256">
        <v>3.3496666656666701E-3</v>
      </c>
      <c r="H256">
        <v>3.3496666656666701E-3</v>
      </c>
      <c r="I256">
        <v>4.3499999999999997E-3</v>
      </c>
      <c r="J256">
        <v>4.4000000000000003E-3</v>
      </c>
      <c r="K256">
        <v>4.4000000000000003E-3</v>
      </c>
      <c r="L256">
        <v>4.4000000000000003E-3</v>
      </c>
      <c r="M256">
        <v>4.4000000000000003E-3</v>
      </c>
      <c r="N256">
        <v>4.4000000000000003E-3</v>
      </c>
      <c r="O256">
        <v>4.4000000000000003E-3</v>
      </c>
      <c r="P256">
        <v>4.4000000000000003E-3</v>
      </c>
      <c r="Q256">
        <v>4.3E-3</v>
      </c>
      <c r="R256">
        <v>4.3E-3</v>
      </c>
      <c r="S256">
        <v>4.3E-3</v>
      </c>
      <c r="T256">
        <v>4.3E-3</v>
      </c>
      <c r="U256">
        <v>4.3E-3</v>
      </c>
      <c r="V256">
        <v>4.3E-3</v>
      </c>
      <c r="W256">
        <v>4.3E-3</v>
      </c>
      <c r="X256">
        <v>4.3E-3</v>
      </c>
      <c r="Y256">
        <v>4.3E-3</v>
      </c>
      <c r="Z256">
        <v>4.3E-3</v>
      </c>
      <c r="AA256">
        <v>4.3E-3</v>
      </c>
      <c r="AB256">
        <v>4.3E-3</v>
      </c>
      <c r="AC256">
        <v>7.0166666666666702E-3</v>
      </c>
      <c r="AD256">
        <v>7.4999999999999997E-3</v>
      </c>
      <c r="AE256">
        <v>8.0833333333333295E-3</v>
      </c>
      <c r="AF256">
        <v>1.4500000000000001E-2</v>
      </c>
      <c r="AG256">
        <v>1.4500000000000001E-2</v>
      </c>
      <c r="AH256">
        <v>3.4691666666666697E-2</v>
      </c>
      <c r="AI256">
        <v>4.68916666666667E-2</v>
      </c>
      <c r="AJ256">
        <v>5.6825000000000001E-2</v>
      </c>
      <c r="AK256">
        <v>6.8383333333333296E-2</v>
      </c>
      <c r="AL256">
        <v>9.0841666666666696E-2</v>
      </c>
      <c r="AM256">
        <v>0.14685833333333301</v>
      </c>
      <c r="AN256">
        <v>0.17684166666666701</v>
      </c>
      <c r="AO256">
        <v>0.41735</v>
      </c>
      <c r="AP256">
        <v>0.48863333333333298</v>
      </c>
      <c r="AQ256">
        <v>0.54756666666666698</v>
      </c>
      <c r="AR256">
        <v>0.60572499999999996</v>
      </c>
      <c r="AS256">
        <v>0.67996666666666705</v>
      </c>
      <c r="AT256">
        <v>0.72365833333333296</v>
      </c>
      <c r="AU256">
        <v>1.1609499999999999</v>
      </c>
      <c r="AV256">
        <v>1.6069583333333299</v>
      </c>
      <c r="AW256">
        <v>1.89133333333333</v>
      </c>
      <c r="AX256">
        <v>2.08975</v>
      </c>
      <c r="AY256">
        <v>2.1469999999999998</v>
      </c>
      <c r="AZ256">
        <v>2.1469999999999998</v>
      </c>
      <c r="BA256">
        <v>2.1469999999999998</v>
      </c>
      <c r="BB256">
        <v>2.1469999999999998</v>
      </c>
      <c r="BC256">
        <v>2.5820603174603201</v>
      </c>
      <c r="BD256">
        <v>4.2892999999999999</v>
      </c>
      <c r="BE256">
        <v>4.2892999999999999</v>
      </c>
      <c r="BF256">
        <v>6.0479618416666696</v>
      </c>
      <c r="BG256">
        <v>6.2842000000000002</v>
      </c>
      <c r="BH256">
        <v>6.2842000000000002</v>
      </c>
      <c r="BI256">
        <v>9.2573444444416708</v>
      </c>
      <c r="BJ256">
        <v>9.9749999999999996</v>
      </c>
    </row>
    <row r="257" spans="1:69" x14ac:dyDescent="0.3">
      <c r="A257" t="s">
        <v>516</v>
      </c>
      <c r="B257" t="s">
        <v>517</v>
      </c>
      <c r="C257" t="s">
        <v>6</v>
      </c>
      <c r="D257" t="s">
        <v>7</v>
      </c>
    </row>
    <row r="258" spans="1:69" x14ac:dyDescent="0.3">
      <c r="A258" t="s">
        <v>518</v>
      </c>
      <c r="B258" t="s">
        <v>519</v>
      </c>
      <c r="C258" t="s">
        <v>6</v>
      </c>
      <c r="D258" t="s">
        <v>7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</row>
    <row r="259" spans="1:69" x14ac:dyDescent="0.3">
      <c r="A259" t="s">
        <v>520</v>
      </c>
      <c r="B259" t="s">
        <v>521</v>
      </c>
      <c r="C259" t="s">
        <v>6</v>
      </c>
      <c r="D259" t="s">
        <v>7</v>
      </c>
      <c r="AB259">
        <v>1.0017709226849301</v>
      </c>
      <c r="AE259">
        <v>22.936728260869501</v>
      </c>
      <c r="AF259">
        <v>78.953315724637505</v>
      </c>
      <c r="AG259">
        <v>611.64608695652203</v>
      </c>
      <c r="AH259">
        <v>4501.6865290896603</v>
      </c>
      <c r="AI259">
        <v>6537.6046856884004</v>
      </c>
      <c r="AJ259">
        <v>10121.8932306763</v>
      </c>
      <c r="AK259">
        <v>11202.1916666667</v>
      </c>
      <c r="AL259">
        <v>10640.958333333299</v>
      </c>
      <c r="AM259">
        <v>10965.666666666701</v>
      </c>
      <c r="AN259">
        <v>11038.25</v>
      </c>
      <c r="AO259">
        <v>11032.583333333299</v>
      </c>
      <c r="AP259">
        <v>11683.333333333299</v>
      </c>
      <c r="AQ259">
        <v>13268</v>
      </c>
      <c r="AR259">
        <v>13943.166666666701</v>
      </c>
      <c r="AS259">
        <v>14167.75</v>
      </c>
      <c r="AT259">
        <v>14725.166666666701</v>
      </c>
      <c r="AU259">
        <v>15279.5</v>
      </c>
      <c r="AV259">
        <v>15509.583333333299</v>
      </c>
      <c r="AW259">
        <v>15746</v>
      </c>
      <c r="AX259">
        <v>15858.916666666701</v>
      </c>
      <c r="AY259">
        <v>15994.25</v>
      </c>
      <c r="AZ259">
        <v>16105.125</v>
      </c>
      <c r="BA259">
        <v>16302.25</v>
      </c>
      <c r="BB259">
        <v>17065.083333333299</v>
      </c>
      <c r="BC259">
        <v>18612.916666666701</v>
      </c>
      <c r="BD259">
        <v>20509.75</v>
      </c>
      <c r="BE259">
        <v>20828</v>
      </c>
      <c r="BF259">
        <v>20933.416666666701</v>
      </c>
      <c r="BG259">
        <v>21148</v>
      </c>
      <c r="BH259">
        <v>21697.567500000001</v>
      </c>
      <c r="BI259">
        <v>21935.000833333299</v>
      </c>
      <c r="BJ259">
        <v>22370.086666666699</v>
      </c>
      <c r="BK259">
        <v>22602.05</v>
      </c>
      <c r="BL259">
        <v>23050.241666666701</v>
      </c>
      <c r="BM259">
        <v>23208.368333333299</v>
      </c>
      <c r="BN259">
        <v>23159.782592592601</v>
      </c>
      <c r="BO259">
        <v>23271.212500000001</v>
      </c>
      <c r="BP259">
        <v>23787.319166666701</v>
      </c>
      <c r="BQ259">
        <v>24164.885833333301</v>
      </c>
    </row>
    <row r="260" spans="1:69" x14ac:dyDescent="0.3">
      <c r="A260" t="s">
        <v>522</v>
      </c>
      <c r="B260" t="s">
        <v>523</v>
      </c>
      <c r="C260" t="s">
        <v>6</v>
      </c>
      <c r="D260" t="s">
        <v>7</v>
      </c>
      <c r="E260">
        <v>89.765000088765007</v>
      </c>
      <c r="F260">
        <v>89.765000088765007</v>
      </c>
      <c r="G260">
        <v>89.765000088765007</v>
      </c>
      <c r="H260">
        <v>89.765000088765007</v>
      </c>
      <c r="I260">
        <v>89.765000088765007</v>
      </c>
      <c r="J260">
        <v>89.765000088765007</v>
      </c>
      <c r="K260">
        <v>89.765000088765007</v>
      </c>
      <c r="L260">
        <v>89.765000088765007</v>
      </c>
      <c r="M260">
        <v>89.765000088765007</v>
      </c>
      <c r="N260">
        <v>94.440000093440005</v>
      </c>
      <c r="O260">
        <v>100.985000099985</v>
      </c>
      <c r="P260">
        <v>100.689451223571</v>
      </c>
      <c r="Q260">
        <v>81.610909090916607</v>
      </c>
      <c r="R260">
        <v>72.044713804750003</v>
      </c>
      <c r="S260">
        <v>77.803232323333305</v>
      </c>
      <c r="T260">
        <v>69.272592592666697</v>
      </c>
      <c r="U260">
        <v>77.236228956166698</v>
      </c>
      <c r="V260">
        <v>79.411313131166693</v>
      </c>
      <c r="W260">
        <v>72.938989898916702</v>
      </c>
      <c r="X260">
        <v>68.758249158333399</v>
      </c>
      <c r="Y260">
        <v>68.292121212166606</v>
      </c>
      <c r="Z260">
        <v>87.825925925749999</v>
      </c>
      <c r="AA260">
        <v>96.207499999416697</v>
      </c>
      <c r="AB260">
        <v>99.367661994000002</v>
      </c>
      <c r="AC260">
        <v>99.2333333325833</v>
      </c>
      <c r="AD260">
        <v>106.03166666600001</v>
      </c>
      <c r="AE260">
        <v>106.075833332917</v>
      </c>
      <c r="AF260">
        <v>109.849166666667</v>
      </c>
      <c r="AG260">
        <v>104.425833333333</v>
      </c>
      <c r="AH260">
        <v>116.041666666667</v>
      </c>
      <c r="AI260">
        <v>117.06125</v>
      </c>
      <c r="AJ260">
        <v>111.675</v>
      </c>
      <c r="AK260">
        <v>113.39166666666701</v>
      </c>
      <c r="AL260">
        <v>121.580833333333</v>
      </c>
      <c r="AM260">
        <v>116.405</v>
      </c>
      <c r="AN260">
        <v>112.11166666666701</v>
      </c>
      <c r="AO260">
        <v>111.71916666666699</v>
      </c>
      <c r="AP260">
        <v>115.87333333333299</v>
      </c>
      <c r="AQ260">
        <v>127.5175</v>
      </c>
      <c r="AR260">
        <v>129.07499999999999</v>
      </c>
      <c r="AS260">
        <v>137.643333333333</v>
      </c>
      <c r="AT260">
        <v>145.3125</v>
      </c>
      <c r="AU260">
        <v>139.19833333333301</v>
      </c>
      <c r="AV260">
        <v>122.18916666666701</v>
      </c>
      <c r="AW260">
        <v>111.79</v>
      </c>
      <c r="AX260">
        <v>109.245833333333</v>
      </c>
      <c r="AY260">
        <v>110.64083333333301</v>
      </c>
      <c r="AZ260">
        <v>102.4375</v>
      </c>
      <c r="BA260">
        <v>101.334166666667</v>
      </c>
      <c r="BB260">
        <v>106.740833333333</v>
      </c>
      <c r="BC260">
        <v>96.905833333333305</v>
      </c>
      <c r="BD260">
        <v>89.469166666666695</v>
      </c>
      <c r="BE260">
        <v>92.637500000000003</v>
      </c>
      <c r="BF260">
        <v>94.542500000000004</v>
      </c>
      <c r="BG260">
        <v>97.071666666666701</v>
      </c>
      <c r="BH260">
        <v>108.989166666667</v>
      </c>
      <c r="BI260">
        <v>108.47499999999999</v>
      </c>
      <c r="BJ260">
        <v>107.820833333333</v>
      </c>
      <c r="BK260">
        <v>110.16500000000001</v>
      </c>
      <c r="BL260">
        <v>114.7325</v>
      </c>
      <c r="BM260">
        <v>115.38</v>
      </c>
      <c r="BN260">
        <v>109.4525</v>
      </c>
      <c r="BO260">
        <v>115.353916666667</v>
      </c>
      <c r="BP260">
        <v>119.1125</v>
      </c>
      <c r="BQ260">
        <v>119.166666666667</v>
      </c>
    </row>
    <row r="261" spans="1:69" x14ac:dyDescent="0.3">
      <c r="A261" t="s">
        <v>524</v>
      </c>
      <c r="B261" t="s">
        <v>525</v>
      </c>
      <c r="C261" t="s">
        <v>6</v>
      </c>
      <c r="D261" t="s">
        <v>7</v>
      </c>
    </row>
    <row r="262" spans="1:69" x14ac:dyDescent="0.3">
      <c r="A262" t="s">
        <v>526</v>
      </c>
      <c r="B262" t="s">
        <v>527</v>
      </c>
      <c r="C262" t="s">
        <v>6</v>
      </c>
      <c r="D262" t="s">
        <v>7</v>
      </c>
      <c r="E262">
        <v>0.71428999971428997</v>
      </c>
      <c r="F262">
        <v>0.71551499971551502</v>
      </c>
      <c r="G262">
        <v>0.71918999971918995</v>
      </c>
      <c r="H262">
        <v>0.71918999971918995</v>
      </c>
      <c r="I262">
        <v>0.71918999971918995</v>
      </c>
      <c r="J262">
        <v>0.71918999971918995</v>
      </c>
      <c r="K262">
        <v>0.71918999971918995</v>
      </c>
      <c r="L262">
        <v>0.71950333305283698</v>
      </c>
      <c r="M262">
        <v>0.72106999972107</v>
      </c>
      <c r="N262">
        <v>0.72106999972107</v>
      </c>
      <c r="O262">
        <v>0.72106999972107</v>
      </c>
      <c r="P262">
        <v>0.71895973437828298</v>
      </c>
      <c r="Q262">
        <v>0.67542999999999997</v>
      </c>
      <c r="R262">
        <v>0.61495250000000001</v>
      </c>
      <c r="S262">
        <v>0.60658000000000001</v>
      </c>
      <c r="T262">
        <v>0.63278858316666697</v>
      </c>
      <c r="U262">
        <v>0.79536549899999998</v>
      </c>
      <c r="V262">
        <v>0.78607749900000001</v>
      </c>
      <c r="W262">
        <v>0.73633283233333302</v>
      </c>
      <c r="X262">
        <v>0.82615833233333302</v>
      </c>
      <c r="Y262">
        <v>0.91930666566666697</v>
      </c>
      <c r="Z262">
        <v>1.0340849990833301</v>
      </c>
      <c r="AA262">
        <v>1.2073324990833301</v>
      </c>
      <c r="AB262">
        <v>1.54913083308333</v>
      </c>
      <c r="AC262">
        <v>1.86230583283333</v>
      </c>
      <c r="AD262">
        <v>2.2452733330833299</v>
      </c>
      <c r="AE262">
        <v>2.2357599999166702</v>
      </c>
      <c r="AF262">
        <v>2.12174833333333</v>
      </c>
      <c r="AG262">
        <v>2.08043666666667</v>
      </c>
      <c r="AH262">
        <v>2.2701916666666699</v>
      </c>
      <c r="AI262">
        <v>2.30985166666667</v>
      </c>
      <c r="AJ262">
        <v>2.3996223333333302</v>
      </c>
      <c r="AK262">
        <v>2.46630833333333</v>
      </c>
      <c r="AL262">
        <v>2.56860341666667</v>
      </c>
      <c r="AM262">
        <v>2.5350371666666698</v>
      </c>
      <c r="AN262">
        <v>2.4734041666666702</v>
      </c>
      <c r="AO262">
        <v>2.4621729166666699</v>
      </c>
      <c r="AP262">
        <v>2.5593716666666699</v>
      </c>
      <c r="AQ262">
        <v>2.9476868333333299</v>
      </c>
      <c r="AR262">
        <v>3.0131519999999998</v>
      </c>
      <c r="AS262">
        <v>3.2863615249999998</v>
      </c>
      <c r="AT262">
        <v>3.4780400715000002</v>
      </c>
      <c r="AU262">
        <v>3.3762581025</v>
      </c>
      <c r="AV262">
        <v>2.9732376583333302</v>
      </c>
      <c r="AW262">
        <v>2.7807234306666699</v>
      </c>
      <c r="AX262">
        <v>2.71033673441667</v>
      </c>
      <c r="AY262">
        <v>2.7792940446967198</v>
      </c>
      <c r="AZ262">
        <v>2.6165724724799602</v>
      </c>
      <c r="BA262">
        <v>2.64417628032353</v>
      </c>
      <c r="BB262">
        <v>2.7307785095373101</v>
      </c>
      <c r="BC262">
        <v>2.4846565845233801</v>
      </c>
      <c r="BD262">
        <v>2.3174720118126002</v>
      </c>
      <c r="BE262">
        <v>2.29231194992329</v>
      </c>
      <c r="BF262">
        <v>2.3109000348257598</v>
      </c>
      <c r="BG262">
        <v>2.3317688461830799</v>
      </c>
      <c r="BH262">
        <v>2.5608736880983001</v>
      </c>
      <c r="BI262">
        <v>2.56492967258212</v>
      </c>
      <c r="BJ262">
        <v>2.5543771164103699</v>
      </c>
      <c r="BK262">
        <v>2.5872799505726101</v>
      </c>
      <c r="BL262">
        <v>2.6488263218660499</v>
      </c>
      <c r="BM262">
        <v>2.6649608451969602</v>
      </c>
      <c r="BN262">
        <v>2.5560923420784301</v>
      </c>
      <c r="BO262">
        <v>2.6889976473405901</v>
      </c>
      <c r="BP262">
        <v>2.73843913026323</v>
      </c>
      <c r="BQ262">
        <v>2.7539537051243301</v>
      </c>
    </row>
    <row r="263" spans="1:69" x14ac:dyDescent="0.3">
      <c r="A263" t="s">
        <v>528</v>
      </c>
      <c r="B263" t="s">
        <v>529</v>
      </c>
      <c r="C263" t="s">
        <v>6</v>
      </c>
      <c r="D263" t="s">
        <v>7</v>
      </c>
      <c r="AU263">
        <v>1.0575589962396501</v>
      </c>
      <c r="AV263">
        <v>0.88404792718496095</v>
      </c>
      <c r="AW263">
        <v>0.80392164774760499</v>
      </c>
      <c r="AX263">
        <v>0.80380019216141596</v>
      </c>
      <c r="AY263">
        <v>0.79643273094909595</v>
      </c>
      <c r="AZ263">
        <v>0.72967239998408795</v>
      </c>
      <c r="BA263">
        <v>0.67992268004272904</v>
      </c>
      <c r="BB263">
        <v>0.71695770201613596</v>
      </c>
      <c r="BC263">
        <v>0.75430899010597896</v>
      </c>
      <c r="BD263">
        <v>0.71841389865332195</v>
      </c>
      <c r="BE263">
        <v>0.77833812041681205</v>
      </c>
      <c r="BF263">
        <v>0.75294512270200198</v>
      </c>
      <c r="BG263">
        <v>0.75272819693259096</v>
      </c>
      <c r="BH263">
        <v>0.90129642336709603</v>
      </c>
      <c r="BI263">
        <v>0.90342143625728799</v>
      </c>
      <c r="BJ263">
        <v>0.88520550826938005</v>
      </c>
      <c r="BK263">
        <v>0.84677266710809596</v>
      </c>
      <c r="BL263">
        <v>0.89321558147922597</v>
      </c>
      <c r="BM263">
        <v>0.87747520723301198</v>
      </c>
      <c r="BN263">
        <v>0.84537656436794495</v>
      </c>
      <c r="BO263">
        <v>0.95091553396210804</v>
      </c>
      <c r="BP263">
        <v>0.92470962298735604</v>
      </c>
      <c r="BQ263">
        <v>0.92436744727026698</v>
      </c>
    </row>
    <row r="264" spans="1:69" x14ac:dyDescent="0.3">
      <c r="A264" t="s">
        <v>530</v>
      </c>
      <c r="B264" t="s">
        <v>531</v>
      </c>
      <c r="C264" t="s">
        <v>6</v>
      </c>
      <c r="D264" t="s">
        <v>7</v>
      </c>
      <c r="AI264">
        <v>12.0100611997629</v>
      </c>
      <c r="AJ264">
        <v>12.0100001707085</v>
      </c>
      <c r="AK264">
        <v>12.0100001707085</v>
      </c>
      <c r="AL264">
        <v>12.0100001707085</v>
      </c>
      <c r="AM264">
        <v>12.0100001707085</v>
      </c>
      <c r="AN264">
        <v>40.839166758134901</v>
      </c>
      <c r="AO264">
        <v>94.156666716535199</v>
      </c>
      <c r="AP264">
        <v>129.28083333333299</v>
      </c>
      <c r="AQ264">
        <v>135.881666666667</v>
      </c>
      <c r="AR264">
        <v>155.71833333333299</v>
      </c>
      <c r="AS264">
        <v>161.71833333333299</v>
      </c>
      <c r="AT264">
        <v>168.67166666666699</v>
      </c>
      <c r="AU264">
        <v>175.625</v>
      </c>
      <c r="AV264">
        <v>183.44833333333301</v>
      </c>
      <c r="AW264">
        <v>184.775833333333</v>
      </c>
      <c r="AX264">
        <v>191.509166666667</v>
      </c>
      <c r="AY264">
        <v>197.04916666666699</v>
      </c>
      <c r="AZ264">
        <v>198.95333333333301</v>
      </c>
      <c r="BA264">
        <v>199.76416666666699</v>
      </c>
      <c r="BB264">
        <v>202.84666666666701</v>
      </c>
      <c r="BC264">
        <v>219.59</v>
      </c>
      <c r="BD264">
        <v>213.8</v>
      </c>
      <c r="BE264">
        <v>214.349166666667</v>
      </c>
      <c r="BF264">
        <v>214.89</v>
      </c>
      <c r="BG264">
        <v>214.89</v>
      </c>
      <c r="BH264">
        <v>230.833333333333</v>
      </c>
      <c r="BI264">
        <v>283.89583333333297</v>
      </c>
      <c r="BJ264">
        <v>282.19499999999999</v>
      </c>
      <c r="BK264">
        <v>214.89</v>
      </c>
      <c r="BL264">
        <v>486.73092293906802</v>
      </c>
      <c r="BM264">
        <v>743.00596435653199</v>
      </c>
      <c r="BN264">
        <v>1028.107754329</v>
      </c>
      <c r="BO264">
        <v>1115.0023871066201</v>
      </c>
      <c r="BP264">
        <v>1355.11637864823</v>
      </c>
    </row>
    <row r="265" spans="1:69" x14ac:dyDescent="0.3">
      <c r="A265" t="s">
        <v>532</v>
      </c>
      <c r="B265" t="s">
        <v>533</v>
      </c>
      <c r="C265" t="s">
        <v>6</v>
      </c>
      <c r="D265" t="s">
        <v>7</v>
      </c>
      <c r="E265">
        <v>0.71428599971428597</v>
      </c>
      <c r="F265">
        <v>0.71428599971428597</v>
      </c>
      <c r="G265">
        <v>0.71428599971428597</v>
      </c>
      <c r="H265">
        <v>0.71428599971428597</v>
      </c>
      <c r="I265">
        <v>0.71428599971428597</v>
      </c>
      <c r="J265">
        <v>0.71428599971428597</v>
      </c>
      <c r="K265">
        <v>0.71428599971428597</v>
      </c>
      <c r="L265">
        <v>0.71428599971428597</v>
      </c>
      <c r="M265">
        <v>0.71428599971428597</v>
      </c>
      <c r="N265">
        <v>0.71428599971428597</v>
      </c>
      <c r="O265">
        <v>0.71428599971428597</v>
      </c>
      <c r="P265">
        <v>0.71521691632142903</v>
      </c>
      <c r="Q265">
        <v>0.76872523719602703</v>
      </c>
      <c r="R265">
        <v>0.69395909802109201</v>
      </c>
      <c r="S265">
        <v>0.67947700357025098</v>
      </c>
      <c r="T265">
        <v>0.73950775529633594</v>
      </c>
      <c r="U265">
        <v>0.86956521814744803</v>
      </c>
      <c r="V265">
        <v>0.86956521814744803</v>
      </c>
      <c r="W265">
        <v>0.86956521814744803</v>
      </c>
      <c r="X265">
        <v>0.84202260193494305</v>
      </c>
      <c r="Y265">
        <v>0.77883373727604199</v>
      </c>
      <c r="Z265">
        <v>0.87757894275815396</v>
      </c>
      <c r="AA265">
        <v>1.0858158330833301</v>
      </c>
      <c r="AB265">
        <v>1.1140999997500001</v>
      </c>
      <c r="AC265">
        <v>1.47527749975</v>
      </c>
      <c r="AD265">
        <v>2.2286749994166701</v>
      </c>
      <c r="AE265">
        <v>2.2850316664166699</v>
      </c>
      <c r="AF265">
        <v>2.03603333333333</v>
      </c>
      <c r="AG265">
        <v>2.2734675000000002</v>
      </c>
      <c r="AH265">
        <v>2.6226775</v>
      </c>
      <c r="AI265">
        <v>2.58732083333333</v>
      </c>
      <c r="AJ265">
        <v>2.7613150000000002</v>
      </c>
      <c r="AK265">
        <v>2.8520141666666698</v>
      </c>
      <c r="AL265">
        <v>3.2677415833333301</v>
      </c>
      <c r="AM265">
        <v>3.5507983333333399</v>
      </c>
      <c r="AN265">
        <v>3.6270850000000001</v>
      </c>
      <c r="AO265">
        <v>4.2993491666666701</v>
      </c>
      <c r="AP265">
        <v>4.6079616666666698</v>
      </c>
      <c r="AQ265">
        <v>5.52828416666667</v>
      </c>
      <c r="AR265">
        <v>6.1094841666666699</v>
      </c>
      <c r="AS265">
        <v>6.9398283333333302</v>
      </c>
      <c r="AT265">
        <v>8.6091808333333404</v>
      </c>
      <c r="AU265">
        <v>10.540746666666699</v>
      </c>
      <c r="AV265">
        <v>7.5647491666666697</v>
      </c>
      <c r="AW265">
        <v>6.4596925000000001</v>
      </c>
      <c r="AX265">
        <v>6.3593283333333304</v>
      </c>
      <c r="AY265">
        <v>6.7715491666666701</v>
      </c>
      <c r="AZ265">
        <v>7.0453650000000003</v>
      </c>
      <c r="BA265">
        <v>8.26122333333333</v>
      </c>
      <c r="BB265">
        <v>8.4736741582488797</v>
      </c>
      <c r="BC265">
        <v>7.3212219611528804</v>
      </c>
      <c r="BD265">
        <v>7.2611321323273499</v>
      </c>
      <c r="BE265">
        <v>8.2099686265933194</v>
      </c>
      <c r="BF265">
        <v>9.6550560691352594</v>
      </c>
      <c r="BG265">
        <v>10.852655568783099</v>
      </c>
      <c r="BH265">
        <v>12.7589308811644</v>
      </c>
      <c r="BI265">
        <v>14.7096108855267</v>
      </c>
      <c r="BJ265">
        <v>13.3238014244992</v>
      </c>
      <c r="BK265">
        <v>13.233926471583301</v>
      </c>
      <c r="BL265">
        <v>14.448427054833299</v>
      </c>
      <c r="BM265">
        <v>16.459105390333299</v>
      </c>
      <c r="BN265">
        <v>14.778678213916701</v>
      </c>
      <c r="BO265">
        <v>16.355853484499999</v>
      </c>
      <c r="BP265">
        <v>18.4502441785</v>
      </c>
      <c r="BQ265">
        <v>18.328657550500001</v>
      </c>
    </row>
    <row r="266" spans="1:69" x14ac:dyDescent="0.3">
      <c r="A266" t="s">
        <v>534</v>
      </c>
      <c r="B266" t="s">
        <v>535</v>
      </c>
      <c r="C266" t="s">
        <v>6</v>
      </c>
      <c r="D266" t="s">
        <v>7</v>
      </c>
      <c r="E266">
        <v>0.71428599971428597</v>
      </c>
      <c r="F266">
        <v>0.71428599971428597</v>
      </c>
      <c r="G266">
        <v>0.71428599971428597</v>
      </c>
      <c r="H266">
        <v>0.71428599971428597</v>
      </c>
      <c r="I266">
        <v>0.71428599971428597</v>
      </c>
      <c r="J266">
        <v>0.71428599971428597</v>
      </c>
      <c r="K266">
        <v>0.71428599971428597</v>
      </c>
      <c r="L266">
        <v>0.71428599971428597</v>
      </c>
      <c r="M266">
        <v>0.71428599971428597</v>
      </c>
      <c r="N266">
        <v>0.71428599971428597</v>
      </c>
      <c r="O266">
        <v>0.71428599971428597</v>
      </c>
      <c r="P266">
        <v>0.71428599887889399</v>
      </c>
      <c r="Q266">
        <v>7.1431749899999997E-4</v>
      </c>
      <c r="R266">
        <v>6.5239666566666704E-4</v>
      </c>
      <c r="S266">
        <v>6.43459999E-4</v>
      </c>
      <c r="T266">
        <v>6.4322999949999995E-4</v>
      </c>
      <c r="U266">
        <v>7.0098383316666703E-4</v>
      </c>
      <c r="V266">
        <v>7.89727832416667E-4</v>
      </c>
      <c r="W266">
        <v>8.0066666666666697E-4</v>
      </c>
      <c r="X266">
        <v>7.9333333333333296E-4</v>
      </c>
      <c r="Y266">
        <v>7.8866666666666701E-4</v>
      </c>
      <c r="Z266">
        <v>8.6958333333333299E-4</v>
      </c>
      <c r="AA266">
        <v>9.2875E-4</v>
      </c>
      <c r="AB266">
        <v>1.2589999999999999E-3</v>
      </c>
      <c r="AC266">
        <v>1.8131883327499999E-3</v>
      </c>
      <c r="AD266">
        <v>3.1396416662499999E-3</v>
      </c>
      <c r="AE266">
        <v>7.7884491665833298E-3</v>
      </c>
      <c r="AF266">
        <v>9.5194749999999995E-3</v>
      </c>
      <c r="AG266">
        <v>8.2660249999999998E-3</v>
      </c>
      <c r="AH266">
        <v>1.3813695833333301E-2</v>
      </c>
      <c r="AI266">
        <v>3.0289108333333301E-2</v>
      </c>
      <c r="AJ266">
        <v>6.4639708333333296E-2</v>
      </c>
      <c r="AK266">
        <v>0.17221378333333301</v>
      </c>
      <c r="AL266">
        <v>0.45276266666666698</v>
      </c>
      <c r="AM266">
        <v>0.66937062166666705</v>
      </c>
      <c r="AN266">
        <v>0.86411916666666699</v>
      </c>
      <c r="AO266">
        <v>1.2079</v>
      </c>
      <c r="AP266">
        <v>1.3144975000000001</v>
      </c>
      <c r="AQ266">
        <v>1.86206916666667</v>
      </c>
      <c r="AR266">
        <v>2.3880191666666701</v>
      </c>
      <c r="AS266">
        <v>3.11084416666667</v>
      </c>
      <c r="AT266">
        <v>3.610935</v>
      </c>
      <c r="AU266">
        <v>4.3985950000000003</v>
      </c>
      <c r="AV266">
        <v>4.7332710464987198</v>
      </c>
      <c r="AW266">
        <v>4.7788753864357796</v>
      </c>
      <c r="AX266">
        <v>4.4649999999999999</v>
      </c>
      <c r="AY266">
        <v>3.6016666666666599</v>
      </c>
      <c r="AZ266">
        <v>4.0016666666666696</v>
      </c>
      <c r="BA266">
        <v>3.7450000000000001</v>
      </c>
      <c r="BB266">
        <v>5.0449999999999999</v>
      </c>
      <c r="BC266">
        <v>4.7975000000000003</v>
      </c>
      <c r="BD266">
        <v>4.8616666666666601</v>
      </c>
      <c r="BE266">
        <v>5.1475</v>
      </c>
      <c r="BF266">
        <v>5.3964833333333297</v>
      </c>
      <c r="BG266">
        <v>6.1541666666666703</v>
      </c>
      <c r="BH266">
        <v>8.6316666666666695</v>
      </c>
      <c r="BI266">
        <v>10.307499999999999</v>
      </c>
      <c r="BJ266">
        <v>9.5175000000000001</v>
      </c>
      <c r="BK266">
        <v>10.4583333333333</v>
      </c>
      <c r="BL266">
        <v>12.89</v>
      </c>
      <c r="BM266">
        <v>18.344092645337899</v>
      </c>
      <c r="BN266">
        <v>20.018486585968802</v>
      </c>
      <c r="BO266">
        <v>16.9375943252989</v>
      </c>
      <c r="BP266">
        <v>20.212017866195001</v>
      </c>
      <c r="BQ266">
        <v>26.166418781225701</v>
      </c>
    </row>
    <row r="267" spans="1:69" x14ac:dyDescent="0.3">
      <c r="A267" t="s">
        <v>536</v>
      </c>
      <c r="B267" t="s">
        <v>537</v>
      </c>
      <c r="C267" t="s">
        <v>6</v>
      </c>
      <c r="D267" t="s">
        <v>7</v>
      </c>
      <c r="E267">
        <v>7.1428600071428601E-4</v>
      </c>
      <c r="F267">
        <v>7.1428600071428601E-4</v>
      </c>
      <c r="G267">
        <v>7.1428600071428601E-4</v>
      </c>
      <c r="H267">
        <v>7.1428600071428601E-4</v>
      </c>
      <c r="I267">
        <v>7.1428600071428601E-4</v>
      </c>
      <c r="J267">
        <v>7.1428600071428601E-4</v>
      </c>
      <c r="K267">
        <v>7.1428600071428601E-4</v>
      </c>
      <c r="L267">
        <v>7.1428600071428601E-4</v>
      </c>
      <c r="M267">
        <v>7.1428600071428601E-4</v>
      </c>
      <c r="N267">
        <v>7.1428600071428601E-4</v>
      </c>
      <c r="O267">
        <v>7.1428600071428601E-4</v>
      </c>
      <c r="P267">
        <v>7.1219542995242695E-4</v>
      </c>
      <c r="Q267">
        <v>6.5783174204698505E-4</v>
      </c>
      <c r="R267">
        <v>5.8571488122451999E-4</v>
      </c>
      <c r="S267">
        <v>5.8357882281972399E-4</v>
      </c>
      <c r="T267">
        <v>5.7076428281416605E-4</v>
      </c>
      <c r="U267">
        <v>6.2607704338503401E-4</v>
      </c>
      <c r="V267">
        <v>6.2906376559987204E-4</v>
      </c>
      <c r="W267">
        <v>6.7482402076295101E-4</v>
      </c>
      <c r="X267">
        <v>6.8049712441124602E-4</v>
      </c>
      <c r="Y267">
        <v>6.4529051059388995E-4</v>
      </c>
      <c r="Z267">
        <v>6.9097568056162401E-4</v>
      </c>
      <c r="AA267">
        <v>7.5994560388581401E-4</v>
      </c>
      <c r="AB267">
        <v>1.01423413220455E-3</v>
      </c>
      <c r="AC267">
        <v>1.25893678408442E-3</v>
      </c>
      <c r="AD267">
        <v>1.6155163771118799E-3</v>
      </c>
      <c r="AE267">
        <v>1.6684764684788799E-3</v>
      </c>
      <c r="AF267">
        <v>1.6634624460731601E-3</v>
      </c>
      <c r="AG267">
        <v>1.80773447752897E-3</v>
      </c>
      <c r="AH267">
        <v>2.12134031008689E-3</v>
      </c>
      <c r="AI267">
        <v>2.45451835023142E-3</v>
      </c>
      <c r="AJ267">
        <v>3.6254886572367698E-3</v>
      </c>
      <c r="AK267">
        <v>5.1042665511594996E-3</v>
      </c>
      <c r="AL267">
        <v>6.4904940995879198E-3</v>
      </c>
      <c r="AM267">
        <v>8.1607990595128806E-3</v>
      </c>
      <c r="AN267">
        <v>8.6752193293132395E-3</v>
      </c>
      <c r="AO267">
        <v>1.00137132167889E-2</v>
      </c>
      <c r="AP267">
        <v>1.21250465891802E-2</v>
      </c>
      <c r="AQ267">
        <v>2.3706012838122799E-2</v>
      </c>
      <c r="AR267">
        <v>3.8344710205420497E-2</v>
      </c>
      <c r="AS267">
        <v>4.4468376417429997E-2</v>
      </c>
      <c r="AT267">
        <v>5.51146597125865E-2</v>
      </c>
      <c r="AU267">
        <v>5.5098290581033799E-2</v>
      </c>
      <c r="AV267">
        <v>0.69821607130572305</v>
      </c>
      <c r="AW267">
        <v>5.0744194146319499</v>
      </c>
      <c r="AX267">
        <v>22.389039604825498</v>
      </c>
      <c r="AY267">
        <v>164.547356500646</v>
      </c>
      <c r="AZ267">
        <v>9686.7716695417494</v>
      </c>
      <c r="BA267">
        <v>6723052073.33811</v>
      </c>
      <c r="BM267">
        <v>51.329013122628702</v>
      </c>
      <c r="BN267">
        <v>88.552447259743602</v>
      </c>
      <c r="BO267">
        <v>374.954362604663</v>
      </c>
      <c r="BP267">
        <v>3509.1722203755799</v>
      </c>
      <c r="BQ267">
        <v>3266.3319124999998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EEED-D36D-4163-8622-056802510DCE}">
  <dimension ref="A1"/>
  <sheetViews>
    <sheetView workbookViewId="0">
      <selection activeCell="D6" sqref="D6"/>
    </sheetView>
  </sheetViews>
  <sheetFormatPr defaultRowHeight="14.4" x14ac:dyDescent="0.3"/>
  <sheetData>
    <row r="1" spans="1:1" x14ac:dyDescent="0.3">
      <c r="A1" s="4" t="s">
        <v>540</v>
      </c>
    </row>
  </sheetData>
  <hyperlinks>
    <hyperlink ref="A1" r:id="rId1" display="https://data.worldbank.org/indicator/PA.NUS.FCRF" xr:uid="{2713FC81-39DB-4F13-A82E-51F8AB78A7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LCUperUSD</vt:lpstr>
      <vt:lpstr>Raw_from_worldbank_PA.NUS.FCRF</vt:lpstr>
      <vt:lpstr>source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Mitchell, Elizabeth</cp:lastModifiedBy>
  <dcterms:created xsi:type="dcterms:W3CDTF">2026-03-20T18:05:17Z</dcterms:created>
  <dcterms:modified xsi:type="dcterms:W3CDTF">2026-03-20T18:35:00Z</dcterms:modified>
</cp:coreProperties>
</file>