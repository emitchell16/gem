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iz\GEM_github\"/>
    </mc:Choice>
  </mc:AlternateContent>
  <xr:revisionPtr revIDLastSave="0" documentId="13_ncr:1_{06A8F06A-5054-446A-A942-356C67AF7637}" xr6:coauthVersionLast="47" xr6:coauthVersionMax="47" xr10:uidLastSave="{00000000-0000-0000-0000-000000000000}"/>
  <bookViews>
    <workbookView xWindow="-28920" yWindow="-1230" windowWidth="29040" windowHeight="15720" tabRatio="942" xr2:uid="{00000000-000D-0000-FFFF-FFFF00000000}"/>
  </bookViews>
  <sheets>
    <sheet name="Start" sheetId="1" r:id="rId1"/>
    <sheet name="(1) GEM INPUT DATA SUMMARY" sheetId="9" r:id="rId2"/>
    <sheet name="All Countries" sheetId="2" r:id="rId3"/>
    <sheet name="Input Data Parameters" sheetId="3" r:id="rId4"/>
    <sheet name="Risk Equation Summary" sheetId="4" r:id="rId5"/>
    <sheet name="(2) VALIDATION PROCESS" sheetId="10" r:id="rId6"/>
    <sheet name="Data Extraction List" sheetId="6" r:id="rId7"/>
    <sheet name="Validation Study Chars" sheetId="7" r:id="rId8"/>
    <sheet name="Results of Individual Studies" sheetId="8" r:id="rId9"/>
  </sheets>
  <definedNames>
    <definedName name="_xlnm._FilterDatabase" localSheetId="2" hidden="1">'All Countries'!$B$3:$F$239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8" l="1"/>
  <c r="H33" i="8"/>
  <c r="F33" i="8"/>
  <c r="I32" i="8"/>
  <c r="H32" i="8"/>
  <c r="F32" i="8"/>
  <c r="I31" i="8"/>
  <c r="H31" i="8"/>
  <c r="F31" i="8"/>
  <c r="I30" i="8"/>
  <c r="H30" i="8"/>
  <c r="F30" i="8"/>
  <c r="I29" i="8"/>
  <c r="H29" i="8"/>
  <c r="F29" i="8"/>
  <c r="I28" i="8"/>
  <c r="H28" i="8"/>
  <c r="F28" i="8"/>
  <c r="I27" i="8"/>
  <c r="H27" i="8"/>
  <c r="F27" i="8"/>
  <c r="I26" i="8"/>
  <c r="H26" i="8"/>
  <c r="F26" i="8"/>
  <c r="I25" i="8"/>
  <c r="I24" i="8"/>
  <c r="I23" i="8"/>
  <c r="I22" i="8"/>
  <c r="I21" i="8"/>
  <c r="I20" i="8"/>
  <c r="I19" i="8"/>
  <c r="I18" i="8"/>
  <c r="H15" i="8"/>
  <c r="H14" i="8"/>
  <c r="H13" i="8"/>
  <c r="H12" i="8"/>
  <c r="J11" i="8"/>
  <c r="I11" i="8"/>
  <c r="F11" i="8"/>
  <c r="J10" i="8"/>
  <c r="I10" i="8"/>
  <c r="F10" i="8"/>
  <c r="I9" i="8"/>
  <c r="I8" i="8"/>
  <c r="F46" i="3"/>
  <c r="F45" i="3"/>
  <c r="F44" i="3"/>
  <c r="F24" i="3"/>
  <c r="F18" i="3"/>
  <c r="F7" i="3"/>
</calcChain>
</file>

<file path=xl/sharedStrings.xml><?xml version="1.0" encoding="utf-8"?>
<sst xmlns="http://schemas.openxmlformats.org/spreadsheetml/2006/main" count="1350" uniqueCount="743">
  <si>
    <t>Country</t>
  </si>
  <si>
    <t>ISO3</t>
  </si>
  <si>
    <t>Region</t>
  </si>
  <si>
    <t>Income Group</t>
  </si>
  <si>
    <t>Aruba</t>
  </si>
  <si>
    <t>ABW</t>
  </si>
  <si>
    <t>Americas</t>
  </si>
  <si>
    <t>High Income</t>
  </si>
  <si>
    <t>Afghanistan</t>
  </si>
  <si>
    <t>AFG</t>
  </si>
  <si>
    <t>Eastern Mediterranean</t>
  </si>
  <si>
    <t>Low Income</t>
  </si>
  <si>
    <t>Angola</t>
  </si>
  <si>
    <t>AGO</t>
  </si>
  <si>
    <t>Africa</t>
  </si>
  <si>
    <t>Lower Middle  Income</t>
  </si>
  <si>
    <t>Anguilla</t>
  </si>
  <si>
    <t>AIA</t>
  </si>
  <si>
    <t>Albania</t>
  </si>
  <si>
    <t>ALB</t>
  </si>
  <si>
    <t>Europe</t>
  </si>
  <si>
    <t>Upper Middle Income</t>
  </si>
  <si>
    <t>Andorra</t>
  </si>
  <si>
    <t>AND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</si>
  <si>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</si>
  <si>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</si>
  <si>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</si>
  <si>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</si>
  <si>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</si>
  <si>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</si>
  <si>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</si>
  <si>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</si>
  <si>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Western Pacific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</si>
  <si>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</si>
  <si>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</si>
  <si>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</si>
  <si>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</si>
  <si>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</si>
  <si>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</si>
  <si>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</si>
  <si>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</si>
  <si>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</si>
  <si>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</si>
  <si>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</si>
  <si>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</si>
  <si>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</si>
  <si>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</si>
  <si>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Bonaire Sint Eustatius and Saba</t>
  </si>
  <si>
    <t>BES</t>
  </si>
  <si>
    <t>Not Categorized</t>
  </si>
  <si>
    <t>Burkina Faso</t>
  </si>
  <si>
    <t>BFA</t>
  </si>
  <si>
    <t>Bangladesh</t>
  </si>
  <si>
    <t>BGD</t>
  </si>
  <si>
    <t>South-East Asia</t>
  </si>
  <si>
    <t>Bulgaria</t>
  </si>
  <si>
    <t>BGR</t>
  </si>
  <si>
    <t>Bahrain</t>
  </si>
  <si>
    <t>BHR</t>
  </si>
  <si>
    <t>Bahamas</t>
  </si>
  <si>
    <t>BHS</t>
  </si>
  <si>
    <t>Bosnia And Herzegovina</t>
  </si>
  <si>
    <t>BIH</t>
  </si>
  <si>
    <t>Saint Barthlemy</t>
  </si>
  <si>
    <t>BLM</t>
  </si>
  <si>
    <t>Belarus</t>
  </si>
  <si>
    <t>BLR</t>
  </si>
  <si>
    <t>Belize</t>
  </si>
  <si>
    <t>BLZ</t>
  </si>
  <si>
    <t>Bermuda</t>
  </si>
  <si>
    <t>BMU</t>
  </si>
  <si>
    <t>Bolivia Plurinational State Of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</si>
  <si>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</si>
  <si>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</si>
  <si>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</si>
  <si>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</si>
  <si>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</si>
  <si>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</si>
  <si>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</si>
  <si>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</si>
  <si>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</si>
  <si>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</si>
  <si>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</si>
  <si>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</si>
  <si>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</si>
  <si>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</si>
  <si>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</si>
  <si>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</si>
  <si>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</si>
  <si>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</si>
  <si>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</si>
  <si>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</si>
  <si>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</si>
  <si>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Cote D’Ivoire</t>
  </si>
  <si>
    <t>CIV</t>
  </si>
  <si>
    <t>Cameroon</t>
  </si>
  <si>
    <t>CMR</t>
  </si>
  <si>
    <t>Dem Rep Of the Congo</t>
  </si>
  <si>
    <t>COD</t>
  </si>
  <si>
    <t>Congo</t>
  </si>
  <si>
    <t>COG</t>
  </si>
  <si>
    <t>Cook Islands</t>
  </si>
  <si>
    <t>COK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</si>
  <si>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</si>
  <si>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</si>
  <si>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</si>
  <si>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</si>
  <si>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</si>
  <si>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</si>
  <si>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</si>
  <si>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</si>
  <si>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</si>
  <si>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</si>
  <si>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Curaçao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</si>
  <si>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</si>
  <si>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</si>
  <si>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</si>
  <si>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</si>
  <si>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</si>
  <si>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</si>
  <si>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</si>
  <si>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</si>
  <si>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</si>
  <si>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</si>
  <si>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</si>
  <si>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</si>
  <si>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</si>
  <si>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</si>
  <si>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</si>
  <si>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</si>
  <si>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</si>
  <si>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</si>
  <si>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</si>
  <si>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</si>
  <si>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</si>
  <si>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</t>
  </si>
  <si>
    <t>EGY</t>
  </si>
  <si>
    <t>Eritrea</t>
  </si>
  <si>
    <t>ERI</t>
  </si>
  <si>
    <t>Western Sahara</t>
  </si>
  <si>
    <t>ESH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</si>
  <si>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</si>
  <si>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</si>
  <si>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</si>
  <si>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</si>
  <si>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</si>
  <si>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</si>
  <si>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</si>
  <si>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</si>
  <si>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</si>
  <si>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</si>
  <si>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Falkland Islands Malvinas</t>
  </si>
  <si>
    <t>FLK</t>
  </si>
  <si>
    <t>France</t>
  </si>
  <si>
    <t>FRA</t>
  </si>
  <si>
    <t>Faroe Islands</t>
  </si>
  <si>
    <t>FRO</t>
  </si>
  <si>
    <t>Micronesia Fed States Of</t>
  </si>
  <si>
    <t>FSM</t>
  </si>
  <si>
    <t>Gabon</t>
  </si>
  <si>
    <t>GAB</t>
  </si>
  <si>
    <t>United Kingdom</t>
  </si>
  <si>
    <t>GBR</t>
  </si>
  <si>
    <t>Georgia</t>
  </si>
  <si>
    <t>GEO</t>
  </si>
  <si>
    <t>Guernsey</t>
  </si>
  <si>
    <t>GGY</t>
  </si>
  <si>
    <t>Ghana</t>
  </si>
  <si>
    <t>GHA</t>
  </si>
  <si>
    <t>Gibraltar</t>
  </si>
  <si>
    <t>GIB</t>
  </si>
  <si>
    <t>Guinea</t>
  </si>
  <si>
    <t>GIN</t>
  </si>
  <si>
    <t>Guadeloupe</t>
  </si>
  <si>
    <t>GLP</t>
  </si>
  <si>
    <t>Gambia</t>
  </si>
  <si>
    <t>GMB</t>
  </si>
  <si>
    <t>Guinea 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</si>
  <si>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</si>
  <si>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</si>
  <si>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</si>
  <si>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</si>
  <si>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</si>
  <si>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</si>
  <si>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</si>
  <si>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</si>
  <si>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</si>
  <si>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</si>
  <si>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</si>
  <si>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French Guiana</t>
  </si>
  <si>
    <t>GUF</t>
  </si>
  <si>
    <t>Guam</t>
  </si>
  <si>
    <t>GUM</t>
  </si>
  <si>
    <t>Guyana</t>
  </si>
  <si>
    <t>GUY</t>
  </si>
  <si>
    <t>China Hong Kong Sar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</si>
  <si>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</si>
  <si>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</si>
  <si>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</si>
  <si>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</si>
  <si>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</si>
  <si>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</si>
  <si>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</si>
  <si>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</si>
  <si>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</si>
  <si>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</si>
  <si>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</si>
  <si>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Isle Of Man</t>
  </si>
  <si>
    <t>IMN</t>
  </si>
  <si>
    <t>India</t>
  </si>
  <si>
    <t>IND</t>
  </si>
  <si>
    <t>Ireland</t>
  </si>
  <si>
    <t>IRL</t>
  </si>
  <si>
    <t>Iran Islamic Republic Of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</si>
  <si>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</si>
  <si>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</si>
  <si>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</si>
  <si>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</si>
  <si>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</si>
  <si>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</si>
  <si>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</si>
  <si>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</si>
  <si>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</si>
  <si>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</si>
  <si>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</si>
  <si>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Jersey</t>
  </si>
  <si>
    <t>JEY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</si>
  <si>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</si>
  <si>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</si>
  <si>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</si>
  <si>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</si>
  <si>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</si>
  <si>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</si>
  <si>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</si>
  <si>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</si>
  <si>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Kyrgyzstan</t>
  </si>
  <si>
    <t>KGZ</t>
  </si>
  <si>
    <t>Cambodia</t>
  </si>
  <si>
    <t>KHM</t>
  </si>
  <si>
    <t>Kiribati</t>
  </si>
  <si>
    <t>KIR</t>
  </si>
  <si>
    <t>Saint Kitts And Nevis</t>
  </si>
  <si>
    <t>KNA</t>
  </si>
  <si>
    <t>Republic Of Korea</t>
  </si>
  <si>
    <t>KOR</t>
  </si>
  <si>
    <t>Kuwait</t>
  </si>
  <si>
    <t>KWT</t>
  </si>
  <si>
    <t>Lao Peoples Dem Republic</t>
  </si>
  <si>
    <t>LAO</t>
  </si>
  <si>
    <t>Lebanon</t>
  </si>
  <si>
    <t>LBN</t>
  </si>
  <si>
    <t>Liberia</t>
  </si>
  <si>
    <t>LBR</t>
  </si>
  <si>
    <t>Libya</t>
  </si>
  <si>
    <t>LBY</t>
  </si>
  <si>
    <t>Saint Lucia</t>
  </si>
  <si>
    <t>LCA</t>
  </si>
  <si>
    <t>Liechtenstein</t>
  </si>
  <si>
    <t>LIE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</si>
  <si>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</si>
  <si>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</si>
  <si>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</si>
  <si>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</si>
  <si>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</si>
  <si>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</si>
  <si>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</si>
  <si>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</si>
  <si>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</si>
  <si>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</si>
  <si>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China Macao Sar</t>
  </si>
  <si>
    <t>MAC</t>
  </si>
  <si>
    <t>Saint Martin French Part</t>
  </si>
  <si>
    <t>MAF</t>
  </si>
  <si>
    <t>Morocco</t>
  </si>
  <si>
    <t>MAR</t>
  </si>
  <si>
    <t>Monaco</t>
  </si>
  <si>
    <t>MCO</t>
  </si>
  <si>
    <t>Republic Of 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</si>
  <si>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</si>
  <si>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</si>
  <si>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</si>
  <si>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</si>
  <si>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</si>
  <si>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</si>
  <si>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</si>
  <si>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</si>
  <si>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</si>
  <si>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</si>
  <si>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</si>
  <si>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</si>
  <si>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</si>
  <si>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</si>
  <si>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</si>
  <si>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</si>
  <si>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</si>
  <si>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</si>
  <si>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</si>
  <si>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</si>
  <si>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</si>
  <si>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</si>
  <si>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</si>
  <si>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</si>
  <si>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</si>
  <si>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</si>
  <si>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</si>
  <si>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Montserrat</t>
  </si>
  <si>
    <t>MSR</t>
  </si>
  <si>
    <t>Martinique</t>
  </si>
  <si>
    <t>MTQ</t>
  </si>
  <si>
    <t>Mauritius</t>
  </si>
  <si>
    <t>MUS</t>
  </si>
  <si>
    <t>Malawi</t>
  </si>
  <si>
    <t>MWI</t>
  </si>
  <si>
    <t>Malaysia</t>
  </si>
  <si>
    <t>MYS</t>
  </si>
  <si>
    <t>Mayotte</t>
  </si>
  <si>
    <t>MYT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</si>
  <si>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</si>
  <si>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</si>
  <si>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</si>
  <si>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</si>
  <si>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</si>
  <si>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</si>
  <si>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</si>
  <si>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</si>
  <si>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</si>
  <si>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</si>
  <si>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Niue</t>
  </si>
  <si>
    <t>NIU</t>
  </si>
  <si>
    <t>lowincome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</si>
  <si>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</si>
  <si>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</si>
  <si>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</si>
  <si>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</si>
  <si>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</si>
  <si>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</si>
  <si>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</si>
  <si>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</si>
  <si>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</si>
  <si>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</si>
  <si>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</si>
  <si>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</si>
  <si>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</si>
  <si>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</si>
  <si>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</si>
  <si>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</si>
  <si>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</si>
  <si>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</si>
  <si>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</si>
  <si>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</si>
  <si>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</si>
  <si>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</si>
  <si>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</si>
  <si>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</si>
  <si>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</si>
  <si>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</si>
  <si>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Puerto Rico</t>
  </si>
  <si>
    <t>PRI</t>
  </si>
  <si>
    <t>Dem Peoples Rep of Korea</t>
  </si>
  <si>
    <t>PRK</t>
  </si>
  <si>
    <t>Portugal</t>
  </si>
  <si>
    <t>PRT</t>
  </si>
  <si>
    <t>Paraguay</t>
  </si>
  <si>
    <t>PRY</t>
  </si>
  <si>
    <t>State Of Palestine</t>
  </si>
  <si>
    <t>PSE</t>
  </si>
  <si>
    <t>French Polynesia</t>
  </si>
  <si>
    <t>PYF</t>
  </si>
  <si>
    <t>Qatar</t>
  </si>
  <si>
    <t>QAT</t>
  </si>
  <si>
    <t>Runion</t>
  </si>
  <si>
    <t>REU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</si>
  <si>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</si>
  <si>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</si>
  <si>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</si>
  <si>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</si>
  <si>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</si>
  <si>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</si>
  <si>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</si>
  <si>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</si>
  <si>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</si>
  <si>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</si>
  <si>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</si>
  <si>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</si>
  <si>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</si>
  <si>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</si>
  <si>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Saint Helena</t>
  </si>
  <si>
    <t>SHN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</si>
  <si>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</si>
  <si>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</si>
  <si>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</si>
  <si>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</si>
  <si>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</si>
  <si>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</si>
  <si>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</si>
  <si>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</si>
  <si>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</si>
  <si>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</si>
  <si>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Saint Pierre And Miquelon</t>
  </si>
  <si>
    <t>SPM</t>
  </si>
  <si>
    <t>Serbia</t>
  </si>
  <si>
    <t>SRB</t>
  </si>
  <si>
    <t>South Sudan</t>
  </si>
  <si>
    <t>SSD</t>
  </si>
  <si>
    <t>Sao Tome And Principe</t>
  </si>
  <si>
    <t>STP</t>
  </si>
  <si>
    <t>Suriname</t>
  </si>
  <si>
    <t>SUR</t>
  </si>
  <si>
    <t>Slovakia</t>
  </si>
  <si>
    <t>SVK</t>
  </si>
  <si>
    <t>Slovenia</t>
  </si>
  <si>
    <t>SVN</t>
  </si>
  <si>
    <t>Sweden</t>
  </si>
  <si>
    <t>SWE</t>
  </si>
  <si>
    <t>Eswatini</t>
  </si>
  <si>
    <t>SWZ</t>
  </si>
  <si>
    <t>Sint Maarten Dutch Part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</si>
  <si>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</si>
  <si>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</si>
  <si>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</si>
  <si>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</si>
  <si>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</si>
  <si>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</si>
  <si>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</si>
  <si>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</si>
  <si>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</si>
  <si>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</si>
  <si>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</si>
  <si>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</si>
  <si>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</si>
  <si>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</si>
  <si>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</si>
  <si>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Tokelau</t>
  </si>
  <si>
    <t>TKL</t>
  </si>
  <si>
    <t>Turkmenistan</t>
  </si>
  <si>
    <t>TKM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</si>
  <si>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</si>
  <si>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</si>
  <si>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</si>
  <si>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</si>
  <si>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</si>
  <si>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</si>
  <si>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</si>
  <si>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</si>
  <si>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Türkiye</t>
  </si>
  <si>
    <t>TUR</t>
  </si>
  <si>
    <t>Tuvalu</t>
  </si>
  <si>
    <t>TUV</t>
  </si>
  <si>
    <t>China Taiwan Province of China</t>
  </si>
  <si>
    <t>TWN</t>
  </si>
  <si>
    <t>United Republic of Tanzania</t>
  </si>
  <si>
    <t>TZA</t>
  </si>
  <si>
    <t>Uganda</t>
  </si>
  <si>
    <t>UGA</t>
  </si>
  <si>
    <t>Ukraine</t>
  </si>
  <si>
    <t>UKR</t>
  </si>
  <si>
    <t>Uruguay</t>
  </si>
  <si>
    <t>URY</t>
  </si>
  <si>
    <t>United States of America</t>
  </si>
  <si>
    <t>USA</t>
  </si>
  <si>
    <t>Uzbekistan</t>
  </si>
  <si>
    <t>UZB</t>
  </si>
  <si>
    <t>Saint Vincent And the Grenadines</t>
  </si>
  <si>
    <t>VCT</t>
  </si>
  <si>
    <t>Venezuela Bolivarian Republic Of</t>
  </si>
  <si>
    <t>VEN</t>
  </si>
  <si>
    <t>British Virgin Islands</t>
  </si>
  <si>
    <t>VGB</t>
  </si>
  <si>
    <t>United States Virgin Islands</t>
  </si>
  <si>
    <t>VIR</t>
  </si>
  <si>
    <t>Viet Nam</t>
  </si>
  <si>
    <t>VNM</t>
  </si>
  <si>
    <t>Vanuatu</t>
  </si>
  <si>
    <t>VUT</t>
  </si>
  <si>
    <t>Wallis And Futuna Islands</t>
  </si>
  <si>
    <t>WLF</t>
  </si>
  <si>
    <t>Samoa</t>
  </si>
  <si>
    <t>WSM</t>
  </si>
  <si>
    <t>Kosovo Under Unsc Res 1244</t>
  </si>
  <si>
    <t>XKX</t>
  </si>
  <si>
    <t>Yemen</t>
  </si>
  <si>
    <t>YEM</t>
  </si>
  <si>
    <t>South Africa</t>
  </si>
  <si>
    <t>ZAF</t>
  </si>
  <si>
    <t>Zambia</t>
  </si>
  <si>
    <t>ZMB</t>
  </si>
  <si>
    <t>Zimbabwe</t>
  </si>
  <si>
    <t>ZWE</t>
  </si>
  <si>
    <r>
      <t xml:space="preserve">Notes: </t>
    </r>
    <r>
      <rPr>
        <sz val="8"/>
        <color rgb="FF000000"/>
        <rFont val="Aptos"/>
        <family val="2"/>
      </rPr>
      <t>A total of 154 countries or territories required imputation of at least one age-sex cohort average, including 31 that required imputation for all rates and cohorts. ISO3 codes for these 31 countries/territories are: ABW, AIA, BES, BLM, CUW, CYM, ESH, FLK, FRO, GGY, GIB, GLP, GUF, HKG, IMN, JEY, LIE, MAC, MAF, MSR, MTQ, MYT, NCL, REU, SHN, SPM, SXM, TCA, VGB, WLF, XKX. Additionally, PYF was missing mortality and cardio-renal-metabolic rates and GUM, MCO, MNP, SMR, and VIR were missing obesity rates.</t>
    </r>
  </si>
  <si>
    <t>Input</t>
  </si>
  <si>
    <t>Value</t>
  </si>
  <si>
    <t>95% CI</t>
  </si>
  <si>
    <t>Source</t>
  </si>
  <si>
    <t>Low</t>
  </si>
  <si>
    <t>High</t>
  </si>
  <si>
    <t>Probabilities &amp; Risk Adjustments</t>
  </si>
  <si>
    <t>All-Cause Mortality</t>
  </si>
  <si>
    <t>NA</t>
  </si>
  <si>
    <t>CKD</t>
  </si>
  <si>
    <t>CKD prevalence proportion among T2D population</t>
  </si>
  <si>
    <t>Feng et al., 2022; Cook et al., 2023; Gheith et al., 2015</t>
  </si>
  <si>
    <t>Relative risk of CKD for T2D</t>
  </si>
  <si>
    <t>Koye et al., 2018; Ene-Iordache et al., 2016</t>
  </si>
  <si>
    <t>CVD</t>
  </si>
  <si>
    <t>CVD prevalence proportion among T2D population</t>
  </si>
  <si>
    <t>Einarson et al., 2018</t>
  </si>
  <si>
    <t>Relative risk of CVD for T2D</t>
  </si>
  <si>
    <t>Harding et al., 2019</t>
  </si>
  <si>
    <t>ESKD</t>
  </si>
  <si>
    <t>ESKD prevalence proportion among CKD/ESKD population, low- and middle-income countries</t>
  </si>
  <si>
    <t>Freedberg et al., 2024</t>
  </si>
  <si>
    <t>ESKD prevalence proportion among CKD/ESKD population, high-income countries</t>
  </si>
  <si>
    <t>Thurlow et al., 2021</t>
  </si>
  <si>
    <t>Obesity</t>
  </si>
  <si>
    <t>NCD-RisC 2022</t>
  </si>
  <si>
    <t>Obesity prevalence proportion among T2D population</t>
  </si>
  <si>
    <t>Stroke</t>
  </si>
  <si>
    <t>GBD 2015 Obesity Collaborators, 2017</t>
  </si>
  <si>
    <t>Relative risk of stroke for T2D</t>
  </si>
  <si>
    <t>T2D</t>
  </si>
  <si>
    <t>Population estimates</t>
  </si>
  <si>
    <t>United Nations 2024</t>
  </si>
  <si>
    <t>a</t>
  </si>
  <si>
    <t>Input data and parameters by country or territory, age group, and/or sex.</t>
  </si>
  <si>
    <t>b</t>
  </si>
  <si>
    <t>c</t>
  </si>
  <si>
    <t>Predictor Variable</t>
  </si>
  <si>
    <t>Demographics</t>
  </si>
  <si>
    <t>Age</t>
  </si>
  <si>
    <t>Sex</t>
  </si>
  <si>
    <t>Country/Territory</t>
  </si>
  <si>
    <t>Health Status</t>
  </si>
  <si>
    <t>Obesity or BMI</t>
  </si>
  <si>
    <t>NCD-RisC</t>
  </si>
  <si>
    <t>GBD, 
QDiabetes</t>
  </si>
  <si>
    <t>Framingham Risk Score, RECODe, 
QRISK3</t>
  </si>
  <si>
    <t xml:space="preserve">GBD,
RECODe
</t>
  </si>
  <si>
    <t>Framingham Stroke Risk Profile,
GBD,
RECODe</t>
  </si>
  <si>
    <t>GBD cause-specific mortality models</t>
  </si>
  <si>
    <t>Variable</t>
  </si>
  <si>
    <t>Definition</t>
  </si>
  <si>
    <t>Unit</t>
  </si>
  <si>
    <t>Input Characteristics</t>
  </si>
  <si>
    <t>Min, max, average, and standard deviation of age at start of follow-up</t>
  </si>
  <si>
    <t>Years</t>
  </si>
  <si>
    <t>Female</t>
  </si>
  <si>
    <t>Proportion female</t>
  </si>
  <si>
    <t>Rate</t>
  </si>
  <si>
    <t>3 letter ISO code if 1 country</t>
  </si>
  <si>
    <t>Country(ies) in which WHO region: Africa, Americas, Eastern Mediterranean, Europe, South-East Asia, Western Pacific</t>
  </si>
  <si>
    <t>Indicator</t>
  </si>
  <si>
    <t>Country Income Level</t>
  </si>
  <si>
    <t>Low and Middle Income Countries or High Income Countries based on World Bank categories</t>
  </si>
  <si>
    <t>BMI</t>
  </si>
  <si>
    <t>Min, max, average, and standard deviation of BMI at start of follow-up</t>
  </si>
  <si>
    <r>
      <t>kg/m</t>
    </r>
    <r>
      <rPr>
        <vertAlign val="superscript"/>
        <sz val="11"/>
        <color rgb="FF000000"/>
        <rFont val="Aptos"/>
        <family val="2"/>
      </rPr>
      <t>2</t>
    </r>
  </si>
  <si>
    <t>Input Condition Prevalences</t>
  </si>
  <si>
    <t>Obesity Rate</t>
  </si>
  <si>
    <t>Obesity (BMI&gt;=30) prevalence rate at start of follow-up</t>
  </si>
  <si>
    <t>Class 1 Obesity Rate</t>
  </si>
  <si>
    <t>Class 1 (BMI 30-34.9) Obesity prevalence rate at start of follow-up</t>
  </si>
  <si>
    <t>Class 2 Obesity Rate</t>
  </si>
  <si>
    <t>Class 2 (BMI 35-39.9) Obesity prevalence rate at start of follow-up</t>
  </si>
  <si>
    <t>Class 3 Obesity Rate</t>
  </si>
  <si>
    <t>Class 3 (BMI &gt;= 40) Obesity prevalence rate at start of follow-up</t>
  </si>
  <si>
    <t>T2D Rate</t>
  </si>
  <si>
    <t>T2D prevalence rate at start of follow-up</t>
  </si>
  <si>
    <t>CVD Rate</t>
  </si>
  <si>
    <t>CVD prevalence rate at start of follow-up</t>
  </si>
  <si>
    <t>CKD Rate</t>
  </si>
  <si>
    <t>CKD prevalence rate at start of follow-up</t>
  </si>
  <si>
    <t>ESKD Rate</t>
  </si>
  <si>
    <t>ESKD prevalence rate at start of follow-up</t>
  </si>
  <si>
    <t>Treatment Effects</t>
  </si>
  <si>
    <t>Treatment HR</t>
  </si>
  <si>
    <t>Estimate for each available treatment HR</t>
  </si>
  <si>
    <t>HR</t>
  </si>
  <si>
    <t>HR Outcome</t>
  </si>
  <si>
    <t>CRM outcome for each available HR</t>
  </si>
  <si>
    <t>Outcomes</t>
  </si>
  <si>
    <t>Unit for Incidence Outcomes</t>
  </si>
  <si>
    <t>Cumulative or 1-year incidence rate</t>
  </si>
  <si>
    <t>Stroke event incidence during follow-up</t>
  </si>
  <si>
    <t>Rate per person</t>
  </si>
  <si>
    <t>Death</t>
  </si>
  <si>
    <t>All-cause death incidence during follow-up</t>
  </si>
  <si>
    <t>New CKD</t>
  </si>
  <si>
    <t>CKD incidence during follow-up</t>
  </si>
  <si>
    <t>New CVD</t>
  </si>
  <si>
    <t>CVD incidence during follow-up</t>
  </si>
  <si>
    <t>New ESKD</t>
  </si>
  <si>
    <t>ESKD incidence during follow-up</t>
  </si>
  <si>
    <t>New T2D</t>
  </si>
  <si>
    <t>T2D incidence during follow-up</t>
  </si>
  <si>
    <t>MACE</t>
  </si>
  <si>
    <t>MACE event incidence during follow-up</t>
  </si>
  <si>
    <t>Obesity Rate End</t>
  </si>
  <si>
    <t>Obesity prevalence rate at end of follow-up</t>
  </si>
  <si>
    <t>Class 1 Obesity Rate End</t>
  </si>
  <si>
    <t>Class 1 Obesity prevalence rate at end of follow-up</t>
  </si>
  <si>
    <t>Class 2 Obesity Rate End</t>
  </si>
  <si>
    <t>Class 2 Obesity prevalence rate at end of follow-up</t>
  </si>
  <si>
    <t>Class 3 Obesity Rate End</t>
  </si>
  <si>
    <t>Class 3 Obesity prevalence rate at end of follow-up</t>
  </si>
  <si>
    <r>
      <rPr>
        <i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Abbreviations: BMI, body mass index; CKD, chronic kidney disease; CVD, cardiovascular disease; ESKD, end-stage kidney disease; HR, hazard ratio; MACE, major adverse cardiovascular event; T2D, type 2 diabetes.</t>
    </r>
  </si>
  <si>
    <t>Citation</t>
  </si>
  <si>
    <t>Study ID</t>
  </si>
  <si>
    <t>Study Design</t>
  </si>
  <si>
    <t>Country/ Region</t>
  </si>
  <si>
    <t>Sample Size</t>
  </si>
  <si>
    <t>Follow-up Duration1</t>
  </si>
  <si>
    <t>Exposure or Intervention</t>
  </si>
  <si>
    <t>Relevant Outcomes Measured</t>
  </si>
  <si>
    <t>The BARI 2D Study Group. A Randomized Trial of Therapies for Type 2 Diabetes and Coronary Artery Disease. New England Journal of Medicine. 2009;360(24):2503-2515. doi:10.1056/NEJMoa0805796</t>
  </si>
  <si>
    <t>RCT</t>
  </si>
  <si>
    <t>Multiple countries</t>
  </si>
  <si>
    <t xml:space="preserve">Medical therapy and insulin </t>
  </si>
  <si>
    <t>MACE, Mortality</t>
  </si>
  <si>
    <t>Gerstein HC, Colhoun HM, Dagenais GR, et al. Dulaglutide and cardiovascular outcomes in type 2 diabetes (REWIND): a double-blind, randomised placebo-controlled trial. The Lancet. 2019;394(10193):121-130. doi:10.1016/S0140-6736(19)31149-3</t>
  </si>
  <si>
    <t>Dulaglutide</t>
  </si>
  <si>
    <t>Liu M, Huang R, Xu L, et al. Cardiovascular effects of intensive lifestyle intervention in adults with overweight/obesity and type 2 diabetes according to body weight time in range. eClinicalMedicine. 2022;49. doi:10.1016/j.eclinm.2022.101451</t>
  </si>
  <si>
    <t>Lifestyle intervention</t>
  </si>
  <si>
    <t>MACE, Mortality, Stroke</t>
  </si>
  <si>
    <t>Knowler WC, Chen H, Bahnson JL, et al. Within and post-trial effects of an intensive lifestyle intervention on kidney disease in adults with overweight or obesity and type 2 diabetes mellitus: a secondary analysis of the Look AHEAD clinical trial. BMJ Open Diab Res Care. 2024;12(3). doi:10.1136/bmjdrc-2024-004079</t>
  </si>
  <si>
    <t xml:space="preserve">USA </t>
  </si>
  <si>
    <t>Czernichow S, Kengne AP, Huxley RR, et al. Comparison of waist-to-hip ratio and other obesity indices as predictors of cardiovascular disease risk in people with type 2 diabetes: a prospective cohort study from ADVANCE. Eur J Cardiovasc Prev Rehabil. 2011;18(2):312-319. doi:10.1097/HJR.0b013e32833c1aa3</t>
  </si>
  <si>
    <t>Prospective cohort study</t>
  </si>
  <si>
    <t>CVD, Mortality, Stroke</t>
  </si>
  <si>
    <t>Rådholm K, Chalmers J, Ohkuma T, et al. Use of the waist-to-height ratio to predict cardiovascular risk in patients with diabetes: Results from the ADVANCE-ON study. Diabetes, Obesity and Metabolism. 2018;20(8):1903-1910. doi:10.1111/dom.13311</t>
  </si>
  <si>
    <t>9.0 (mean)</t>
  </si>
  <si>
    <t>Bancks MP, Chen H, Balasubramanyam A, et al. Type 2 Diabetes Subgroups, Risk for Complications, and Differential Effects Due to an Intensive Lifestyle Intervention. Diabetes Care. 2021;44(5):1203-1210. doi:10.2337/dc20-2372</t>
  </si>
  <si>
    <t>Chertow GM, Vart P, Jongs N, et al. Quételet (body mass) index and effects of dapagliflozin in chronic kidney disease. Diabetes, Obesity and Metabolism. 2022;24(5):827-837. doi:10.1111/dom.14641</t>
  </si>
  <si>
    <t xml:space="preserve">Dapagliflozin </t>
  </si>
  <si>
    <t>MACE, Mortality, ESKD</t>
  </si>
  <si>
    <r>
      <rPr>
        <i/>
        <sz val="10"/>
        <color theme="1"/>
        <rFont val="Aptos"/>
        <family val="2"/>
      </rPr>
      <t xml:space="preserve">Notes: </t>
    </r>
    <r>
      <rPr>
        <sz val="10"/>
        <color theme="1"/>
        <rFont val="Aptos"/>
        <family val="2"/>
      </rPr>
      <t>1 Median unless noted. Abbreviations: CVD, cardiovascular disease; ESKD, end-stage kidney disease; MACE, major adverse cardiovascular event; RCT, randomized controlled trial; T2D, type 2 diabetes</t>
    </r>
  </si>
  <si>
    <t>Cohort ID</t>
  </si>
  <si>
    <t>Cohort Short Description</t>
  </si>
  <si>
    <t>Incidence time unit</t>
  </si>
  <si>
    <t>Insulin sensitization &amp; Revasc (treatment)</t>
  </si>
  <si>
    <t>Cumulative</t>
  </si>
  <si>
    <t>Insulin sensitization &amp;Medical Therapy (control)</t>
  </si>
  <si>
    <t>Insulin provision &amp; revasc (treatment)</t>
  </si>
  <si>
    <t>Insulin provision &amp; medical therapy (control)</t>
  </si>
  <si>
    <t>1-year</t>
  </si>
  <si>
    <t>Placebo</t>
  </si>
  <si>
    <t>Look Ahead Intervention</t>
  </si>
  <si>
    <t>look Ahead Control</t>
  </si>
  <si>
    <t xml:space="preserve">Subgroup A age 60 and less Treatment </t>
  </si>
  <si>
    <t>Subgroup A Comparison/control</t>
  </si>
  <si>
    <t>Subgroup B 60 and more Treatment</t>
  </si>
  <si>
    <t xml:space="preserve">Subgroup B Comparison/control </t>
  </si>
  <si>
    <t>Waist to hip ratio</t>
  </si>
  <si>
    <t xml:space="preserve"> Older onset (treatment)</t>
  </si>
  <si>
    <t>Older onset (control)</t>
  </si>
  <si>
    <t>Poor glucose control (treatment)</t>
  </si>
  <si>
    <t>Poor glucose control (control)</t>
  </si>
  <si>
    <t>Severe obesity (treatment)</t>
  </si>
  <si>
    <t>Severe Obesity (control)</t>
  </si>
  <si>
    <t>Younger onset (treatment)</t>
  </si>
  <si>
    <t>Younger onset (control)</t>
  </si>
  <si>
    <t>Lean/Ideal-Treatment</t>
  </si>
  <si>
    <t>Overweight-Treatment</t>
  </si>
  <si>
    <t>Grade 1 Obesity-Treatment</t>
  </si>
  <si>
    <t>Grade 2/3 Obesity-Treatment</t>
  </si>
  <si>
    <t>Lean/Ideal-Control</t>
  </si>
  <si>
    <t>Overweight-Control</t>
  </si>
  <si>
    <t>Grade 1 Obesity-Control</t>
  </si>
  <si>
    <t>Grade 2/3 Obesity-Control</t>
  </si>
  <si>
    <r>
      <t>Note:</t>
    </r>
    <r>
      <rPr>
        <sz val="9"/>
        <color rgb="FF000000"/>
        <rFont val="Aptos"/>
        <family val="2"/>
      </rPr>
      <t xml:space="preserve"> Abbreviations: CVD, cardiovascular disease; ESKD, end-stage kidney disease; MACE, major adverse cardiovascular event.</t>
    </r>
  </si>
  <si>
    <t>Study Input Data and Parameters</t>
  </si>
  <si>
    <t>Summary of Risk Equation Input Data Specificity for Annual Condition Transitions in the GEM Model</t>
  </si>
  <si>
    <t xml:space="preserve">Cohort-Level Data Extraction List </t>
  </si>
  <si>
    <t>Study Characteristics</t>
  </si>
  <si>
    <t>Results of individual studies</t>
  </si>
  <si>
    <t>Countries and Territories Included in Global Model </t>
  </si>
  <si>
    <t>Mortality incidencea</t>
  </si>
  <si>
    <t>GBD Study 2023</t>
  </si>
  <si>
    <t>Hazard ratio of other-cause mortality per 5 kg/m² BMI above 22.5d</t>
  </si>
  <si>
    <t>Prospective Studies Collaboration, 2009</t>
  </si>
  <si>
    <t>Excess mortality for T2Da, b</t>
  </si>
  <si>
    <t>Excess mortality for CKDa, b</t>
  </si>
  <si>
    <t>Excess mortality for CVDa, b</t>
  </si>
  <si>
    <t>Annual excess mortality for ESKD</t>
  </si>
  <si>
    <t>Hashmi (see baseline_dataset sheet, GEM_input_parameters.xlsx)</t>
  </si>
  <si>
    <t>Life expectancya</t>
  </si>
  <si>
    <t>CKD prevalencea</t>
  </si>
  <si>
    <t>CKD incidencea</t>
  </si>
  <si>
    <t>Relative risk of CKD for obesity (per 5 kg/m², age-specific)c</t>
  </si>
  <si>
    <t>1.43–2.03</t>
  </si>
  <si>
    <t>CVD prevalencea</t>
  </si>
  <si>
    <t>CVD incidencea</t>
  </si>
  <si>
    <t>Relative risk of CVD for obesity (per 5 kg/m², age-specific)c</t>
  </si>
  <si>
    <t>1.17–2.27</t>
  </si>
  <si>
    <t>GBD 2015 Obesity Collaborators, 2017 (ischaemic heart disease)</t>
  </si>
  <si>
    <t>Recurrent CVD event probability, year after event</t>
  </si>
  <si>
    <t>Jernberg et al., 2015</t>
  </si>
  <si>
    <t>Recurrent CVD event probability, later years (annual)</t>
  </si>
  <si>
    <t>ESKD prevalence proportion among CKD/ESKD population, countries without income group</t>
  </si>
  <si>
    <t>Proportion of ESKD treated, low-income countries</t>
  </si>
  <si>
    <t>Proportion of ESKD treated, lower-middle-income countries</t>
  </si>
  <si>
    <t>Proportion of ESKD treated, upper-middle-income countries</t>
  </si>
  <si>
    <t>Proportion of ESKD treated, high-income countries</t>
  </si>
  <si>
    <t>ESKD incidence (total population)</t>
  </si>
  <si>
    <t>BMI distribution (NCD-RisC categories)a</t>
  </si>
  <si>
    <t>Bramante, Lee, and Gudzune 2017; Narayan et al., 2007</t>
  </si>
  <si>
    <t>Stroke incidencea</t>
  </si>
  <si>
    <t>Proportion of strokes that are ischaemic</t>
  </si>
  <si>
    <t>GBD 2021 Stroke Collaborators, 2024</t>
  </si>
  <si>
    <t>Relative risk of ischaemic stroke for obesity (per 5 kg/m², age-specific)c</t>
  </si>
  <si>
    <t>1.07–2.47</t>
  </si>
  <si>
    <t>Relative risk of hemorrhagic stroke for obesity (per 5 kg/m², age-specific)c</t>
  </si>
  <si>
    <t>1.07–3.07</t>
  </si>
  <si>
    <t>Emerging Risk Factors Collaboration, 2010</t>
  </si>
  <si>
    <t>Relative risk of stroke with prior CVD, female</t>
  </si>
  <si>
    <t>O’Donnell et al., 2016 (INTERSTROKE)</t>
  </si>
  <si>
    <t>Relative risk of stroke with prior CVD, male</t>
  </si>
  <si>
    <t>Recurrent stroke probability, year after stroke</t>
  </si>
  <si>
    <t>Mohan et al., 2011</t>
  </si>
  <si>
    <t>Recurrent stroke probability, later years (annual)</t>
  </si>
  <si>
    <t>T2D prevalencea</t>
  </si>
  <si>
    <t>T2D incidencea</t>
  </si>
  <si>
    <t>Relative risk of T2D for obesity (per 5 kg/m², age-specific)c</t>
  </si>
  <si>
    <t>1.46–3.55</t>
  </si>
  <si>
    <t>Population dataa</t>
  </si>
  <si>
    <t>Disability weights and costs</t>
  </si>
  <si>
    <t>Disability weights, by conditione</t>
  </si>
  <si>
    <t>Health-state costs, USA (CVD, death, T2D, stroke)</t>
  </si>
  <si>
    <t>see sheet</t>
  </si>
  <si>
    <t>McEwan et al., 2025; AHRQ HCUP; Tsao et al., 2022 (2024 US$)</t>
  </si>
  <si>
    <t>Health-state costs, other countries</t>
  </si>
  <si>
    <t>Published country-level estimates; missing countries imputed (see sheet intl_health_costs)</t>
  </si>
  <si>
    <t>Inflation of health-state costs to 2025 prices</t>
  </si>
  <si>
    <t>CPI-U</t>
  </si>
  <si>
    <t>US CPI-U medical care, Bureau of Labor Statistics (series CUUR0000SAM)</t>
  </si>
  <si>
    <t>Excess mortality for T2D, CKD and CVD was derived from GBD data as the cohort-level cause-specific mortality rate divided by prevalence. For ESKD, annual excess mortality is fixed at 0.10; CKD without ESKD receives the remainder of the GBD CKD cause-specific mortality rate divided by prevalence.</t>
  </si>
  <si>
    <t>Obesity relative risks are per 5 kg/m² above the theoretical minimum-risk range (20–25 kg/m²) and age-specific (ages 25 or 35 to 80 years). The model applies RR^((BMI − 22.5)/5) to each person’s continuous BMI (BMI capped at 60) and combines risk ratios across conditions. Values shown are the minimum–maximum across ages; age-specific values and 95% CIs are in GEM_input_parameters.xlsx (sheet obesity_rr_nejm).</t>
  </si>
  <si>
    <t>d</t>
  </si>
  <si>
    <t>Applied to the share of the death rate not due to T2D, CKD, CVD or stroke (other-cause mortality), using continuous BMI above 22.5 kg/m².</t>
  </si>
  <si>
    <t>e</t>
  </si>
  <si>
    <t>Disability weights by condition are from GBD 2023 and are used for years lived with disability; DALYs are discounted at 3% per year.</t>
  </si>
  <si>
    <r>
      <t xml:space="preserve">Notes: </t>
    </r>
    <r>
      <rPr>
        <sz val="10"/>
        <color rgb="FF000000"/>
        <rFont val="Aptos"/>
        <family val="2"/>
      </rPr>
      <t>Probabilities and risk adjustments are annual unless noted. Updated October 2026 to match GEM_input_parameters.xlsx (data years: GBD 2023, UN 2024, NCD-RisC 2022). Abbreviations: CI, confidence interval; CKD, chronic kidney disease; CVD, cardiovascular disease; ESKD, end-stage kidney disease; T2D, type 2 diabetes; BMI, body mass index; NA, not applicable.</t>
    </r>
  </si>
  <si>
    <t>Primary Risk Equations or Empirical Basisa</t>
  </si>
  <si>
    <r>
      <rPr>
        <i/>
        <sz val="10"/>
        <color theme="1"/>
        <rFont val="Arial"/>
        <family val="2"/>
      </rPr>
      <t>Notes</t>
    </r>
    <r>
      <rPr>
        <sz val="10"/>
        <color theme="1"/>
        <rFont val="Arial"/>
        <family val="2"/>
      </rPr>
      <t xml:space="preserve">: Color and symbol denotes inclusion type. 
Black = Predictor variable included from the primary input data for that condition;
Green = Additional or derived component. 
Circle (○)  = Included in the risk equation; 
Check (✓)  = Included with added specificity (e.g., interaction with age or other covariate); 
Arrow (↑) = Included at the country-5-year-age-group-sex level using GBD Study data.
Interrelated risk factors were adjusted for individuals with multimorbidity. 
a  Validated risk equations and large-scale empirical studies informed the selection of risk factors for the GEM Model. See Input Data Parameters Table for detailed parameters and sources.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</si>
</sst>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(* #,##0_);_(* \(#,##0\);_(* &quot;-&quot;??_);_(@_)"/>
    <numFmt numFmtId="166" formatCode="0.00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ptos"/>
      <family val="2"/>
    </font>
    <font>
      <b/>
      <sz val="9"/>
      <name val="Aptos"/>
      <family val="2"/>
    </font>
    <font>
      <sz val="8"/>
      <color rgb="FF000000"/>
      <name val="Aptos"/>
      <family val="2"/>
    </font>
    <font>
      <sz val="8"/>
      <color theme="1"/>
      <name val="Calibri"/>
      <family val="2"/>
      <scheme val="minor"/>
    </font>
    <font>
      <sz val="9"/>
      <color rgb="FF000000"/>
      <name val="Aptos"/>
      <family val="2"/>
    </font>
    <font>
      <i/>
      <sz val="10"/>
      <color rgb="FF000000"/>
      <name val="Aptos"/>
      <family val="2"/>
    </font>
    <font>
      <i/>
      <sz val="8"/>
      <color rgb="FF000000"/>
      <name val="Aptos"/>
      <family val="2"/>
    </font>
    <font>
      <sz val="11"/>
      <color theme="1"/>
      <name val="Aptos"/>
      <family val="2"/>
    </font>
    <font>
      <b/>
      <sz val="10"/>
      <color theme="1"/>
      <name val="Aptos"/>
      <family val="2"/>
    </font>
    <font>
      <u/>
      <sz val="9"/>
      <color theme="1"/>
      <name val="Aptos"/>
      <family val="2"/>
    </font>
    <font>
      <b/>
      <sz val="9"/>
      <color theme="1"/>
      <name val="Aptos"/>
      <family val="2"/>
    </font>
    <font>
      <sz val="9"/>
      <color theme="1"/>
      <name val="Aptos"/>
      <family val="2"/>
    </font>
    <font>
      <sz val="10"/>
      <color theme="1"/>
      <name val="Aptos"/>
      <family val="2"/>
    </font>
    <font>
      <i/>
      <sz val="9"/>
      <color theme="1"/>
      <name val="Aptos"/>
      <family val="2"/>
    </font>
    <font>
      <i/>
      <sz val="10"/>
      <color theme="1"/>
      <name val="Aptos"/>
      <family val="2"/>
    </font>
    <font>
      <sz val="10"/>
      <color rgb="FF000000"/>
      <name val="Aptos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i/>
      <u/>
      <sz val="10"/>
      <color theme="1"/>
      <name val="Arial"/>
      <family val="2"/>
    </font>
    <font>
      <u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sz val="9"/>
      <color theme="1"/>
      <name val="Arial"/>
      <family val="2"/>
    </font>
    <font>
      <i/>
      <sz val="10"/>
      <color theme="1"/>
      <name val="Arial"/>
      <family val="2"/>
    </font>
    <font>
      <b/>
      <sz val="11"/>
      <color theme="1"/>
      <name val="Aptos"/>
      <family val="2"/>
    </font>
    <font>
      <i/>
      <sz val="11"/>
      <color theme="1"/>
      <name val="Calibri"/>
      <family val="2"/>
      <scheme val="minor"/>
    </font>
    <font>
      <b/>
      <u/>
      <sz val="11"/>
      <color theme="1"/>
      <name val="Aptos"/>
      <family val="2"/>
    </font>
    <font>
      <u/>
      <sz val="11"/>
      <color theme="1"/>
      <name val="Aptos"/>
      <family val="2"/>
    </font>
    <font>
      <sz val="11"/>
      <color rgb="FF000000"/>
      <name val="Aptos"/>
      <family val="2"/>
    </font>
    <font>
      <vertAlign val="superscript"/>
      <sz val="11"/>
      <color rgb="FF000000"/>
      <name val="Aptos"/>
      <family val="2"/>
    </font>
    <font>
      <u/>
      <sz val="11"/>
      <color rgb="FF000000"/>
      <name val="Aptos"/>
      <family val="2"/>
    </font>
    <font>
      <b/>
      <sz val="9"/>
      <color rgb="FF000000"/>
      <name val="Aptos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9" fillId="0" borderId="0" xfId="0" applyFont="1" applyAlignment="1">
      <alignment vertical="top" wrapText="1"/>
    </xf>
    <xf numFmtId="0" fontId="10" fillId="0" borderId="0" xfId="0" applyFont="1"/>
    <xf numFmtId="0" fontId="10" fillId="2" borderId="0" xfId="0" applyFont="1" applyFill="1"/>
    <xf numFmtId="0" fontId="10" fillId="0" borderId="3" xfId="0" applyFont="1" applyBorder="1"/>
    <xf numFmtId="0" fontId="11" fillId="0" borderId="4" xfId="0" applyFont="1" applyBorder="1" applyAlignment="1">
      <alignment horizontal="left"/>
    </xf>
    <xf numFmtId="0" fontId="11" fillId="0" borderId="4" xfId="0" applyFont="1" applyBorder="1" applyAlignment="1">
      <alignment horizontal="left" wrapText="1"/>
    </xf>
    <xf numFmtId="0" fontId="11" fillId="0" borderId="0" xfId="0" applyFont="1" applyAlignment="1">
      <alignment horizontal="left"/>
    </xf>
    <xf numFmtId="0" fontId="11" fillId="2" borderId="5" xfId="0" applyFont="1" applyFill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4" fillId="0" borderId="0" xfId="0" applyFont="1"/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2" fontId="14" fillId="0" borderId="0" xfId="0" applyNumberFormat="1" applyFont="1" applyAlignment="1">
      <alignment horizontal="left" vertical="center"/>
    </xf>
    <xf numFmtId="0" fontId="15" fillId="0" borderId="0" xfId="0" applyFont="1"/>
    <xf numFmtId="0" fontId="10" fillId="0" borderId="0" xfId="0" applyFont="1" applyAlignment="1">
      <alignment vertical="center" wrapText="1"/>
    </xf>
    <xf numFmtId="0" fontId="15" fillId="0" borderId="1" xfId="0" applyFont="1" applyBorder="1"/>
    <xf numFmtId="0" fontId="19" fillId="0" borderId="0" xfId="0" applyFont="1"/>
    <xf numFmtId="0" fontId="19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26" fillId="0" borderId="1" xfId="0" applyFont="1" applyBorder="1" applyAlignment="1">
      <alignment vertical="center"/>
    </xf>
    <xf numFmtId="0" fontId="26" fillId="0" borderId="1" xfId="0" applyFont="1" applyBorder="1" applyAlignment="1">
      <alignment vertical="center" wrapText="1"/>
    </xf>
    <xf numFmtId="0" fontId="10" fillId="0" borderId="1" xfId="0" applyFont="1" applyBorder="1"/>
    <xf numFmtId="0" fontId="30" fillId="0" borderId="0" xfId="0" applyFont="1" applyAlignment="1">
      <alignment vertical="center"/>
    </xf>
    <xf numFmtId="0" fontId="28" fillId="0" borderId="4" xfId="0" applyFont="1" applyBorder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left" wrapText="1"/>
    </xf>
    <xf numFmtId="0" fontId="32" fillId="0" borderId="0" xfId="0" applyFont="1" applyAlignment="1">
      <alignment wrapText="1"/>
    </xf>
    <xf numFmtId="0" fontId="32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left" wrapText="1"/>
    </xf>
    <xf numFmtId="0" fontId="32" fillId="0" borderId="7" xfId="0" applyFont="1" applyBorder="1" applyAlignment="1">
      <alignment horizontal="left" wrapText="1"/>
    </xf>
    <xf numFmtId="0" fontId="32" fillId="0" borderId="7" xfId="0" applyFont="1" applyBorder="1" applyAlignment="1">
      <alignment wrapText="1"/>
    </xf>
    <xf numFmtId="0" fontId="10" fillId="0" borderId="7" xfId="0" applyFont="1" applyBorder="1"/>
    <xf numFmtId="0" fontId="34" fillId="0" borderId="0" xfId="0" applyFont="1" applyAlignment="1">
      <alignment horizontal="left" wrapText="1"/>
    </xf>
    <xf numFmtId="0" fontId="32" fillId="0" borderId="1" xfId="0" applyFont="1" applyBorder="1" applyAlignment="1">
      <alignment horizontal="left" wrapText="1"/>
    </xf>
    <xf numFmtId="0" fontId="32" fillId="0" borderId="1" xfId="0" applyFont="1" applyBorder="1" applyAlignment="1">
      <alignment wrapText="1"/>
    </xf>
    <xf numFmtId="0" fontId="31" fillId="0" borderId="0" xfId="0" applyFont="1" applyAlignment="1">
      <alignment wrapText="1"/>
    </xf>
    <xf numFmtId="0" fontId="10" fillId="0" borderId="1" xfId="0" applyFont="1" applyBorder="1" applyAlignment="1">
      <alignment horizontal="left" wrapText="1"/>
    </xf>
    <xf numFmtId="0" fontId="10" fillId="0" borderId="1" xfId="0" applyFont="1" applyBorder="1" applyAlignment="1">
      <alignment wrapText="1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wrapText="1"/>
    </xf>
    <xf numFmtId="0" fontId="11" fillId="0" borderId="1" xfId="0" applyFont="1" applyBorder="1" applyAlignment="1">
      <alignment horizontal="left" wrapText="1"/>
    </xf>
    <xf numFmtId="0" fontId="11" fillId="0" borderId="1" xfId="0" applyFont="1" applyBorder="1" applyAlignment="1">
      <alignment wrapText="1"/>
    </xf>
    <xf numFmtId="0" fontId="15" fillId="0" borderId="0" xfId="0" applyFont="1" applyAlignment="1">
      <alignment horizontal="left" vertical="top" wrapText="1"/>
    </xf>
    <xf numFmtId="165" fontId="15" fillId="0" borderId="0" xfId="1" applyNumberFormat="1" applyFont="1" applyAlignment="1">
      <alignment vertical="top" wrapText="1"/>
    </xf>
    <xf numFmtId="165" fontId="15" fillId="0" borderId="0" xfId="1" applyNumberFormat="1" applyFont="1" applyAlignment="1">
      <alignment vertical="top"/>
    </xf>
    <xf numFmtId="0" fontId="15" fillId="0" borderId="0" xfId="0" applyFont="1" applyAlignment="1">
      <alignment horizontal="left" vertical="top"/>
    </xf>
    <xf numFmtId="0" fontId="15" fillId="0" borderId="1" xfId="0" applyFont="1" applyBorder="1" applyAlignment="1">
      <alignment horizontal="left" vertical="top" wrapText="1"/>
    </xf>
    <xf numFmtId="165" fontId="15" fillId="0" borderId="1" xfId="1" applyNumberFormat="1" applyFont="1" applyBorder="1" applyAlignment="1">
      <alignment vertical="top" wrapText="1"/>
    </xf>
    <xf numFmtId="0" fontId="35" fillId="0" borderId="6" xfId="0" applyFont="1" applyBorder="1" applyAlignment="1">
      <alignment horizontal="left" wrapText="1"/>
    </xf>
    <xf numFmtId="0" fontId="13" fillId="0" borderId="6" xfId="0" applyFont="1" applyBorder="1" applyAlignment="1">
      <alignment horizontal="left" wrapText="1"/>
    </xf>
    <xf numFmtId="0" fontId="14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 vertical="top" wrapText="1"/>
    </xf>
    <xf numFmtId="2" fontId="14" fillId="0" borderId="2" xfId="2" applyNumberFormat="1" applyFont="1" applyFill="1" applyBorder="1" applyAlignment="1">
      <alignment horizontal="left" vertical="top" wrapText="1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2" fontId="14" fillId="0" borderId="0" xfId="2" applyNumberFormat="1" applyFont="1" applyFill="1" applyBorder="1" applyAlignment="1">
      <alignment horizontal="left" vertical="top" wrapText="1"/>
    </xf>
    <xf numFmtId="166" fontId="14" fillId="0" borderId="0" xfId="2" applyNumberFormat="1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2" fontId="14" fillId="0" borderId="1" xfId="2" applyNumberFormat="1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6" fillId="0" borderId="0" xfId="0" applyFont="1" applyAlignment="1">
      <alignment vertical="center"/>
    </xf>
    <xf numFmtId="0" fontId="28" fillId="0" borderId="0" xfId="0" applyFont="1"/>
    <xf numFmtId="0" fontId="36" fillId="0" borderId="0" xfId="0" applyFont="1"/>
    <xf numFmtId="0" fontId="20" fillId="0" borderId="1" xfId="0" applyFont="1" applyBorder="1" applyAlignment="1">
      <alignment wrapText="1"/>
    </xf>
    <xf numFmtId="0" fontId="20" fillId="0" borderId="1" xfId="0" applyFont="1" applyBorder="1" applyAlignment="1">
      <alignment horizontal="center" wrapText="1"/>
    </xf>
    <xf numFmtId="0" fontId="11" fillId="0" borderId="4" xfId="0" applyFont="1" applyBorder="1" applyAlignment="1">
      <alignment horizontal="left"/>
    </xf>
    <xf numFmtId="0" fontId="16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wrapText="1"/>
    </xf>
    <xf numFmtId="0" fontId="18" fillId="0" borderId="1" xfId="0" applyFont="1" applyBorder="1" applyAlignment="1">
      <alignment horizontal="left" wrapText="1"/>
    </xf>
    <xf numFmtId="0" fontId="9" fillId="0" borderId="2" xfId="0" applyFont="1" applyBorder="1" applyAlignment="1">
      <alignment horizontal="left" vertical="top" wrapText="1"/>
    </xf>
    <xf numFmtId="0" fontId="23" fillId="0" borderId="6" xfId="0" applyFont="1" applyBorder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center" wrapText="1"/>
    </xf>
    <xf numFmtId="0" fontId="15" fillId="0" borderId="0" xfId="0" applyFont="1" applyBorder="1"/>
    <xf numFmtId="0" fontId="18" fillId="0" borderId="0" xfId="0" applyFont="1" applyBorder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41275</xdr:rowOff>
    </xdr:from>
    <xdr:to>
      <xdr:col>9</xdr:col>
      <xdr:colOff>323850</xdr:colOff>
      <xdr:row>14</xdr:row>
      <xdr:rowOff>123825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FF03B18-7ECE-4136-5017-D88444A10D68}"/>
            </a:ext>
          </a:extLst>
        </xdr:cNvPr>
        <xdr:cNvSpPr/>
      </xdr:nvSpPr>
      <xdr:spPr>
        <a:xfrm>
          <a:off x="609600" y="222250"/>
          <a:ext cx="5200650" cy="24352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The</a:t>
          </a:r>
          <a:r>
            <a:rPr lang="en-US" sz="1400" baseline="0"/>
            <a:t> following tabs are included to provide additional details for:</a:t>
          </a:r>
        </a:p>
        <a:p>
          <a:pPr algn="ctr"/>
          <a:endParaRPr lang="en-US" sz="1400" baseline="0"/>
        </a:p>
        <a:p>
          <a:pPr algn="ctr"/>
          <a:r>
            <a:rPr lang="en-US" sz="1400" baseline="0"/>
            <a:t>(1) GEM Model input data and </a:t>
          </a:r>
        </a:p>
        <a:p>
          <a:pPr algn="ctr"/>
          <a:r>
            <a:rPr lang="en-US" sz="1400" baseline="0"/>
            <a:t>(2) Model validation comparison studies</a:t>
          </a:r>
        </a:p>
        <a:p>
          <a:pPr algn="ctr"/>
          <a:endParaRPr lang="en-US" sz="1400" baseline="0"/>
        </a:p>
        <a:p>
          <a:pPr algn="ctr"/>
          <a:endParaRPr lang="en-US" sz="1400" baseline="0"/>
        </a:p>
        <a:p>
          <a:pPr algn="ctr"/>
          <a:endParaRPr lang="en-US" sz="1400" baseline="0"/>
        </a:p>
        <a:p>
          <a:pPr algn="ctr"/>
          <a:r>
            <a:rPr lang="en-US" sz="1400" baseline="0"/>
            <a:t>Author: Elizabeth Mitchell</a:t>
          </a:r>
        </a:p>
        <a:p>
          <a:pPr algn="ctr"/>
          <a:r>
            <a:rPr lang="en-US" sz="1400" baseline="0"/>
            <a:t>Date Updated: Oct. 26, 2026</a:t>
          </a:r>
          <a:endParaRPr lang="en-US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COOLERS1">
      <a:dk1>
        <a:sysClr val="windowText" lastClr="000000"/>
      </a:dk1>
      <a:lt1>
        <a:srgbClr val="F4F1DE"/>
      </a:lt1>
      <a:dk2>
        <a:srgbClr val="3D405B"/>
      </a:dk2>
      <a:lt2>
        <a:srgbClr val="D2D2D2"/>
      </a:lt2>
      <a:accent1>
        <a:srgbClr val="81B29A"/>
      </a:accent1>
      <a:accent2>
        <a:srgbClr val="EAB69F"/>
      </a:accent2>
      <a:accent3>
        <a:srgbClr val="E07A5F"/>
      </a:accent3>
      <a:accent4>
        <a:srgbClr val="F2CC8F"/>
      </a:accent4>
      <a:accent5>
        <a:srgbClr val="903845"/>
      </a:accent5>
      <a:accent6>
        <a:srgbClr val="0033A0"/>
      </a:accent6>
      <a:hlink>
        <a:srgbClr val="0070C0"/>
      </a:hlink>
      <a:folHlink>
        <a:srgbClr val="7030A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32AD6-A481-4F15-A23C-F58CA6F4EC97}">
  <sheetPr>
    <tabColor theme="8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A0AB6-5CFA-410D-AF80-4998783D3F62}">
  <sheetPr>
    <tabColor theme="2"/>
  </sheetPr>
  <dimension ref="A1:Q240"/>
  <sheetViews>
    <sheetView topLeftCell="A16" workbookViewId="0"/>
  </sheetViews>
  <sheetFormatPr defaultRowHeight="14.4" x14ac:dyDescent="0.3"/>
  <cols>
    <col min="2" max="2" width="6.109375" style="1" customWidth="1"/>
    <col min="3" max="3" width="23.109375" style="2" customWidth="1"/>
    <col min="4" max="4" width="6.6640625" style="2" customWidth="1"/>
    <col min="5" max="5" width="20.33203125" style="2" customWidth="1"/>
    <col min="6" max="6" width="17" style="2" customWidth="1"/>
    <col min="7" max="7" width="2.88671875" style="3" customWidth="1"/>
    <col min="8" max="8" width="12.5546875" style="2" customWidth="1"/>
    <col min="9" max="9" width="5.5546875" style="2" customWidth="1"/>
    <col min="10" max="11" width="12.5546875" style="2" customWidth="1"/>
    <col min="12" max="12" width="2.88671875" style="3" customWidth="1"/>
    <col min="13" max="13" width="12.5546875" style="2" customWidth="1"/>
    <col min="14" max="14" width="5.5546875" style="2" customWidth="1"/>
    <col min="15" max="16" width="12.5546875" style="2" customWidth="1"/>
  </cols>
  <sheetData>
    <row r="1" spans="1:16" x14ac:dyDescent="0.3">
      <c r="A1" s="4" t="s">
        <v>674</v>
      </c>
    </row>
    <row r="3" spans="1:16" s="4" customFormat="1" x14ac:dyDescent="0.3">
      <c r="B3" s="5"/>
      <c r="C3" s="6" t="s">
        <v>0</v>
      </c>
      <c r="D3" s="6" t="s">
        <v>1</v>
      </c>
      <c r="E3" s="6" t="s">
        <v>2</v>
      </c>
      <c r="F3" s="6" t="s">
        <v>3</v>
      </c>
      <c r="G3" s="7"/>
      <c r="H3" s="8"/>
      <c r="I3" s="8"/>
      <c r="J3" s="8"/>
      <c r="K3" s="8"/>
      <c r="L3" s="7"/>
      <c r="M3" s="8"/>
      <c r="N3" s="8"/>
      <c r="O3" s="8"/>
      <c r="P3" s="8"/>
    </row>
    <row r="4" spans="1:16" x14ac:dyDescent="0.3">
      <c r="B4" s="9">
        <v>1</v>
      </c>
      <c r="C4" s="10" t="s">
        <v>4</v>
      </c>
      <c r="D4" s="10" t="s">
        <v>5</v>
      </c>
      <c r="E4" s="10" t="s">
        <v>6</v>
      </c>
      <c r="F4" s="10" t="s">
        <v>7</v>
      </c>
    </row>
    <row r="5" spans="1:16" x14ac:dyDescent="0.3">
      <c r="B5" s="11">
        <v>2</v>
      </c>
      <c r="C5" s="10" t="s">
        <v>8</v>
      </c>
      <c r="D5" s="10" t="s">
        <v>9</v>
      </c>
      <c r="E5" s="10" t="s">
        <v>10</v>
      </c>
      <c r="F5" s="10" t="s">
        <v>11</v>
      </c>
    </row>
    <row r="6" spans="1:16" x14ac:dyDescent="0.3">
      <c r="B6" s="11">
        <v>3</v>
      </c>
      <c r="C6" s="10" t="s">
        <v>12</v>
      </c>
      <c r="D6" s="10" t="s">
        <v>13</v>
      </c>
      <c r="E6" s="10" t="s">
        <v>14</v>
      </c>
      <c r="F6" s="10" t="s">
        <v>15</v>
      </c>
    </row>
    <row r="7" spans="1:16" x14ac:dyDescent="0.3">
      <c r="B7" s="9">
        <v>4</v>
      </c>
      <c r="C7" s="10" t="s">
        <v>16</v>
      </c>
      <c r="D7" s="10" t="s">
        <v>17</v>
      </c>
      <c r="E7" s="10" t="s">
        <v>6</v>
      </c>
      <c r="F7" s="10" t="s">
        <v>15</v>
      </c>
    </row>
    <row r="8" spans="1:16" x14ac:dyDescent="0.3">
      <c r="B8" s="11">
        <v>5</v>
      </c>
      <c r="C8" s="10" t="s">
        <v>18</v>
      </c>
      <c r="D8" s="10" t="s">
        <v>19</v>
      </c>
      <c r="E8" s="10" t="s">
        <v>20</v>
      </c>
      <c r="F8" s="10" t="s">
        <v>21</v>
      </c>
    </row>
    <row r="9" spans="1:16" x14ac:dyDescent="0.3">
      <c r="B9" s="11">
        <v>6</v>
      </c>
      <c r="C9" s="10" t="s">
        <v>22</v>
      </c>
      <c r="D9" s="10" t="s">
        <v>23</v>
      </c>
      <c r="E9" s="10" t="s">
        <v>20</v>
      </c>
      <c r="F9" s="10" t="s">
        <v>7</v>
      </c>
    </row>
    <row r="10" spans="1:16" x14ac:dyDescent="0.3">
      <c r="B10" s="9">
        <v>7</v>
      </c>
      <c r="C10" s="10" t="s">
        <v>24</v>
      </c>
      <c r="D10" s="10" t="s">
        <v>25</v>
      </c>
      <c r="E10" s="10" t="s">
        <v>10</v>
      </c>
      <c r="F10" s="10" t="s">
        <v>7</v>
      </c>
    </row>
    <row r="11" spans="1:16" x14ac:dyDescent="0.3">
      <c r="B11" s="11">
        <v>8</v>
      </c>
      <c r="C11" s="10" t="s">
        <v>26</v>
      </c>
      <c r="D11" s="10" t="s">
        <v>27</v>
      </c>
      <c r="E11" s="10" t="s">
        <v>6</v>
      </c>
      <c r="F11" s="10" t="s">
        <v>7</v>
      </c>
    </row>
    <row r="12" spans="1:16" x14ac:dyDescent="0.3">
      <c r="B12" s="11">
        <v>9</v>
      </c>
      <c r="C12" s="10" t="s">
        <v>28</v>
      </c>
      <c r="D12" s="10" t="s">
        <v>29</v>
      </c>
      <c r="E12" s="10" t="s">
        <v>20</v>
      </c>
      <c r="F12" s="10" t="s">
        <v>21</v>
      </c>
    </row>
    <row r="13" spans="1:16" x14ac:dyDescent="0.3">
      <c r="B13" s="9">
        <v>10</v>
      </c>
      <c r="C13" s="10" t="s">
        <v>30</v>
      </c>
      <c r="D13" s="10" t="s">
        <v>31</v>
      </c>
      <c r="E13" s="10" t="s">
        <v>32</v>
      </c>
      <c r="F13" s="10" t="s">
        <v>21</v>
      </c>
    </row>
    <row r="14" spans="1:16" x14ac:dyDescent="0.3">
      <c r="B14" s="11">
        <v>11</v>
      </c>
      <c r="C14" s="10" t="s">
        <v>33</v>
      </c>
      <c r="D14" s="10" t="s">
        <v>34</v>
      </c>
      <c r="E14" s="10" t="s">
        <v>6</v>
      </c>
      <c r="F14" s="10" t="s">
        <v>7</v>
      </c>
    </row>
    <row r="15" spans="1:16" x14ac:dyDescent="0.3">
      <c r="B15" s="11">
        <v>12</v>
      </c>
      <c r="C15" s="10" t="s">
        <v>35</v>
      </c>
      <c r="D15" s="10" t="s">
        <v>36</v>
      </c>
      <c r="E15" s="10" t="s">
        <v>32</v>
      </c>
      <c r="F15" s="10" t="s">
        <v>7</v>
      </c>
    </row>
    <row r="16" spans="1:16" x14ac:dyDescent="0.3">
      <c r="B16" s="9">
        <v>13</v>
      </c>
      <c r="C16" s="10" t="s">
        <v>37</v>
      </c>
      <c r="D16" s="10" t="s">
        <v>38</v>
      </c>
      <c r="E16" s="10" t="s">
        <v>20</v>
      </c>
      <c r="F16" s="10" t="s">
        <v>7</v>
      </c>
    </row>
    <row r="17" spans="2:6" x14ac:dyDescent="0.3">
      <c r="B17" s="11">
        <v>14</v>
      </c>
      <c r="C17" s="10" t="s">
        <v>39</v>
      </c>
      <c r="D17" s="10" t="s">
        <v>40</v>
      </c>
      <c r="E17" s="10" t="s">
        <v>20</v>
      </c>
      <c r="F17" s="10" t="s">
        <v>21</v>
      </c>
    </row>
    <row r="18" spans="2:6" x14ac:dyDescent="0.3">
      <c r="B18" s="11">
        <v>15</v>
      </c>
      <c r="C18" s="10" t="s">
        <v>41</v>
      </c>
      <c r="D18" s="10" t="s">
        <v>42</v>
      </c>
      <c r="E18" s="10" t="s">
        <v>14</v>
      </c>
      <c r="F18" s="10" t="s">
        <v>11</v>
      </c>
    </row>
    <row r="19" spans="2:6" x14ac:dyDescent="0.3">
      <c r="B19" s="9">
        <v>16</v>
      </c>
      <c r="C19" s="10" t="s">
        <v>43</v>
      </c>
      <c r="D19" s="10" t="s">
        <v>44</v>
      </c>
      <c r="E19" s="10" t="s">
        <v>20</v>
      </c>
      <c r="F19" s="10" t="s">
        <v>7</v>
      </c>
    </row>
    <row r="20" spans="2:6" x14ac:dyDescent="0.3">
      <c r="B20" s="11">
        <v>17</v>
      </c>
      <c r="C20" s="10" t="s">
        <v>45</v>
      </c>
      <c r="D20" s="10" t="s">
        <v>46</v>
      </c>
      <c r="E20" s="10" t="s">
        <v>14</v>
      </c>
      <c r="F20" s="10" t="s">
        <v>11</v>
      </c>
    </row>
    <row r="21" spans="2:6" x14ac:dyDescent="0.3">
      <c r="B21" s="11">
        <v>18</v>
      </c>
      <c r="C21" s="10" t="s">
        <v>47</v>
      </c>
      <c r="D21" s="10" t="s">
        <v>48</v>
      </c>
      <c r="E21" s="10" t="s">
        <v>6</v>
      </c>
      <c r="F21" s="10" t="s">
        <v>49</v>
      </c>
    </row>
    <row r="22" spans="2:6" x14ac:dyDescent="0.3">
      <c r="B22" s="9">
        <v>19</v>
      </c>
      <c r="C22" s="10" t="s">
        <v>50</v>
      </c>
      <c r="D22" s="10" t="s">
        <v>51</v>
      </c>
      <c r="E22" s="10" t="s">
        <v>14</v>
      </c>
      <c r="F22" s="10" t="s">
        <v>11</v>
      </c>
    </row>
    <row r="23" spans="2:6" x14ac:dyDescent="0.3">
      <c r="B23" s="11">
        <v>20</v>
      </c>
      <c r="C23" s="10" t="s">
        <v>52</v>
      </c>
      <c r="D23" s="10" t="s">
        <v>53</v>
      </c>
      <c r="E23" s="10" t="s">
        <v>54</v>
      </c>
      <c r="F23" s="10" t="s">
        <v>15</v>
      </c>
    </row>
    <row r="24" spans="2:6" x14ac:dyDescent="0.3">
      <c r="B24" s="11">
        <v>21</v>
      </c>
      <c r="C24" s="10" t="s">
        <v>55</v>
      </c>
      <c r="D24" s="10" t="s">
        <v>56</v>
      </c>
      <c r="E24" s="10" t="s">
        <v>20</v>
      </c>
      <c r="F24" s="10" t="s">
        <v>21</v>
      </c>
    </row>
    <row r="25" spans="2:6" x14ac:dyDescent="0.3">
      <c r="B25" s="9">
        <v>22</v>
      </c>
      <c r="C25" s="10" t="s">
        <v>57</v>
      </c>
      <c r="D25" s="10" t="s">
        <v>58</v>
      </c>
      <c r="E25" s="10" t="s">
        <v>10</v>
      </c>
      <c r="F25" s="10" t="s">
        <v>7</v>
      </c>
    </row>
    <row r="26" spans="2:6" x14ac:dyDescent="0.3">
      <c r="B26" s="11">
        <v>23</v>
      </c>
      <c r="C26" s="10" t="s">
        <v>59</v>
      </c>
      <c r="D26" s="10" t="s">
        <v>60</v>
      </c>
      <c r="E26" s="10" t="s">
        <v>6</v>
      </c>
      <c r="F26" s="10" t="s">
        <v>7</v>
      </c>
    </row>
    <row r="27" spans="2:6" x14ac:dyDescent="0.3">
      <c r="B27" s="11">
        <v>24</v>
      </c>
      <c r="C27" s="10" t="s">
        <v>61</v>
      </c>
      <c r="D27" s="10" t="s">
        <v>62</v>
      </c>
      <c r="E27" s="10" t="s">
        <v>20</v>
      </c>
      <c r="F27" s="10" t="s">
        <v>21</v>
      </c>
    </row>
    <row r="28" spans="2:6" x14ac:dyDescent="0.3">
      <c r="B28" s="9">
        <v>25</v>
      </c>
      <c r="C28" s="10" t="s">
        <v>63</v>
      </c>
      <c r="D28" s="10" t="s">
        <v>64</v>
      </c>
      <c r="E28" s="10" t="s">
        <v>6</v>
      </c>
      <c r="F28" s="10" t="s">
        <v>7</v>
      </c>
    </row>
    <row r="29" spans="2:6" x14ac:dyDescent="0.3">
      <c r="B29" s="11">
        <v>26</v>
      </c>
      <c r="C29" s="10" t="s">
        <v>65</v>
      </c>
      <c r="D29" s="10" t="s">
        <v>66</v>
      </c>
      <c r="E29" s="10" t="s">
        <v>20</v>
      </c>
      <c r="F29" s="10" t="s">
        <v>21</v>
      </c>
    </row>
    <row r="30" spans="2:6" x14ac:dyDescent="0.3">
      <c r="B30" s="11">
        <v>27</v>
      </c>
      <c r="C30" s="10" t="s">
        <v>67</v>
      </c>
      <c r="D30" s="10" t="s">
        <v>68</v>
      </c>
      <c r="E30" s="10" t="s">
        <v>6</v>
      </c>
      <c r="F30" s="10" t="s">
        <v>21</v>
      </c>
    </row>
    <row r="31" spans="2:6" x14ac:dyDescent="0.3">
      <c r="B31" s="9">
        <v>28</v>
      </c>
      <c r="C31" s="10" t="s">
        <v>69</v>
      </c>
      <c r="D31" s="10" t="s">
        <v>70</v>
      </c>
      <c r="E31" s="10" t="s">
        <v>6</v>
      </c>
      <c r="F31" s="10" t="s">
        <v>7</v>
      </c>
    </row>
    <row r="32" spans="2:6" x14ac:dyDescent="0.3">
      <c r="B32" s="11">
        <v>29</v>
      </c>
      <c r="C32" s="10" t="s">
        <v>71</v>
      </c>
      <c r="D32" s="10" t="s">
        <v>72</v>
      </c>
      <c r="E32" s="10" t="s">
        <v>6</v>
      </c>
      <c r="F32" s="10" t="s">
        <v>15</v>
      </c>
    </row>
    <row r="33" spans="2:6" x14ac:dyDescent="0.3">
      <c r="B33" s="11">
        <v>30</v>
      </c>
      <c r="C33" s="10" t="s">
        <v>73</v>
      </c>
      <c r="D33" s="10" t="s">
        <v>74</v>
      </c>
      <c r="E33" s="10" t="s">
        <v>6</v>
      </c>
      <c r="F33" s="10" t="s">
        <v>21</v>
      </c>
    </row>
    <row r="34" spans="2:6" x14ac:dyDescent="0.3">
      <c r="B34" s="9">
        <v>31</v>
      </c>
      <c r="C34" s="10" t="s">
        <v>75</v>
      </c>
      <c r="D34" s="10" t="s">
        <v>76</v>
      </c>
      <c r="E34" s="10" t="s">
        <v>6</v>
      </c>
      <c r="F34" s="10" t="s">
        <v>7</v>
      </c>
    </row>
    <row r="35" spans="2:6" x14ac:dyDescent="0.3">
      <c r="B35" s="11">
        <v>32</v>
      </c>
      <c r="C35" s="10" t="s">
        <v>77</v>
      </c>
      <c r="D35" s="10" t="s">
        <v>78</v>
      </c>
      <c r="E35" s="10" t="s">
        <v>32</v>
      </c>
      <c r="F35" s="10" t="s">
        <v>7</v>
      </c>
    </row>
    <row r="36" spans="2:6" x14ac:dyDescent="0.3">
      <c r="B36" s="11">
        <v>33</v>
      </c>
      <c r="C36" s="10" t="s">
        <v>79</v>
      </c>
      <c r="D36" s="10" t="s">
        <v>80</v>
      </c>
      <c r="E36" s="10" t="s">
        <v>54</v>
      </c>
      <c r="F36" s="10" t="s">
        <v>15</v>
      </c>
    </row>
    <row r="37" spans="2:6" x14ac:dyDescent="0.3">
      <c r="B37" s="9">
        <v>34</v>
      </c>
      <c r="C37" s="10" t="s">
        <v>81</v>
      </c>
      <c r="D37" s="10" t="s">
        <v>82</v>
      </c>
      <c r="E37" s="10" t="s">
        <v>14</v>
      </c>
      <c r="F37" s="10" t="s">
        <v>21</v>
      </c>
    </row>
    <row r="38" spans="2:6" x14ac:dyDescent="0.3">
      <c r="B38" s="11">
        <v>35</v>
      </c>
      <c r="C38" s="10" t="s">
        <v>83</v>
      </c>
      <c r="D38" s="10" t="s">
        <v>84</v>
      </c>
      <c r="E38" s="10" t="s">
        <v>14</v>
      </c>
      <c r="F38" s="10" t="s">
        <v>11</v>
      </c>
    </row>
    <row r="39" spans="2:6" x14ac:dyDescent="0.3">
      <c r="B39" s="11">
        <v>36</v>
      </c>
      <c r="C39" s="10" t="s">
        <v>85</v>
      </c>
      <c r="D39" s="10" t="s">
        <v>86</v>
      </c>
      <c r="E39" s="10" t="s">
        <v>6</v>
      </c>
      <c r="F39" s="10" t="s">
        <v>7</v>
      </c>
    </row>
    <row r="40" spans="2:6" x14ac:dyDescent="0.3">
      <c r="B40" s="9">
        <v>37</v>
      </c>
      <c r="C40" s="10" t="s">
        <v>87</v>
      </c>
      <c r="D40" s="10" t="s">
        <v>88</v>
      </c>
      <c r="E40" s="10" t="s">
        <v>20</v>
      </c>
      <c r="F40" s="10" t="s">
        <v>7</v>
      </c>
    </row>
    <row r="41" spans="2:6" x14ac:dyDescent="0.3">
      <c r="B41" s="11">
        <v>38</v>
      </c>
      <c r="C41" s="10" t="s">
        <v>89</v>
      </c>
      <c r="D41" s="10" t="s">
        <v>90</v>
      </c>
      <c r="E41" s="10" t="s">
        <v>6</v>
      </c>
      <c r="F41" s="10" t="s">
        <v>7</v>
      </c>
    </row>
    <row r="42" spans="2:6" x14ac:dyDescent="0.3">
      <c r="B42" s="11">
        <v>39</v>
      </c>
      <c r="C42" s="10" t="s">
        <v>91</v>
      </c>
      <c r="D42" s="10" t="s">
        <v>92</v>
      </c>
      <c r="E42" s="10" t="s">
        <v>32</v>
      </c>
      <c r="F42" s="10" t="s">
        <v>21</v>
      </c>
    </row>
    <row r="43" spans="2:6" x14ac:dyDescent="0.3">
      <c r="B43" s="9">
        <v>40</v>
      </c>
      <c r="C43" s="10" t="s">
        <v>93</v>
      </c>
      <c r="D43" s="10" t="s">
        <v>94</v>
      </c>
      <c r="E43" s="10" t="s">
        <v>14</v>
      </c>
      <c r="F43" s="10" t="s">
        <v>15</v>
      </c>
    </row>
    <row r="44" spans="2:6" x14ac:dyDescent="0.3">
      <c r="B44" s="11">
        <v>41</v>
      </c>
      <c r="C44" s="10" t="s">
        <v>95</v>
      </c>
      <c r="D44" s="10" t="s">
        <v>96</v>
      </c>
      <c r="E44" s="10" t="s">
        <v>14</v>
      </c>
      <c r="F44" s="10" t="s">
        <v>15</v>
      </c>
    </row>
    <row r="45" spans="2:6" x14ac:dyDescent="0.3">
      <c r="B45" s="11">
        <v>42</v>
      </c>
      <c r="C45" s="10" t="s">
        <v>97</v>
      </c>
      <c r="D45" s="10" t="s">
        <v>98</v>
      </c>
      <c r="E45" s="10" t="s">
        <v>14</v>
      </c>
      <c r="F45" s="10" t="s">
        <v>11</v>
      </c>
    </row>
    <row r="46" spans="2:6" x14ac:dyDescent="0.3">
      <c r="B46" s="9">
        <v>43</v>
      </c>
      <c r="C46" s="10" t="s">
        <v>99</v>
      </c>
      <c r="D46" s="10" t="s">
        <v>100</v>
      </c>
      <c r="E46" s="10" t="s">
        <v>14</v>
      </c>
      <c r="F46" s="10" t="s">
        <v>15</v>
      </c>
    </row>
    <row r="47" spans="2:6" x14ac:dyDescent="0.3">
      <c r="B47" s="11">
        <v>44</v>
      </c>
      <c r="C47" s="10" t="s">
        <v>101</v>
      </c>
      <c r="D47" s="10" t="s">
        <v>102</v>
      </c>
      <c r="E47" s="10" t="s">
        <v>32</v>
      </c>
      <c r="F47" s="10" t="s">
        <v>7</v>
      </c>
    </row>
    <row r="48" spans="2:6" x14ac:dyDescent="0.3">
      <c r="B48" s="11">
        <v>45</v>
      </c>
      <c r="C48" s="10" t="s">
        <v>103</v>
      </c>
      <c r="D48" s="10" t="s">
        <v>104</v>
      </c>
      <c r="E48" s="10" t="s">
        <v>6</v>
      </c>
      <c r="F48" s="10" t="s">
        <v>21</v>
      </c>
    </row>
    <row r="49" spans="2:6" x14ac:dyDescent="0.3">
      <c r="B49" s="9">
        <v>46</v>
      </c>
      <c r="C49" s="10" t="s">
        <v>105</v>
      </c>
      <c r="D49" s="10" t="s">
        <v>106</v>
      </c>
      <c r="E49" s="10" t="s">
        <v>14</v>
      </c>
      <c r="F49" s="10" t="s">
        <v>11</v>
      </c>
    </row>
    <row r="50" spans="2:6" x14ac:dyDescent="0.3">
      <c r="B50" s="11">
        <v>47</v>
      </c>
      <c r="C50" s="10" t="s">
        <v>107</v>
      </c>
      <c r="D50" s="10" t="s">
        <v>108</v>
      </c>
      <c r="E50" s="10" t="s">
        <v>14</v>
      </c>
      <c r="F50" s="10" t="s">
        <v>15</v>
      </c>
    </row>
    <row r="51" spans="2:6" x14ac:dyDescent="0.3">
      <c r="B51" s="11">
        <v>48</v>
      </c>
      <c r="C51" s="10" t="s">
        <v>109</v>
      </c>
      <c r="D51" s="10" t="s">
        <v>110</v>
      </c>
      <c r="E51" s="10" t="s">
        <v>6</v>
      </c>
      <c r="F51" s="10" t="s">
        <v>21</v>
      </c>
    </row>
    <row r="52" spans="2:6" x14ac:dyDescent="0.3">
      <c r="B52" s="9">
        <v>49</v>
      </c>
      <c r="C52" s="10" t="s">
        <v>111</v>
      </c>
      <c r="D52" s="10" t="s">
        <v>112</v>
      </c>
      <c r="E52" s="10" t="s">
        <v>6</v>
      </c>
      <c r="F52" s="10" t="s">
        <v>21</v>
      </c>
    </row>
    <row r="53" spans="2:6" x14ac:dyDescent="0.3">
      <c r="B53" s="11">
        <v>50</v>
      </c>
      <c r="C53" s="10" t="s">
        <v>113</v>
      </c>
      <c r="D53" s="10" t="s">
        <v>114</v>
      </c>
      <c r="E53" s="10" t="s">
        <v>6</v>
      </c>
      <c r="F53" s="10" t="s">
        <v>7</v>
      </c>
    </row>
    <row r="54" spans="2:6" x14ac:dyDescent="0.3">
      <c r="B54" s="11">
        <v>51</v>
      </c>
      <c r="C54" s="10" t="s">
        <v>115</v>
      </c>
      <c r="D54" s="10" t="s">
        <v>116</v>
      </c>
      <c r="E54" s="10" t="s">
        <v>6</v>
      </c>
      <c r="F54" s="10" t="s">
        <v>7</v>
      </c>
    </row>
    <row r="55" spans="2:6" x14ac:dyDescent="0.3">
      <c r="B55" s="9">
        <v>52</v>
      </c>
      <c r="C55" s="10" t="s">
        <v>117</v>
      </c>
      <c r="D55" s="10" t="s">
        <v>118</v>
      </c>
      <c r="E55" s="10" t="s">
        <v>20</v>
      </c>
      <c r="F55" s="10" t="s">
        <v>7</v>
      </c>
    </row>
    <row r="56" spans="2:6" x14ac:dyDescent="0.3">
      <c r="B56" s="11">
        <v>53</v>
      </c>
      <c r="C56" s="10" t="s">
        <v>119</v>
      </c>
      <c r="D56" s="10" t="s">
        <v>120</v>
      </c>
      <c r="E56" s="10" t="s">
        <v>20</v>
      </c>
      <c r="F56" s="10" t="s">
        <v>7</v>
      </c>
    </row>
    <row r="57" spans="2:6" x14ac:dyDescent="0.3">
      <c r="B57" s="11">
        <v>54</v>
      </c>
      <c r="C57" s="10" t="s">
        <v>121</v>
      </c>
      <c r="D57" s="10" t="s">
        <v>122</v>
      </c>
      <c r="E57" s="10" t="s">
        <v>20</v>
      </c>
      <c r="F57" s="10" t="s">
        <v>7</v>
      </c>
    </row>
    <row r="58" spans="2:6" x14ac:dyDescent="0.3">
      <c r="B58" s="9">
        <v>55</v>
      </c>
      <c r="C58" s="10" t="s">
        <v>123</v>
      </c>
      <c r="D58" s="10" t="s">
        <v>124</v>
      </c>
      <c r="E58" s="10" t="s">
        <v>10</v>
      </c>
      <c r="F58" s="10" t="s">
        <v>15</v>
      </c>
    </row>
    <row r="59" spans="2:6" x14ac:dyDescent="0.3">
      <c r="B59" s="11">
        <v>56</v>
      </c>
      <c r="C59" s="10" t="s">
        <v>125</v>
      </c>
      <c r="D59" s="10" t="s">
        <v>126</v>
      </c>
      <c r="E59" s="10" t="s">
        <v>6</v>
      </c>
      <c r="F59" s="10" t="s">
        <v>21</v>
      </c>
    </row>
    <row r="60" spans="2:6" x14ac:dyDescent="0.3">
      <c r="B60" s="11">
        <v>57</v>
      </c>
      <c r="C60" s="10" t="s">
        <v>127</v>
      </c>
      <c r="D60" s="10" t="s">
        <v>128</v>
      </c>
      <c r="E60" s="10" t="s">
        <v>20</v>
      </c>
      <c r="F60" s="10" t="s">
        <v>7</v>
      </c>
    </row>
    <row r="61" spans="2:6" x14ac:dyDescent="0.3">
      <c r="B61" s="9">
        <v>58</v>
      </c>
      <c r="C61" s="10" t="s">
        <v>129</v>
      </c>
      <c r="D61" s="10" t="s">
        <v>130</v>
      </c>
      <c r="E61" s="10" t="s">
        <v>6</v>
      </c>
      <c r="F61" s="10" t="s">
        <v>21</v>
      </c>
    </row>
    <row r="62" spans="2:6" x14ac:dyDescent="0.3">
      <c r="B62" s="11">
        <v>59</v>
      </c>
      <c r="C62" s="10" t="s">
        <v>131</v>
      </c>
      <c r="D62" s="10" t="s">
        <v>132</v>
      </c>
      <c r="E62" s="10" t="s">
        <v>14</v>
      </c>
      <c r="F62" s="10" t="s">
        <v>21</v>
      </c>
    </row>
    <row r="63" spans="2:6" x14ac:dyDescent="0.3">
      <c r="B63" s="11">
        <v>60</v>
      </c>
      <c r="C63" s="10" t="s">
        <v>133</v>
      </c>
      <c r="D63" s="10" t="s">
        <v>134</v>
      </c>
      <c r="E63" s="10" t="s">
        <v>6</v>
      </c>
      <c r="F63" s="10" t="s">
        <v>21</v>
      </c>
    </row>
    <row r="64" spans="2:6" x14ac:dyDescent="0.3">
      <c r="B64" s="9">
        <v>61</v>
      </c>
      <c r="C64" s="10" t="s">
        <v>135</v>
      </c>
      <c r="D64" s="10" t="s">
        <v>136</v>
      </c>
      <c r="E64" s="10" t="s">
        <v>10</v>
      </c>
      <c r="F64" s="10" t="s">
        <v>15</v>
      </c>
    </row>
    <row r="65" spans="2:6" x14ac:dyDescent="0.3">
      <c r="B65" s="11">
        <v>62</v>
      </c>
      <c r="C65" s="10" t="s">
        <v>137</v>
      </c>
      <c r="D65" s="10" t="s">
        <v>138</v>
      </c>
      <c r="E65" s="10" t="s">
        <v>14</v>
      </c>
      <c r="F65" s="10" t="s">
        <v>11</v>
      </c>
    </row>
    <row r="66" spans="2:6" x14ac:dyDescent="0.3">
      <c r="B66" s="11">
        <v>63</v>
      </c>
      <c r="C66" s="10" t="s">
        <v>139</v>
      </c>
      <c r="D66" s="10" t="s">
        <v>140</v>
      </c>
      <c r="E66" s="10" t="s">
        <v>10</v>
      </c>
      <c r="F66" s="10" t="s">
        <v>11</v>
      </c>
    </row>
    <row r="67" spans="2:6" x14ac:dyDescent="0.3">
      <c r="B67" s="9">
        <v>64</v>
      </c>
      <c r="C67" s="10" t="s">
        <v>141</v>
      </c>
      <c r="D67" s="10" t="s">
        <v>142</v>
      </c>
      <c r="E67" s="10" t="s">
        <v>20</v>
      </c>
      <c r="F67" s="10" t="s">
        <v>7</v>
      </c>
    </row>
    <row r="68" spans="2:6" x14ac:dyDescent="0.3">
      <c r="B68" s="11">
        <v>65</v>
      </c>
      <c r="C68" s="10" t="s">
        <v>143</v>
      </c>
      <c r="D68" s="10" t="s">
        <v>144</v>
      </c>
      <c r="E68" s="10" t="s">
        <v>20</v>
      </c>
      <c r="F68" s="10" t="s">
        <v>7</v>
      </c>
    </row>
    <row r="69" spans="2:6" x14ac:dyDescent="0.3">
      <c r="B69" s="11">
        <v>66</v>
      </c>
      <c r="C69" s="10" t="s">
        <v>145</v>
      </c>
      <c r="D69" s="10" t="s">
        <v>146</v>
      </c>
      <c r="E69" s="10" t="s">
        <v>14</v>
      </c>
      <c r="F69" s="10" t="s">
        <v>11</v>
      </c>
    </row>
    <row r="70" spans="2:6" x14ac:dyDescent="0.3">
      <c r="B70" s="9">
        <v>67</v>
      </c>
      <c r="C70" s="10" t="s">
        <v>147</v>
      </c>
      <c r="D70" s="10" t="s">
        <v>148</v>
      </c>
      <c r="E70" s="10" t="s">
        <v>20</v>
      </c>
      <c r="F70" s="10" t="s">
        <v>7</v>
      </c>
    </row>
    <row r="71" spans="2:6" x14ac:dyDescent="0.3">
      <c r="B71" s="11">
        <v>68</v>
      </c>
      <c r="C71" s="10" t="s">
        <v>149</v>
      </c>
      <c r="D71" s="10" t="s">
        <v>150</v>
      </c>
      <c r="E71" s="10" t="s">
        <v>32</v>
      </c>
      <c r="F71" s="10" t="s">
        <v>21</v>
      </c>
    </row>
    <row r="72" spans="2:6" x14ac:dyDescent="0.3">
      <c r="B72" s="11">
        <v>69</v>
      </c>
      <c r="C72" s="10" t="s">
        <v>151</v>
      </c>
      <c r="D72" s="10" t="s">
        <v>152</v>
      </c>
      <c r="E72" s="10" t="s">
        <v>6</v>
      </c>
      <c r="F72" s="10" t="s">
        <v>49</v>
      </c>
    </row>
    <row r="73" spans="2:6" x14ac:dyDescent="0.3">
      <c r="B73" s="9">
        <v>70</v>
      </c>
      <c r="C73" s="10" t="s">
        <v>153</v>
      </c>
      <c r="D73" s="10" t="s">
        <v>154</v>
      </c>
      <c r="E73" s="10" t="s">
        <v>20</v>
      </c>
      <c r="F73" s="10" t="s">
        <v>7</v>
      </c>
    </row>
    <row r="74" spans="2:6" x14ac:dyDescent="0.3">
      <c r="B74" s="11">
        <v>71</v>
      </c>
      <c r="C74" s="10" t="s">
        <v>155</v>
      </c>
      <c r="D74" s="10" t="s">
        <v>156</v>
      </c>
      <c r="E74" s="10" t="s">
        <v>20</v>
      </c>
      <c r="F74" s="10" t="s">
        <v>7</v>
      </c>
    </row>
    <row r="75" spans="2:6" x14ac:dyDescent="0.3">
      <c r="B75" s="11">
        <v>72</v>
      </c>
      <c r="C75" s="10" t="s">
        <v>157</v>
      </c>
      <c r="D75" s="10" t="s">
        <v>158</v>
      </c>
      <c r="E75" s="10" t="s">
        <v>32</v>
      </c>
      <c r="F75" s="10" t="s">
        <v>15</v>
      </c>
    </row>
    <row r="76" spans="2:6" x14ac:dyDescent="0.3">
      <c r="B76" s="9">
        <v>73</v>
      </c>
      <c r="C76" s="10" t="s">
        <v>159</v>
      </c>
      <c r="D76" s="10" t="s">
        <v>160</v>
      </c>
      <c r="E76" s="10" t="s">
        <v>14</v>
      </c>
      <c r="F76" s="10" t="s">
        <v>21</v>
      </c>
    </row>
    <row r="77" spans="2:6" x14ac:dyDescent="0.3">
      <c r="B77" s="11">
        <v>74</v>
      </c>
      <c r="C77" s="10" t="s">
        <v>161</v>
      </c>
      <c r="D77" s="10" t="s">
        <v>162</v>
      </c>
      <c r="E77" s="10" t="s">
        <v>20</v>
      </c>
      <c r="F77" s="10" t="s">
        <v>7</v>
      </c>
    </row>
    <row r="78" spans="2:6" x14ac:dyDescent="0.3">
      <c r="B78" s="11">
        <v>75</v>
      </c>
      <c r="C78" s="10" t="s">
        <v>163</v>
      </c>
      <c r="D78" s="10" t="s">
        <v>164</v>
      </c>
      <c r="E78" s="10" t="s">
        <v>20</v>
      </c>
      <c r="F78" s="10" t="s">
        <v>15</v>
      </c>
    </row>
    <row r="79" spans="2:6" x14ac:dyDescent="0.3">
      <c r="B79" s="9">
        <v>76</v>
      </c>
      <c r="C79" s="10" t="s">
        <v>165</v>
      </c>
      <c r="D79" s="10" t="s">
        <v>166</v>
      </c>
      <c r="E79" s="10" t="s">
        <v>20</v>
      </c>
      <c r="F79" s="10" t="s">
        <v>7</v>
      </c>
    </row>
    <row r="80" spans="2:6" x14ac:dyDescent="0.3">
      <c r="B80" s="11">
        <v>77</v>
      </c>
      <c r="C80" s="10" t="s">
        <v>167</v>
      </c>
      <c r="D80" s="10" t="s">
        <v>168</v>
      </c>
      <c r="E80" s="10" t="s">
        <v>14</v>
      </c>
      <c r="F80" s="10" t="s">
        <v>15</v>
      </c>
    </row>
    <row r="81" spans="2:17" x14ac:dyDescent="0.3">
      <c r="B81" s="11">
        <v>78</v>
      </c>
      <c r="C81" s="10" t="s">
        <v>169</v>
      </c>
      <c r="D81" s="10" t="s">
        <v>170</v>
      </c>
      <c r="E81" s="10" t="s">
        <v>20</v>
      </c>
      <c r="F81" s="10" t="s">
        <v>7</v>
      </c>
    </row>
    <row r="82" spans="2:17" x14ac:dyDescent="0.3">
      <c r="B82" s="9">
        <v>79</v>
      </c>
      <c r="C82" s="10" t="s">
        <v>171</v>
      </c>
      <c r="D82" s="10" t="s">
        <v>172</v>
      </c>
      <c r="E82" s="10" t="s">
        <v>14</v>
      </c>
      <c r="F82" s="10" t="s">
        <v>11</v>
      </c>
      <c r="L82" s="12"/>
      <c r="M82" s="13"/>
      <c r="N82" s="13"/>
      <c r="O82" s="13"/>
      <c r="P82" s="10"/>
      <c r="Q82" s="14"/>
    </row>
    <row r="83" spans="2:17" x14ac:dyDescent="0.3">
      <c r="B83" s="11">
        <v>80</v>
      </c>
      <c r="C83" s="10" t="s">
        <v>173</v>
      </c>
      <c r="D83" s="10" t="s">
        <v>174</v>
      </c>
      <c r="E83" s="10" t="s">
        <v>6</v>
      </c>
      <c r="F83" s="10" t="s">
        <v>49</v>
      </c>
      <c r="Q83" s="15"/>
    </row>
    <row r="84" spans="2:17" x14ac:dyDescent="0.3">
      <c r="B84" s="11">
        <v>81</v>
      </c>
      <c r="C84" s="10" t="s">
        <v>175</v>
      </c>
      <c r="D84" s="10" t="s">
        <v>176</v>
      </c>
      <c r="E84" s="10" t="s">
        <v>14</v>
      </c>
      <c r="F84" s="10" t="s">
        <v>11</v>
      </c>
    </row>
    <row r="85" spans="2:17" x14ac:dyDescent="0.3">
      <c r="B85" s="9">
        <v>82</v>
      </c>
      <c r="C85" s="10" t="s">
        <v>177</v>
      </c>
      <c r="D85" s="10" t="s">
        <v>178</v>
      </c>
      <c r="E85" s="10" t="s">
        <v>14</v>
      </c>
      <c r="F85" s="10" t="s">
        <v>11</v>
      </c>
    </row>
    <row r="86" spans="2:17" x14ac:dyDescent="0.3">
      <c r="B86" s="11">
        <v>83</v>
      </c>
      <c r="C86" s="10" t="s">
        <v>179</v>
      </c>
      <c r="D86" s="10" t="s">
        <v>180</v>
      </c>
      <c r="E86" s="10" t="s">
        <v>14</v>
      </c>
      <c r="F86" s="10" t="s">
        <v>21</v>
      </c>
    </row>
    <row r="87" spans="2:17" x14ac:dyDescent="0.3">
      <c r="B87" s="11">
        <v>84</v>
      </c>
      <c r="C87" s="10" t="s">
        <v>181</v>
      </c>
      <c r="D87" s="10" t="s">
        <v>182</v>
      </c>
      <c r="E87" s="10" t="s">
        <v>20</v>
      </c>
      <c r="F87" s="10" t="s">
        <v>7</v>
      </c>
    </row>
    <row r="88" spans="2:17" x14ac:dyDescent="0.3">
      <c r="B88" s="9">
        <v>85</v>
      </c>
      <c r="C88" s="10" t="s">
        <v>183</v>
      </c>
      <c r="D88" s="10" t="s">
        <v>184</v>
      </c>
      <c r="E88" s="10" t="s">
        <v>6</v>
      </c>
      <c r="F88" s="10" t="s">
        <v>21</v>
      </c>
    </row>
    <row r="89" spans="2:17" x14ac:dyDescent="0.3">
      <c r="B89" s="11">
        <v>86</v>
      </c>
      <c r="C89" s="10" t="s">
        <v>185</v>
      </c>
      <c r="D89" s="10" t="s">
        <v>186</v>
      </c>
      <c r="E89" s="10" t="s">
        <v>6</v>
      </c>
      <c r="F89" s="10" t="s">
        <v>7</v>
      </c>
    </row>
    <row r="90" spans="2:17" x14ac:dyDescent="0.3">
      <c r="B90" s="11">
        <v>87</v>
      </c>
      <c r="C90" s="10" t="s">
        <v>187</v>
      </c>
      <c r="D90" s="10" t="s">
        <v>188</v>
      </c>
      <c r="E90" s="10" t="s">
        <v>6</v>
      </c>
      <c r="F90" s="10" t="s">
        <v>21</v>
      </c>
    </row>
    <row r="91" spans="2:17" x14ac:dyDescent="0.3">
      <c r="B91" s="9">
        <v>88</v>
      </c>
      <c r="C91" s="10" t="s">
        <v>189</v>
      </c>
      <c r="D91" s="10" t="s">
        <v>190</v>
      </c>
      <c r="E91" s="10" t="s">
        <v>6</v>
      </c>
      <c r="F91" s="10" t="s">
        <v>49</v>
      </c>
    </row>
    <row r="92" spans="2:17" x14ac:dyDescent="0.3">
      <c r="B92" s="11">
        <v>89</v>
      </c>
      <c r="C92" s="10" t="s">
        <v>191</v>
      </c>
      <c r="D92" s="10" t="s">
        <v>192</v>
      </c>
      <c r="E92" s="10" t="s">
        <v>32</v>
      </c>
      <c r="F92" s="10" t="s">
        <v>7</v>
      </c>
    </row>
    <row r="93" spans="2:17" x14ac:dyDescent="0.3">
      <c r="B93" s="11">
        <v>90</v>
      </c>
      <c r="C93" s="10" t="s">
        <v>193</v>
      </c>
      <c r="D93" s="10" t="s">
        <v>194</v>
      </c>
      <c r="E93" s="10" t="s">
        <v>6</v>
      </c>
      <c r="F93" s="10" t="s">
        <v>21</v>
      </c>
    </row>
    <row r="94" spans="2:17" x14ac:dyDescent="0.3">
      <c r="B94" s="9">
        <v>91</v>
      </c>
      <c r="C94" s="10" t="s">
        <v>195</v>
      </c>
      <c r="D94" s="10" t="s">
        <v>196</v>
      </c>
      <c r="E94" s="10" t="s">
        <v>32</v>
      </c>
      <c r="F94" s="10" t="s">
        <v>7</v>
      </c>
    </row>
    <row r="95" spans="2:17" x14ac:dyDescent="0.3">
      <c r="B95" s="11">
        <v>92</v>
      </c>
      <c r="C95" s="10" t="s">
        <v>197</v>
      </c>
      <c r="D95" s="10" t="s">
        <v>198</v>
      </c>
      <c r="E95" s="10" t="s">
        <v>6</v>
      </c>
      <c r="F95" s="10" t="s">
        <v>15</v>
      </c>
    </row>
    <row r="96" spans="2:17" x14ac:dyDescent="0.3">
      <c r="B96" s="11">
        <v>93</v>
      </c>
      <c r="C96" s="10" t="s">
        <v>199</v>
      </c>
      <c r="D96" s="10" t="s">
        <v>200</v>
      </c>
      <c r="E96" s="10" t="s">
        <v>20</v>
      </c>
      <c r="F96" s="10" t="s">
        <v>7</v>
      </c>
    </row>
    <row r="97" spans="2:6" x14ac:dyDescent="0.3">
      <c r="B97" s="9">
        <v>94</v>
      </c>
      <c r="C97" s="10" t="s">
        <v>201</v>
      </c>
      <c r="D97" s="10" t="s">
        <v>202</v>
      </c>
      <c r="E97" s="10" t="s">
        <v>6</v>
      </c>
      <c r="F97" s="10" t="s">
        <v>11</v>
      </c>
    </row>
    <row r="98" spans="2:6" x14ac:dyDescent="0.3">
      <c r="B98" s="11">
        <v>95</v>
      </c>
      <c r="C98" s="10" t="s">
        <v>203</v>
      </c>
      <c r="D98" s="10" t="s">
        <v>204</v>
      </c>
      <c r="E98" s="10" t="s">
        <v>20</v>
      </c>
      <c r="F98" s="10" t="s">
        <v>7</v>
      </c>
    </row>
    <row r="99" spans="2:6" x14ac:dyDescent="0.3">
      <c r="B99" s="11">
        <v>96</v>
      </c>
      <c r="C99" s="10" t="s">
        <v>205</v>
      </c>
      <c r="D99" s="10" t="s">
        <v>206</v>
      </c>
      <c r="E99" s="10" t="s">
        <v>54</v>
      </c>
      <c r="F99" s="10" t="s">
        <v>15</v>
      </c>
    </row>
    <row r="100" spans="2:6" x14ac:dyDescent="0.3">
      <c r="B100" s="9">
        <v>97</v>
      </c>
      <c r="C100" s="10" t="s">
        <v>207</v>
      </c>
      <c r="D100" s="10" t="s">
        <v>208</v>
      </c>
      <c r="E100" s="10" t="s">
        <v>20</v>
      </c>
      <c r="F100" s="10" t="s">
        <v>7</v>
      </c>
    </row>
    <row r="101" spans="2:6" x14ac:dyDescent="0.3">
      <c r="B101" s="11">
        <v>98</v>
      </c>
      <c r="C101" s="10" t="s">
        <v>209</v>
      </c>
      <c r="D101" s="10" t="s">
        <v>210</v>
      </c>
      <c r="E101" s="10" t="s">
        <v>54</v>
      </c>
      <c r="F101" s="10" t="s">
        <v>15</v>
      </c>
    </row>
    <row r="102" spans="2:6" x14ac:dyDescent="0.3">
      <c r="B102" s="11">
        <v>99</v>
      </c>
      <c r="C102" s="10" t="s">
        <v>211</v>
      </c>
      <c r="D102" s="10" t="s">
        <v>212</v>
      </c>
      <c r="E102" s="10" t="s">
        <v>20</v>
      </c>
      <c r="F102" s="10" t="s">
        <v>7</v>
      </c>
    </row>
    <row r="103" spans="2:6" x14ac:dyDescent="0.3">
      <c r="B103" s="9">
        <v>100</v>
      </c>
      <c r="C103" s="10" t="s">
        <v>213</v>
      </c>
      <c r="D103" s="10" t="s">
        <v>214</v>
      </c>
      <c r="E103" s="10" t="s">
        <v>10</v>
      </c>
      <c r="F103" s="10" t="s">
        <v>21</v>
      </c>
    </row>
    <row r="104" spans="2:6" x14ac:dyDescent="0.3">
      <c r="B104" s="11">
        <v>101</v>
      </c>
      <c r="C104" s="10" t="s">
        <v>215</v>
      </c>
      <c r="D104" s="10" t="s">
        <v>216</v>
      </c>
      <c r="E104" s="10" t="s">
        <v>10</v>
      </c>
      <c r="F104" s="10" t="s">
        <v>21</v>
      </c>
    </row>
    <row r="105" spans="2:6" x14ac:dyDescent="0.3">
      <c r="B105" s="11">
        <v>102</v>
      </c>
      <c r="C105" s="10" t="s">
        <v>217</v>
      </c>
      <c r="D105" s="10" t="s">
        <v>218</v>
      </c>
      <c r="E105" s="10" t="s">
        <v>20</v>
      </c>
      <c r="F105" s="10" t="s">
        <v>7</v>
      </c>
    </row>
    <row r="106" spans="2:6" x14ac:dyDescent="0.3">
      <c r="B106" s="9">
        <v>103</v>
      </c>
      <c r="C106" s="10" t="s">
        <v>219</v>
      </c>
      <c r="D106" s="10" t="s">
        <v>220</v>
      </c>
      <c r="E106" s="10" t="s">
        <v>20</v>
      </c>
      <c r="F106" s="10" t="s">
        <v>7</v>
      </c>
    </row>
    <row r="107" spans="2:6" x14ac:dyDescent="0.3">
      <c r="B107" s="11">
        <v>104</v>
      </c>
      <c r="C107" s="10" t="s">
        <v>221</v>
      </c>
      <c r="D107" s="10" t="s">
        <v>222</v>
      </c>
      <c r="E107" s="10" t="s">
        <v>20</v>
      </c>
      <c r="F107" s="10" t="s">
        <v>7</v>
      </c>
    </row>
    <row r="108" spans="2:6" x14ac:dyDescent="0.3">
      <c r="B108" s="11">
        <v>105</v>
      </c>
      <c r="C108" s="10" t="s">
        <v>223</v>
      </c>
      <c r="D108" s="10" t="s">
        <v>224</v>
      </c>
      <c r="E108" s="10" t="s">
        <v>6</v>
      </c>
      <c r="F108" s="10" t="s">
        <v>21</v>
      </c>
    </row>
    <row r="109" spans="2:6" x14ac:dyDescent="0.3">
      <c r="B109" s="9">
        <v>106</v>
      </c>
      <c r="C109" s="10" t="s">
        <v>225</v>
      </c>
      <c r="D109" s="10" t="s">
        <v>226</v>
      </c>
      <c r="E109" s="10" t="s">
        <v>20</v>
      </c>
      <c r="F109" s="10" t="s">
        <v>7</v>
      </c>
    </row>
    <row r="110" spans="2:6" x14ac:dyDescent="0.3">
      <c r="B110" s="11">
        <v>107</v>
      </c>
      <c r="C110" s="10" t="s">
        <v>227</v>
      </c>
      <c r="D110" s="10" t="s">
        <v>228</v>
      </c>
      <c r="E110" s="10" t="s">
        <v>10</v>
      </c>
      <c r="F110" s="10" t="s">
        <v>21</v>
      </c>
    </row>
    <row r="111" spans="2:6" x14ac:dyDescent="0.3">
      <c r="B111" s="11">
        <v>108</v>
      </c>
      <c r="C111" s="10" t="s">
        <v>229</v>
      </c>
      <c r="D111" s="10" t="s">
        <v>230</v>
      </c>
      <c r="E111" s="10" t="s">
        <v>32</v>
      </c>
      <c r="F111" s="10" t="s">
        <v>7</v>
      </c>
    </row>
    <row r="112" spans="2:6" x14ac:dyDescent="0.3">
      <c r="B112" s="9">
        <v>109</v>
      </c>
      <c r="C112" s="10" t="s">
        <v>231</v>
      </c>
      <c r="D112" s="10" t="s">
        <v>232</v>
      </c>
      <c r="E112" s="10" t="s">
        <v>20</v>
      </c>
      <c r="F112" s="10" t="s">
        <v>21</v>
      </c>
    </row>
    <row r="113" spans="2:6" x14ac:dyDescent="0.3">
      <c r="B113" s="11">
        <v>110</v>
      </c>
      <c r="C113" s="10" t="s">
        <v>233</v>
      </c>
      <c r="D113" s="10" t="s">
        <v>234</v>
      </c>
      <c r="E113" s="10" t="s">
        <v>14</v>
      </c>
      <c r="F113" s="10" t="s">
        <v>15</v>
      </c>
    </row>
    <row r="114" spans="2:6" x14ac:dyDescent="0.3">
      <c r="B114" s="11">
        <v>111</v>
      </c>
      <c r="C114" s="10" t="s">
        <v>235</v>
      </c>
      <c r="D114" s="10" t="s">
        <v>236</v>
      </c>
      <c r="E114" s="10" t="s">
        <v>20</v>
      </c>
      <c r="F114" s="10" t="s">
        <v>15</v>
      </c>
    </row>
    <row r="115" spans="2:6" x14ac:dyDescent="0.3">
      <c r="B115" s="9">
        <v>112</v>
      </c>
      <c r="C115" s="10" t="s">
        <v>237</v>
      </c>
      <c r="D115" s="10" t="s">
        <v>238</v>
      </c>
      <c r="E115" s="10" t="s">
        <v>32</v>
      </c>
      <c r="F115" s="10" t="s">
        <v>15</v>
      </c>
    </row>
    <row r="116" spans="2:6" x14ac:dyDescent="0.3">
      <c r="B116" s="11">
        <v>113</v>
      </c>
      <c r="C116" s="10" t="s">
        <v>239</v>
      </c>
      <c r="D116" s="10" t="s">
        <v>240</v>
      </c>
      <c r="E116" s="10" t="s">
        <v>32</v>
      </c>
      <c r="F116" s="10" t="s">
        <v>15</v>
      </c>
    </row>
    <row r="117" spans="2:6" x14ac:dyDescent="0.3">
      <c r="B117" s="11">
        <v>114</v>
      </c>
      <c r="C117" s="10" t="s">
        <v>241</v>
      </c>
      <c r="D117" s="10" t="s">
        <v>242</v>
      </c>
      <c r="E117" s="10" t="s">
        <v>6</v>
      </c>
      <c r="F117" s="10" t="s">
        <v>7</v>
      </c>
    </row>
    <row r="118" spans="2:6" x14ac:dyDescent="0.3">
      <c r="B118" s="9">
        <v>115</v>
      </c>
      <c r="C118" s="10" t="s">
        <v>243</v>
      </c>
      <c r="D118" s="10" t="s">
        <v>244</v>
      </c>
      <c r="E118" s="10" t="s">
        <v>32</v>
      </c>
      <c r="F118" s="10" t="s">
        <v>7</v>
      </c>
    </row>
    <row r="119" spans="2:6" x14ac:dyDescent="0.3">
      <c r="B119" s="11">
        <v>116</v>
      </c>
      <c r="C119" s="10" t="s">
        <v>245</v>
      </c>
      <c r="D119" s="10" t="s">
        <v>246</v>
      </c>
      <c r="E119" s="10" t="s">
        <v>10</v>
      </c>
      <c r="F119" s="10" t="s">
        <v>7</v>
      </c>
    </row>
    <row r="120" spans="2:6" x14ac:dyDescent="0.3">
      <c r="B120" s="11">
        <v>117</v>
      </c>
      <c r="C120" s="10" t="s">
        <v>247</v>
      </c>
      <c r="D120" s="10" t="s">
        <v>248</v>
      </c>
      <c r="E120" s="10" t="s">
        <v>32</v>
      </c>
      <c r="F120" s="10" t="s">
        <v>15</v>
      </c>
    </row>
    <row r="121" spans="2:6" x14ac:dyDescent="0.3">
      <c r="B121" s="9">
        <v>118</v>
      </c>
      <c r="C121" s="10" t="s">
        <v>249</v>
      </c>
      <c r="D121" s="10" t="s">
        <v>250</v>
      </c>
      <c r="E121" s="10" t="s">
        <v>10</v>
      </c>
      <c r="F121" s="10" t="s">
        <v>21</v>
      </c>
    </row>
    <row r="122" spans="2:6" x14ac:dyDescent="0.3">
      <c r="B122" s="11">
        <v>119</v>
      </c>
      <c r="C122" s="10" t="s">
        <v>251</v>
      </c>
      <c r="D122" s="10" t="s">
        <v>252</v>
      </c>
      <c r="E122" s="10" t="s">
        <v>14</v>
      </c>
      <c r="F122" s="10" t="s">
        <v>11</v>
      </c>
    </row>
    <row r="123" spans="2:6" x14ac:dyDescent="0.3">
      <c r="B123" s="11">
        <v>120</v>
      </c>
      <c r="C123" s="10" t="s">
        <v>253</v>
      </c>
      <c r="D123" s="10" t="s">
        <v>254</v>
      </c>
      <c r="E123" s="10" t="s">
        <v>10</v>
      </c>
      <c r="F123" s="10" t="s">
        <v>21</v>
      </c>
    </row>
    <row r="124" spans="2:6" x14ac:dyDescent="0.3">
      <c r="B124" s="9">
        <v>121</v>
      </c>
      <c r="C124" s="10" t="s">
        <v>255</v>
      </c>
      <c r="D124" s="10" t="s">
        <v>256</v>
      </c>
      <c r="E124" s="10" t="s">
        <v>6</v>
      </c>
      <c r="F124" s="10" t="s">
        <v>21</v>
      </c>
    </row>
    <row r="125" spans="2:6" x14ac:dyDescent="0.3">
      <c r="B125" s="11">
        <v>122</v>
      </c>
      <c r="C125" s="10" t="s">
        <v>257</v>
      </c>
      <c r="D125" s="10" t="s">
        <v>258</v>
      </c>
      <c r="E125" s="10" t="s">
        <v>20</v>
      </c>
      <c r="F125" s="10" t="s">
        <v>7</v>
      </c>
    </row>
    <row r="126" spans="2:6" x14ac:dyDescent="0.3">
      <c r="B126" s="11">
        <v>123</v>
      </c>
      <c r="C126" s="10" t="s">
        <v>259</v>
      </c>
      <c r="D126" s="10" t="s">
        <v>260</v>
      </c>
      <c r="E126" s="10" t="s">
        <v>54</v>
      </c>
      <c r="F126" s="10" t="s">
        <v>15</v>
      </c>
    </row>
    <row r="127" spans="2:6" x14ac:dyDescent="0.3">
      <c r="B127" s="9">
        <v>124</v>
      </c>
      <c r="C127" s="10" t="s">
        <v>261</v>
      </c>
      <c r="D127" s="10" t="s">
        <v>262</v>
      </c>
      <c r="E127" s="10" t="s">
        <v>14</v>
      </c>
      <c r="F127" s="10" t="s">
        <v>15</v>
      </c>
    </row>
    <row r="128" spans="2:6" x14ac:dyDescent="0.3">
      <c r="B128" s="11">
        <v>125</v>
      </c>
      <c r="C128" s="10" t="s">
        <v>263</v>
      </c>
      <c r="D128" s="10" t="s">
        <v>264</v>
      </c>
      <c r="E128" s="10" t="s">
        <v>20</v>
      </c>
      <c r="F128" s="10" t="s">
        <v>7</v>
      </c>
    </row>
    <row r="129" spans="2:6" x14ac:dyDescent="0.3">
      <c r="B129" s="11">
        <v>126</v>
      </c>
      <c r="C129" s="10" t="s">
        <v>265</v>
      </c>
      <c r="D129" s="10" t="s">
        <v>266</v>
      </c>
      <c r="E129" s="10" t="s">
        <v>20</v>
      </c>
      <c r="F129" s="10" t="s">
        <v>7</v>
      </c>
    </row>
    <row r="130" spans="2:6" x14ac:dyDescent="0.3">
      <c r="B130" s="9">
        <v>127</v>
      </c>
      <c r="C130" s="10" t="s">
        <v>267</v>
      </c>
      <c r="D130" s="10" t="s">
        <v>268</v>
      </c>
      <c r="E130" s="10" t="s">
        <v>20</v>
      </c>
      <c r="F130" s="10" t="s">
        <v>7</v>
      </c>
    </row>
    <row r="131" spans="2:6" x14ac:dyDescent="0.3">
      <c r="B131" s="11">
        <v>128</v>
      </c>
      <c r="C131" s="10" t="s">
        <v>269</v>
      </c>
      <c r="D131" s="10" t="s">
        <v>270</v>
      </c>
      <c r="E131" s="10" t="s">
        <v>32</v>
      </c>
      <c r="F131" s="10" t="s">
        <v>7</v>
      </c>
    </row>
    <row r="132" spans="2:6" x14ac:dyDescent="0.3">
      <c r="B132" s="11">
        <v>129</v>
      </c>
      <c r="C132" s="10" t="s">
        <v>271</v>
      </c>
      <c r="D132" s="10" t="s">
        <v>272</v>
      </c>
      <c r="E132" s="10" t="s">
        <v>6</v>
      </c>
      <c r="F132" s="10" t="s">
        <v>7</v>
      </c>
    </row>
    <row r="133" spans="2:6" x14ac:dyDescent="0.3">
      <c r="B133" s="9">
        <v>130</v>
      </c>
      <c r="C133" s="10" t="s">
        <v>273</v>
      </c>
      <c r="D133" s="10" t="s">
        <v>274</v>
      </c>
      <c r="E133" s="10" t="s">
        <v>10</v>
      </c>
      <c r="F133" s="10" t="s">
        <v>15</v>
      </c>
    </row>
    <row r="134" spans="2:6" x14ac:dyDescent="0.3">
      <c r="B134" s="11">
        <v>131</v>
      </c>
      <c r="C134" s="10" t="s">
        <v>275</v>
      </c>
      <c r="D134" s="10" t="s">
        <v>276</v>
      </c>
      <c r="E134" s="10" t="s">
        <v>20</v>
      </c>
      <c r="F134" s="10" t="s">
        <v>7</v>
      </c>
    </row>
    <row r="135" spans="2:6" x14ac:dyDescent="0.3">
      <c r="B135" s="11">
        <v>132</v>
      </c>
      <c r="C135" s="10" t="s">
        <v>277</v>
      </c>
      <c r="D135" s="10" t="s">
        <v>278</v>
      </c>
      <c r="E135" s="10" t="s">
        <v>20</v>
      </c>
      <c r="F135" s="10" t="s">
        <v>15</v>
      </c>
    </row>
    <row r="136" spans="2:6" x14ac:dyDescent="0.3">
      <c r="B136" s="9">
        <v>133</v>
      </c>
      <c r="C136" s="10" t="s">
        <v>279</v>
      </c>
      <c r="D136" s="10" t="s">
        <v>280</v>
      </c>
      <c r="E136" s="10" t="s">
        <v>14</v>
      </c>
      <c r="F136" s="10" t="s">
        <v>11</v>
      </c>
    </row>
    <row r="137" spans="2:6" x14ac:dyDescent="0.3">
      <c r="B137" s="11">
        <v>134</v>
      </c>
      <c r="C137" s="10" t="s">
        <v>281</v>
      </c>
      <c r="D137" s="10" t="s">
        <v>282</v>
      </c>
      <c r="E137" s="10" t="s">
        <v>54</v>
      </c>
      <c r="F137" s="10" t="s">
        <v>21</v>
      </c>
    </row>
    <row r="138" spans="2:6" x14ac:dyDescent="0.3">
      <c r="B138" s="11">
        <v>135</v>
      </c>
      <c r="C138" s="10" t="s">
        <v>283</v>
      </c>
      <c r="D138" s="10" t="s">
        <v>284</v>
      </c>
      <c r="E138" s="10" t="s">
        <v>6</v>
      </c>
      <c r="F138" s="10" t="s">
        <v>21</v>
      </c>
    </row>
    <row r="139" spans="2:6" x14ac:dyDescent="0.3">
      <c r="B139" s="9">
        <v>136</v>
      </c>
      <c r="C139" s="10" t="s">
        <v>285</v>
      </c>
      <c r="D139" s="10" t="s">
        <v>286</v>
      </c>
      <c r="E139" s="10" t="s">
        <v>32</v>
      </c>
      <c r="F139" s="10" t="s">
        <v>21</v>
      </c>
    </row>
    <row r="140" spans="2:6" x14ac:dyDescent="0.3">
      <c r="B140" s="11">
        <v>137</v>
      </c>
      <c r="C140" s="10" t="s">
        <v>287</v>
      </c>
      <c r="D140" s="10" t="s">
        <v>288</v>
      </c>
      <c r="E140" s="10" t="s">
        <v>20</v>
      </c>
      <c r="F140" s="10" t="s">
        <v>21</v>
      </c>
    </row>
    <row r="141" spans="2:6" x14ac:dyDescent="0.3">
      <c r="B141" s="11">
        <v>138</v>
      </c>
      <c r="C141" s="10" t="s">
        <v>289</v>
      </c>
      <c r="D141" s="10" t="s">
        <v>290</v>
      </c>
      <c r="E141" s="10" t="s">
        <v>14</v>
      </c>
      <c r="F141" s="10" t="s">
        <v>11</v>
      </c>
    </row>
    <row r="142" spans="2:6" x14ac:dyDescent="0.3">
      <c r="B142" s="9">
        <v>139</v>
      </c>
      <c r="C142" s="10" t="s">
        <v>291</v>
      </c>
      <c r="D142" s="10" t="s">
        <v>292</v>
      </c>
      <c r="E142" s="10" t="s">
        <v>20</v>
      </c>
      <c r="F142" s="10" t="s">
        <v>7</v>
      </c>
    </row>
    <row r="143" spans="2:6" x14ac:dyDescent="0.3">
      <c r="B143" s="11">
        <v>140</v>
      </c>
      <c r="C143" s="10" t="s">
        <v>293</v>
      </c>
      <c r="D143" s="10" t="s">
        <v>294</v>
      </c>
      <c r="E143" s="10" t="s">
        <v>54</v>
      </c>
      <c r="F143" s="10" t="s">
        <v>15</v>
      </c>
    </row>
    <row r="144" spans="2:6" x14ac:dyDescent="0.3">
      <c r="B144" s="11">
        <v>141</v>
      </c>
      <c r="C144" s="10" t="s">
        <v>295</v>
      </c>
      <c r="D144" s="10" t="s">
        <v>296</v>
      </c>
      <c r="E144" s="10" t="s">
        <v>20</v>
      </c>
      <c r="F144" s="10" t="s">
        <v>21</v>
      </c>
    </row>
    <row r="145" spans="2:6" x14ac:dyDescent="0.3">
      <c r="B145" s="9">
        <v>142</v>
      </c>
      <c r="C145" s="10" t="s">
        <v>297</v>
      </c>
      <c r="D145" s="10" t="s">
        <v>298</v>
      </c>
      <c r="E145" s="10" t="s">
        <v>32</v>
      </c>
      <c r="F145" s="10" t="s">
        <v>15</v>
      </c>
    </row>
    <row r="146" spans="2:6" x14ac:dyDescent="0.3">
      <c r="B146" s="11">
        <v>143</v>
      </c>
      <c r="C146" s="10" t="s">
        <v>299</v>
      </c>
      <c r="D146" s="10" t="s">
        <v>300</v>
      </c>
      <c r="E146" s="10" t="s">
        <v>32</v>
      </c>
      <c r="F146" s="10" t="s">
        <v>7</v>
      </c>
    </row>
    <row r="147" spans="2:6" x14ac:dyDescent="0.3">
      <c r="B147" s="11">
        <v>144</v>
      </c>
      <c r="C147" s="10" t="s">
        <v>301</v>
      </c>
      <c r="D147" s="10" t="s">
        <v>302</v>
      </c>
      <c r="E147" s="10" t="s">
        <v>14</v>
      </c>
      <c r="F147" s="10" t="s">
        <v>11</v>
      </c>
    </row>
    <row r="148" spans="2:6" x14ac:dyDescent="0.3">
      <c r="B148" s="9">
        <v>145</v>
      </c>
      <c r="C148" s="10" t="s">
        <v>303</v>
      </c>
      <c r="D148" s="10" t="s">
        <v>304</v>
      </c>
      <c r="E148" s="10" t="s">
        <v>14</v>
      </c>
      <c r="F148" s="10" t="s">
        <v>15</v>
      </c>
    </row>
    <row r="149" spans="2:6" x14ac:dyDescent="0.3">
      <c r="B149" s="11">
        <v>146</v>
      </c>
      <c r="C149" s="10" t="s">
        <v>305</v>
      </c>
      <c r="D149" s="10" t="s">
        <v>306</v>
      </c>
      <c r="E149" s="10" t="s">
        <v>6</v>
      </c>
      <c r="F149" s="10" t="s">
        <v>49</v>
      </c>
    </row>
    <row r="150" spans="2:6" x14ac:dyDescent="0.3">
      <c r="B150" s="11">
        <v>147</v>
      </c>
      <c r="C150" s="10" t="s">
        <v>307</v>
      </c>
      <c r="D150" s="10" t="s">
        <v>308</v>
      </c>
      <c r="E150" s="10" t="s">
        <v>6</v>
      </c>
      <c r="F150" s="10" t="s">
        <v>49</v>
      </c>
    </row>
    <row r="151" spans="2:6" x14ac:dyDescent="0.3">
      <c r="B151" s="9">
        <v>148</v>
      </c>
      <c r="C151" s="10" t="s">
        <v>309</v>
      </c>
      <c r="D151" s="10" t="s">
        <v>310</v>
      </c>
      <c r="E151" s="10" t="s">
        <v>14</v>
      </c>
      <c r="F151" s="10" t="s">
        <v>21</v>
      </c>
    </row>
    <row r="152" spans="2:6" x14ac:dyDescent="0.3">
      <c r="B152" s="11">
        <v>149</v>
      </c>
      <c r="C152" s="10" t="s">
        <v>311</v>
      </c>
      <c r="D152" s="10" t="s">
        <v>312</v>
      </c>
      <c r="E152" s="10" t="s">
        <v>14</v>
      </c>
      <c r="F152" s="10" t="s">
        <v>11</v>
      </c>
    </row>
    <row r="153" spans="2:6" x14ac:dyDescent="0.3">
      <c r="B153" s="11">
        <v>150</v>
      </c>
      <c r="C153" s="10" t="s">
        <v>313</v>
      </c>
      <c r="D153" s="10" t="s">
        <v>314</v>
      </c>
      <c r="E153" s="10" t="s">
        <v>32</v>
      </c>
      <c r="F153" s="10" t="s">
        <v>21</v>
      </c>
    </row>
    <row r="154" spans="2:6" x14ac:dyDescent="0.3">
      <c r="B154" s="9">
        <v>151</v>
      </c>
      <c r="C154" s="10" t="s">
        <v>315</v>
      </c>
      <c r="D154" s="10" t="s">
        <v>316</v>
      </c>
      <c r="E154" s="10" t="s">
        <v>14</v>
      </c>
      <c r="F154" s="10" t="s">
        <v>49</v>
      </c>
    </row>
    <row r="155" spans="2:6" x14ac:dyDescent="0.3">
      <c r="B155" s="11">
        <v>152</v>
      </c>
      <c r="C155" s="10" t="s">
        <v>317</v>
      </c>
      <c r="D155" s="10" t="s">
        <v>318</v>
      </c>
      <c r="E155" s="10" t="s">
        <v>14</v>
      </c>
      <c r="F155" s="10" t="s">
        <v>21</v>
      </c>
    </row>
    <row r="156" spans="2:6" x14ac:dyDescent="0.3">
      <c r="B156" s="11">
        <v>153</v>
      </c>
      <c r="C156" s="10" t="s">
        <v>319</v>
      </c>
      <c r="D156" s="10" t="s">
        <v>320</v>
      </c>
      <c r="E156" s="10" t="s">
        <v>32</v>
      </c>
      <c r="F156" s="10" t="s">
        <v>7</v>
      </c>
    </row>
    <row r="157" spans="2:6" x14ac:dyDescent="0.3">
      <c r="B157" s="9">
        <v>154</v>
      </c>
      <c r="C157" s="10" t="s">
        <v>321</v>
      </c>
      <c r="D157" s="10" t="s">
        <v>322</v>
      </c>
      <c r="E157" s="10" t="s">
        <v>14</v>
      </c>
      <c r="F157" s="10" t="s">
        <v>11</v>
      </c>
    </row>
    <row r="158" spans="2:6" x14ac:dyDescent="0.3">
      <c r="B158" s="11">
        <v>155</v>
      </c>
      <c r="C158" s="10" t="s">
        <v>323</v>
      </c>
      <c r="D158" s="10" t="s">
        <v>324</v>
      </c>
      <c r="E158" s="10" t="s">
        <v>14</v>
      </c>
      <c r="F158" s="10" t="s">
        <v>15</v>
      </c>
    </row>
    <row r="159" spans="2:6" x14ac:dyDescent="0.3">
      <c r="B159" s="11">
        <v>156</v>
      </c>
      <c r="C159" s="10" t="s">
        <v>325</v>
      </c>
      <c r="D159" s="10" t="s">
        <v>326</v>
      </c>
      <c r="E159" s="10" t="s">
        <v>6</v>
      </c>
      <c r="F159" s="10" t="s">
        <v>15</v>
      </c>
    </row>
    <row r="160" spans="2:6" x14ac:dyDescent="0.3">
      <c r="B160" s="9">
        <v>157</v>
      </c>
      <c r="C160" s="10" t="s">
        <v>327</v>
      </c>
      <c r="D160" s="10" t="s">
        <v>328</v>
      </c>
      <c r="E160" s="10" t="s">
        <v>32</v>
      </c>
      <c r="F160" s="10" t="s">
        <v>329</v>
      </c>
    </row>
    <row r="161" spans="2:6" x14ac:dyDescent="0.3">
      <c r="B161" s="11">
        <v>158</v>
      </c>
      <c r="C161" s="10" t="s">
        <v>330</v>
      </c>
      <c r="D161" s="10" t="s">
        <v>331</v>
      </c>
      <c r="E161" s="10" t="s">
        <v>20</v>
      </c>
      <c r="F161" s="10" t="s">
        <v>7</v>
      </c>
    </row>
    <row r="162" spans="2:6" x14ac:dyDescent="0.3">
      <c r="B162" s="11">
        <v>159</v>
      </c>
      <c r="C162" s="10" t="s">
        <v>332</v>
      </c>
      <c r="D162" s="10" t="s">
        <v>333</v>
      </c>
      <c r="E162" s="10" t="s">
        <v>20</v>
      </c>
      <c r="F162" s="10" t="s">
        <v>7</v>
      </c>
    </row>
    <row r="163" spans="2:6" x14ac:dyDescent="0.3">
      <c r="B163" s="9">
        <v>160</v>
      </c>
      <c r="C163" s="10" t="s">
        <v>334</v>
      </c>
      <c r="D163" s="10" t="s">
        <v>335</v>
      </c>
      <c r="E163" s="10" t="s">
        <v>54</v>
      </c>
      <c r="F163" s="10" t="s">
        <v>11</v>
      </c>
    </row>
    <row r="164" spans="2:6" x14ac:dyDescent="0.3">
      <c r="B164" s="11">
        <v>161</v>
      </c>
      <c r="C164" s="10" t="s">
        <v>336</v>
      </c>
      <c r="D164" s="10" t="s">
        <v>337</v>
      </c>
      <c r="E164" s="10" t="s">
        <v>32</v>
      </c>
      <c r="F164" s="10" t="s">
        <v>21</v>
      </c>
    </row>
    <row r="165" spans="2:6" x14ac:dyDescent="0.3">
      <c r="B165" s="11">
        <v>162</v>
      </c>
      <c r="C165" s="10" t="s">
        <v>338</v>
      </c>
      <c r="D165" s="10" t="s">
        <v>339</v>
      </c>
      <c r="E165" s="10" t="s">
        <v>32</v>
      </c>
      <c r="F165" s="10" t="s">
        <v>7</v>
      </c>
    </row>
    <row r="166" spans="2:6" x14ac:dyDescent="0.3">
      <c r="B166" s="9">
        <v>163</v>
      </c>
      <c r="C166" s="10" t="s">
        <v>340</v>
      </c>
      <c r="D166" s="10" t="s">
        <v>341</v>
      </c>
      <c r="E166" s="10" t="s">
        <v>10</v>
      </c>
      <c r="F166" s="10" t="s">
        <v>7</v>
      </c>
    </row>
    <row r="167" spans="2:6" x14ac:dyDescent="0.3">
      <c r="B167" s="11">
        <v>164</v>
      </c>
      <c r="C167" s="10" t="s">
        <v>342</v>
      </c>
      <c r="D167" s="10" t="s">
        <v>343</v>
      </c>
      <c r="E167" s="10" t="s">
        <v>10</v>
      </c>
      <c r="F167" s="10" t="s">
        <v>15</v>
      </c>
    </row>
    <row r="168" spans="2:6" x14ac:dyDescent="0.3">
      <c r="B168" s="11">
        <v>165</v>
      </c>
      <c r="C168" s="10" t="s">
        <v>344</v>
      </c>
      <c r="D168" s="10" t="s">
        <v>345</v>
      </c>
      <c r="E168" s="10" t="s">
        <v>6</v>
      </c>
      <c r="F168" s="10" t="s">
        <v>7</v>
      </c>
    </row>
    <row r="169" spans="2:6" x14ac:dyDescent="0.3">
      <c r="B169" s="9">
        <v>166</v>
      </c>
      <c r="C169" s="10" t="s">
        <v>346</v>
      </c>
      <c r="D169" s="10" t="s">
        <v>347</v>
      </c>
      <c r="E169" s="10" t="s">
        <v>6</v>
      </c>
      <c r="F169" s="10" t="s">
        <v>21</v>
      </c>
    </row>
    <row r="170" spans="2:6" x14ac:dyDescent="0.3">
      <c r="B170" s="11">
        <v>167</v>
      </c>
      <c r="C170" s="10" t="s">
        <v>348</v>
      </c>
      <c r="D170" s="10" t="s">
        <v>349</v>
      </c>
      <c r="E170" s="10" t="s">
        <v>32</v>
      </c>
      <c r="F170" s="10" t="s">
        <v>15</v>
      </c>
    </row>
    <row r="171" spans="2:6" x14ac:dyDescent="0.3">
      <c r="B171" s="11">
        <v>168</v>
      </c>
      <c r="C171" s="10" t="s">
        <v>350</v>
      </c>
      <c r="D171" s="10" t="s">
        <v>351</v>
      </c>
      <c r="E171" s="10" t="s">
        <v>32</v>
      </c>
      <c r="F171" s="10" t="s">
        <v>7</v>
      </c>
    </row>
    <row r="172" spans="2:6" x14ac:dyDescent="0.3">
      <c r="B172" s="9">
        <v>169</v>
      </c>
      <c r="C172" s="10" t="s">
        <v>352</v>
      </c>
      <c r="D172" s="10" t="s">
        <v>353</v>
      </c>
      <c r="E172" s="10" t="s">
        <v>32</v>
      </c>
      <c r="F172" s="10" t="s">
        <v>15</v>
      </c>
    </row>
    <row r="173" spans="2:6" x14ac:dyDescent="0.3">
      <c r="B173" s="11">
        <v>170</v>
      </c>
      <c r="C173" s="10" t="s">
        <v>354</v>
      </c>
      <c r="D173" s="10" t="s">
        <v>355</v>
      </c>
      <c r="E173" s="10" t="s">
        <v>20</v>
      </c>
      <c r="F173" s="10" t="s">
        <v>7</v>
      </c>
    </row>
    <row r="174" spans="2:6" x14ac:dyDescent="0.3">
      <c r="B174" s="11">
        <v>171</v>
      </c>
      <c r="C174" s="10" t="s">
        <v>356</v>
      </c>
      <c r="D174" s="10" t="s">
        <v>357</v>
      </c>
      <c r="E174" s="10" t="s">
        <v>6</v>
      </c>
      <c r="F174" s="10" t="s">
        <v>7</v>
      </c>
    </row>
    <row r="175" spans="2:6" x14ac:dyDescent="0.3">
      <c r="B175" s="9">
        <v>172</v>
      </c>
      <c r="C175" s="10" t="s">
        <v>358</v>
      </c>
      <c r="D175" s="10" t="s">
        <v>359</v>
      </c>
      <c r="E175" s="10" t="s">
        <v>54</v>
      </c>
      <c r="F175" s="10" t="s">
        <v>11</v>
      </c>
    </row>
    <row r="176" spans="2:6" x14ac:dyDescent="0.3">
      <c r="B176" s="11">
        <v>173</v>
      </c>
      <c r="C176" s="10" t="s">
        <v>360</v>
      </c>
      <c r="D176" s="10" t="s">
        <v>361</v>
      </c>
      <c r="E176" s="10" t="s">
        <v>20</v>
      </c>
      <c r="F176" s="10" t="s">
        <v>7</v>
      </c>
    </row>
    <row r="177" spans="2:6" x14ac:dyDescent="0.3">
      <c r="B177" s="11">
        <v>174</v>
      </c>
      <c r="C177" s="10" t="s">
        <v>362</v>
      </c>
      <c r="D177" s="10" t="s">
        <v>363</v>
      </c>
      <c r="E177" s="10" t="s">
        <v>6</v>
      </c>
      <c r="F177" s="10" t="s">
        <v>21</v>
      </c>
    </row>
    <row r="178" spans="2:6" x14ac:dyDescent="0.3">
      <c r="B178" s="9">
        <v>175</v>
      </c>
      <c r="C178" s="10" t="s">
        <v>364</v>
      </c>
      <c r="D178" s="10" t="s">
        <v>365</v>
      </c>
      <c r="E178" s="10" t="s">
        <v>10</v>
      </c>
      <c r="F178" s="10" t="s">
        <v>15</v>
      </c>
    </row>
    <row r="179" spans="2:6" x14ac:dyDescent="0.3">
      <c r="B179" s="11">
        <v>176</v>
      </c>
      <c r="C179" s="10" t="s">
        <v>366</v>
      </c>
      <c r="D179" s="10" t="s">
        <v>367</v>
      </c>
      <c r="E179" s="10" t="s">
        <v>32</v>
      </c>
      <c r="F179" s="10" t="s">
        <v>7</v>
      </c>
    </row>
    <row r="180" spans="2:6" x14ac:dyDescent="0.3">
      <c r="B180" s="11">
        <v>177</v>
      </c>
      <c r="C180" s="10" t="s">
        <v>368</v>
      </c>
      <c r="D180" s="10" t="s">
        <v>369</v>
      </c>
      <c r="E180" s="10" t="s">
        <v>10</v>
      </c>
      <c r="F180" s="10" t="s">
        <v>7</v>
      </c>
    </row>
    <row r="181" spans="2:6" x14ac:dyDescent="0.3">
      <c r="B181" s="9">
        <v>178</v>
      </c>
      <c r="C181" s="10" t="s">
        <v>370</v>
      </c>
      <c r="D181" s="10" t="s">
        <v>371</v>
      </c>
      <c r="E181" s="10" t="s">
        <v>14</v>
      </c>
      <c r="F181" s="10" t="s">
        <v>49</v>
      </c>
    </row>
    <row r="182" spans="2:6" x14ac:dyDescent="0.3">
      <c r="B182" s="11">
        <v>179</v>
      </c>
      <c r="C182" s="10" t="s">
        <v>372</v>
      </c>
      <c r="D182" s="10" t="s">
        <v>373</v>
      </c>
      <c r="E182" s="10" t="s">
        <v>20</v>
      </c>
      <c r="F182" s="10" t="s">
        <v>21</v>
      </c>
    </row>
    <row r="183" spans="2:6" x14ac:dyDescent="0.3">
      <c r="B183" s="11">
        <v>180</v>
      </c>
      <c r="C183" s="10" t="s">
        <v>374</v>
      </c>
      <c r="D183" s="10" t="s">
        <v>375</v>
      </c>
      <c r="E183" s="10" t="s">
        <v>20</v>
      </c>
      <c r="F183" s="10" t="s">
        <v>21</v>
      </c>
    </row>
    <row r="184" spans="2:6" x14ac:dyDescent="0.3">
      <c r="B184" s="9">
        <v>181</v>
      </c>
      <c r="C184" s="10" t="s">
        <v>376</v>
      </c>
      <c r="D184" s="10" t="s">
        <v>377</v>
      </c>
      <c r="E184" s="10" t="s">
        <v>14</v>
      </c>
      <c r="F184" s="10" t="s">
        <v>11</v>
      </c>
    </row>
    <row r="185" spans="2:6" x14ac:dyDescent="0.3">
      <c r="B185" s="11">
        <v>182</v>
      </c>
      <c r="C185" s="10" t="s">
        <v>378</v>
      </c>
      <c r="D185" s="10" t="s">
        <v>379</v>
      </c>
      <c r="E185" s="10" t="s">
        <v>10</v>
      </c>
      <c r="F185" s="10" t="s">
        <v>7</v>
      </c>
    </row>
    <row r="186" spans="2:6" x14ac:dyDescent="0.3">
      <c r="B186" s="11">
        <v>183</v>
      </c>
      <c r="C186" s="10" t="s">
        <v>380</v>
      </c>
      <c r="D186" s="10" t="s">
        <v>381</v>
      </c>
      <c r="E186" s="10" t="s">
        <v>10</v>
      </c>
      <c r="F186" s="10" t="s">
        <v>15</v>
      </c>
    </row>
    <row r="187" spans="2:6" x14ac:dyDescent="0.3">
      <c r="B187" s="9">
        <v>184</v>
      </c>
      <c r="C187" s="10" t="s">
        <v>382</v>
      </c>
      <c r="D187" s="10" t="s">
        <v>383</v>
      </c>
      <c r="E187" s="10" t="s">
        <v>14</v>
      </c>
      <c r="F187" s="10" t="s">
        <v>11</v>
      </c>
    </row>
    <row r="188" spans="2:6" x14ac:dyDescent="0.3">
      <c r="B188" s="11">
        <v>185</v>
      </c>
      <c r="C188" s="10" t="s">
        <v>384</v>
      </c>
      <c r="D188" s="10" t="s">
        <v>385</v>
      </c>
      <c r="E188" s="10" t="s">
        <v>32</v>
      </c>
      <c r="F188" s="10" t="s">
        <v>7</v>
      </c>
    </row>
    <row r="189" spans="2:6" x14ac:dyDescent="0.3">
      <c r="B189" s="11">
        <v>186</v>
      </c>
      <c r="C189" s="10" t="s">
        <v>386</v>
      </c>
      <c r="D189" s="10" t="s">
        <v>387</v>
      </c>
      <c r="E189" s="10" t="s">
        <v>14</v>
      </c>
      <c r="F189" s="10" t="s">
        <v>49</v>
      </c>
    </row>
    <row r="190" spans="2:6" x14ac:dyDescent="0.3">
      <c r="B190" s="9">
        <v>187</v>
      </c>
      <c r="C190" s="10" t="s">
        <v>388</v>
      </c>
      <c r="D190" s="10" t="s">
        <v>389</v>
      </c>
      <c r="E190" s="10" t="s">
        <v>32</v>
      </c>
      <c r="F190" s="10" t="s">
        <v>15</v>
      </c>
    </row>
    <row r="191" spans="2:6" x14ac:dyDescent="0.3">
      <c r="B191" s="11">
        <v>188</v>
      </c>
      <c r="C191" s="10" t="s">
        <v>390</v>
      </c>
      <c r="D191" s="10" t="s">
        <v>391</v>
      </c>
      <c r="E191" s="10" t="s">
        <v>14</v>
      </c>
      <c r="F191" s="10" t="s">
        <v>11</v>
      </c>
    </row>
    <row r="192" spans="2:6" x14ac:dyDescent="0.3">
      <c r="B192" s="11">
        <v>189</v>
      </c>
      <c r="C192" s="10" t="s">
        <v>392</v>
      </c>
      <c r="D192" s="10" t="s">
        <v>393</v>
      </c>
      <c r="E192" s="10" t="s">
        <v>6</v>
      </c>
      <c r="F192" s="10" t="s">
        <v>15</v>
      </c>
    </row>
    <row r="193" spans="2:6" x14ac:dyDescent="0.3">
      <c r="B193" s="9">
        <v>190</v>
      </c>
      <c r="C193" s="10" t="s">
        <v>394</v>
      </c>
      <c r="D193" s="10" t="s">
        <v>395</v>
      </c>
      <c r="E193" s="10" t="s">
        <v>20</v>
      </c>
      <c r="F193" s="10" t="s">
        <v>7</v>
      </c>
    </row>
    <row r="194" spans="2:6" x14ac:dyDescent="0.3">
      <c r="B194" s="11">
        <v>191</v>
      </c>
      <c r="C194" s="10" t="s">
        <v>396</v>
      </c>
      <c r="D194" s="10" t="s">
        <v>397</v>
      </c>
      <c r="E194" s="10" t="s">
        <v>10</v>
      </c>
      <c r="F194" s="10" t="s">
        <v>11</v>
      </c>
    </row>
    <row r="195" spans="2:6" x14ac:dyDescent="0.3">
      <c r="B195" s="11">
        <v>192</v>
      </c>
      <c r="C195" s="10" t="s">
        <v>398</v>
      </c>
      <c r="D195" s="10" t="s">
        <v>399</v>
      </c>
      <c r="E195" s="10" t="s">
        <v>6</v>
      </c>
      <c r="F195" s="10" t="s">
        <v>49</v>
      </c>
    </row>
    <row r="196" spans="2:6" x14ac:dyDescent="0.3">
      <c r="B196" s="9">
        <v>193</v>
      </c>
      <c r="C196" s="10" t="s">
        <v>400</v>
      </c>
      <c r="D196" s="10" t="s">
        <v>401</v>
      </c>
      <c r="E196" s="10" t="s">
        <v>20</v>
      </c>
      <c r="F196" s="10" t="s">
        <v>21</v>
      </c>
    </row>
    <row r="197" spans="2:6" x14ac:dyDescent="0.3">
      <c r="B197" s="11">
        <v>194</v>
      </c>
      <c r="C197" s="10" t="s">
        <v>402</v>
      </c>
      <c r="D197" s="10" t="s">
        <v>403</v>
      </c>
      <c r="E197" s="10" t="s">
        <v>14</v>
      </c>
      <c r="F197" s="10" t="s">
        <v>11</v>
      </c>
    </row>
    <row r="198" spans="2:6" x14ac:dyDescent="0.3">
      <c r="B198" s="11">
        <v>195</v>
      </c>
      <c r="C198" s="10" t="s">
        <v>404</v>
      </c>
      <c r="D198" s="10" t="s">
        <v>405</v>
      </c>
      <c r="E198" s="10" t="s">
        <v>14</v>
      </c>
      <c r="F198" s="10" t="s">
        <v>15</v>
      </c>
    </row>
    <row r="199" spans="2:6" x14ac:dyDescent="0.3">
      <c r="B199" s="9">
        <v>196</v>
      </c>
      <c r="C199" s="10" t="s">
        <v>406</v>
      </c>
      <c r="D199" s="10" t="s">
        <v>407</v>
      </c>
      <c r="E199" s="10" t="s">
        <v>6</v>
      </c>
      <c r="F199" s="10" t="s">
        <v>21</v>
      </c>
    </row>
    <row r="200" spans="2:6" x14ac:dyDescent="0.3">
      <c r="B200" s="11">
        <v>197</v>
      </c>
      <c r="C200" s="10" t="s">
        <v>408</v>
      </c>
      <c r="D200" s="10" t="s">
        <v>409</v>
      </c>
      <c r="E200" s="10" t="s">
        <v>20</v>
      </c>
      <c r="F200" s="10" t="s">
        <v>7</v>
      </c>
    </row>
    <row r="201" spans="2:6" x14ac:dyDescent="0.3">
      <c r="B201" s="11">
        <v>198</v>
      </c>
      <c r="C201" s="10" t="s">
        <v>410</v>
      </c>
      <c r="D201" s="10" t="s">
        <v>411</v>
      </c>
      <c r="E201" s="10" t="s">
        <v>20</v>
      </c>
      <c r="F201" s="10" t="s">
        <v>7</v>
      </c>
    </row>
    <row r="202" spans="2:6" x14ac:dyDescent="0.3">
      <c r="B202" s="9">
        <v>199</v>
      </c>
      <c r="C202" s="10" t="s">
        <v>412</v>
      </c>
      <c r="D202" s="10" t="s">
        <v>413</v>
      </c>
      <c r="E202" s="10" t="s">
        <v>20</v>
      </c>
      <c r="F202" s="10" t="s">
        <v>7</v>
      </c>
    </row>
    <row r="203" spans="2:6" x14ac:dyDescent="0.3">
      <c r="B203" s="11">
        <v>200</v>
      </c>
      <c r="C203" s="10" t="s">
        <v>414</v>
      </c>
      <c r="D203" s="10" t="s">
        <v>415</v>
      </c>
      <c r="E203" s="10" t="s">
        <v>14</v>
      </c>
      <c r="F203" s="10" t="s">
        <v>15</v>
      </c>
    </row>
    <row r="204" spans="2:6" x14ac:dyDescent="0.3">
      <c r="B204" s="11">
        <v>201</v>
      </c>
      <c r="C204" s="10" t="s">
        <v>416</v>
      </c>
      <c r="D204" s="10" t="s">
        <v>417</v>
      </c>
      <c r="E204" s="10" t="s">
        <v>6</v>
      </c>
      <c r="F204" s="10" t="s">
        <v>7</v>
      </c>
    </row>
    <row r="205" spans="2:6" x14ac:dyDescent="0.3">
      <c r="B205" s="9">
        <v>202</v>
      </c>
      <c r="C205" s="10" t="s">
        <v>418</v>
      </c>
      <c r="D205" s="10" t="s">
        <v>419</v>
      </c>
      <c r="E205" s="10" t="s">
        <v>14</v>
      </c>
      <c r="F205" s="10" t="s">
        <v>7</v>
      </c>
    </row>
    <row r="206" spans="2:6" x14ac:dyDescent="0.3">
      <c r="B206" s="11">
        <v>203</v>
      </c>
      <c r="C206" s="10" t="s">
        <v>420</v>
      </c>
      <c r="D206" s="10" t="s">
        <v>421</v>
      </c>
      <c r="E206" s="10" t="s">
        <v>10</v>
      </c>
      <c r="F206" s="10" t="s">
        <v>11</v>
      </c>
    </row>
    <row r="207" spans="2:6" x14ac:dyDescent="0.3">
      <c r="B207" s="11">
        <v>204</v>
      </c>
      <c r="C207" s="10" t="s">
        <v>422</v>
      </c>
      <c r="D207" s="10" t="s">
        <v>423</v>
      </c>
      <c r="E207" s="10" t="s">
        <v>6</v>
      </c>
      <c r="F207" s="10" t="s">
        <v>7</v>
      </c>
    </row>
    <row r="208" spans="2:6" x14ac:dyDescent="0.3">
      <c r="B208" s="9">
        <v>205</v>
      </c>
      <c r="C208" s="10" t="s">
        <v>424</v>
      </c>
      <c r="D208" s="10" t="s">
        <v>425</v>
      </c>
      <c r="E208" s="10" t="s">
        <v>14</v>
      </c>
      <c r="F208" s="10" t="s">
        <v>11</v>
      </c>
    </row>
    <row r="209" spans="2:6" x14ac:dyDescent="0.3">
      <c r="B209" s="11">
        <v>206</v>
      </c>
      <c r="C209" s="10" t="s">
        <v>426</v>
      </c>
      <c r="D209" s="10" t="s">
        <v>427</v>
      </c>
      <c r="E209" s="10" t="s">
        <v>14</v>
      </c>
      <c r="F209" s="10" t="s">
        <v>11</v>
      </c>
    </row>
    <row r="210" spans="2:6" x14ac:dyDescent="0.3">
      <c r="B210" s="11">
        <v>207</v>
      </c>
      <c r="C210" s="10" t="s">
        <v>428</v>
      </c>
      <c r="D210" s="10" t="s">
        <v>429</v>
      </c>
      <c r="E210" s="10" t="s">
        <v>54</v>
      </c>
      <c r="F210" s="10" t="s">
        <v>21</v>
      </c>
    </row>
    <row r="211" spans="2:6" x14ac:dyDescent="0.3">
      <c r="B211" s="9">
        <v>208</v>
      </c>
      <c r="C211" s="10" t="s">
        <v>430</v>
      </c>
      <c r="D211" s="10" t="s">
        <v>431</v>
      </c>
      <c r="E211" s="10" t="s">
        <v>20</v>
      </c>
      <c r="F211" s="10" t="s">
        <v>11</v>
      </c>
    </row>
    <row r="212" spans="2:6" x14ac:dyDescent="0.3">
      <c r="B212" s="11">
        <v>209</v>
      </c>
      <c r="C212" s="10" t="s">
        <v>432</v>
      </c>
      <c r="D212" s="10" t="s">
        <v>433</v>
      </c>
      <c r="E212" s="10" t="s">
        <v>32</v>
      </c>
      <c r="F212" s="10" t="s">
        <v>49</v>
      </c>
    </row>
    <row r="213" spans="2:6" x14ac:dyDescent="0.3">
      <c r="B213" s="11">
        <v>210</v>
      </c>
      <c r="C213" s="10" t="s">
        <v>434</v>
      </c>
      <c r="D213" s="10" t="s">
        <v>435</v>
      </c>
      <c r="E213" s="10" t="s">
        <v>20</v>
      </c>
      <c r="F213" s="10" t="s">
        <v>21</v>
      </c>
    </row>
    <row r="214" spans="2:6" x14ac:dyDescent="0.3">
      <c r="B214" s="9">
        <v>211</v>
      </c>
      <c r="C214" s="10" t="s">
        <v>436</v>
      </c>
      <c r="D214" s="10" t="s">
        <v>437</v>
      </c>
      <c r="E214" s="10" t="s">
        <v>54</v>
      </c>
      <c r="F214" s="10" t="s">
        <v>15</v>
      </c>
    </row>
    <row r="215" spans="2:6" x14ac:dyDescent="0.3">
      <c r="B215" s="11">
        <v>212</v>
      </c>
      <c r="C215" s="10" t="s">
        <v>438</v>
      </c>
      <c r="D215" s="10" t="s">
        <v>439</v>
      </c>
      <c r="E215" s="10" t="s">
        <v>32</v>
      </c>
      <c r="F215" s="10" t="s">
        <v>21</v>
      </c>
    </row>
    <row r="216" spans="2:6" x14ac:dyDescent="0.3">
      <c r="B216" s="11">
        <v>213</v>
      </c>
      <c r="C216" s="10" t="s">
        <v>440</v>
      </c>
      <c r="D216" s="10" t="s">
        <v>441</v>
      </c>
      <c r="E216" s="10" t="s">
        <v>6</v>
      </c>
      <c r="F216" s="10" t="s">
        <v>7</v>
      </c>
    </row>
    <row r="217" spans="2:6" x14ac:dyDescent="0.3">
      <c r="B217" s="9">
        <v>214</v>
      </c>
      <c r="C217" s="10" t="s">
        <v>442</v>
      </c>
      <c r="D217" s="10" t="s">
        <v>443</v>
      </c>
      <c r="E217" s="10" t="s">
        <v>10</v>
      </c>
      <c r="F217" s="10" t="s">
        <v>15</v>
      </c>
    </row>
    <row r="218" spans="2:6" x14ac:dyDescent="0.3">
      <c r="B218" s="11">
        <v>215</v>
      </c>
      <c r="C218" s="10" t="s">
        <v>444</v>
      </c>
      <c r="D218" s="10" t="s">
        <v>445</v>
      </c>
      <c r="E218" s="10" t="s">
        <v>20</v>
      </c>
      <c r="F218" s="10" t="s">
        <v>21</v>
      </c>
    </row>
    <row r="219" spans="2:6" x14ac:dyDescent="0.3">
      <c r="B219" s="11">
        <v>216</v>
      </c>
      <c r="C219" s="10" t="s">
        <v>446</v>
      </c>
      <c r="D219" s="10" t="s">
        <v>447</v>
      </c>
      <c r="E219" s="10" t="s">
        <v>32</v>
      </c>
      <c r="F219" s="10" t="s">
        <v>21</v>
      </c>
    </row>
    <row r="220" spans="2:6" x14ac:dyDescent="0.3">
      <c r="B220" s="9">
        <v>217</v>
      </c>
      <c r="C220" s="10" t="s">
        <v>448</v>
      </c>
      <c r="D220" s="10" t="s">
        <v>449</v>
      </c>
      <c r="E220" s="10" t="s">
        <v>32</v>
      </c>
      <c r="F220" s="10" t="s">
        <v>7</v>
      </c>
    </row>
    <row r="221" spans="2:6" x14ac:dyDescent="0.3">
      <c r="B221" s="11">
        <v>218</v>
      </c>
      <c r="C221" s="10" t="s">
        <v>450</v>
      </c>
      <c r="D221" s="10" t="s">
        <v>451</v>
      </c>
      <c r="E221" s="10" t="s">
        <v>14</v>
      </c>
      <c r="F221" s="10" t="s">
        <v>11</v>
      </c>
    </row>
    <row r="222" spans="2:6" x14ac:dyDescent="0.3">
      <c r="B222" s="11">
        <v>219</v>
      </c>
      <c r="C222" s="10" t="s">
        <v>452</v>
      </c>
      <c r="D222" s="10" t="s">
        <v>453</v>
      </c>
      <c r="E222" s="10" t="s">
        <v>14</v>
      </c>
      <c r="F222" s="10" t="s">
        <v>11</v>
      </c>
    </row>
    <row r="223" spans="2:6" x14ac:dyDescent="0.3">
      <c r="B223" s="9">
        <v>220</v>
      </c>
      <c r="C223" s="10" t="s">
        <v>454</v>
      </c>
      <c r="D223" s="10" t="s">
        <v>455</v>
      </c>
      <c r="E223" s="10" t="s">
        <v>20</v>
      </c>
      <c r="F223" s="10" t="s">
        <v>15</v>
      </c>
    </row>
    <row r="224" spans="2:6" x14ac:dyDescent="0.3">
      <c r="B224" s="11">
        <v>221</v>
      </c>
      <c r="C224" s="10" t="s">
        <v>456</v>
      </c>
      <c r="D224" s="10" t="s">
        <v>457</v>
      </c>
      <c r="E224" s="10" t="s">
        <v>6</v>
      </c>
      <c r="F224" s="10" t="s">
        <v>7</v>
      </c>
    </row>
    <row r="225" spans="2:16" x14ac:dyDescent="0.3">
      <c r="B225" s="11">
        <v>222</v>
      </c>
      <c r="C225" s="10" t="s">
        <v>458</v>
      </c>
      <c r="D225" s="10" t="s">
        <v>459</v>
      </c>
      <c r="E225" s="10" t="s">
        <v>6</v>
      </c>
      <c r="F225" s="10" t="s">
        <v>7</v>
      </c>
    </row>
    <row r="226" spans="2:16" x14ac:dyDescent="0.3">
      <c r="B226" s="9">
        <v>223</v>
      </c>
      <c r="C226" s="10" t="s">
        <v>460</v>
      </c>
      <c r="D226" s="10" t="s">
        <v>461</v>
      </c>
      <c r="E226" s="10" t="s">
        <v>20</v>
      </c>
      <c r="F226" s="10" t="s">
        <v>15</v>
      </c>
    </row>
    <row r="227" spans="2:16" x14ac:dyDescent="0.3">
      <c r="B227" s="11">
        <v>224</v>
      </c>
      <c r="C227" s="10" t="s">
        <v>462</v>
      </c>
      <c r="D227" s="10" t="s">
        <v>463</v>
      </c>
      <c r="E227" s="10" t="s">
        <v>6</v>
      </c>
      <c r="F227" s="10" t="s">
        <v>21</v>
      </c>
    </row>
    <row r="228" spans="2:16" x14ac:dyDescent="0.3">
      <c r="B228" s="11">
        <v>225</v>
      </c>
      <c r="C228" s="10" t="s">
        <v>464</v>
      </c>
      <c r="D228" s="10" t="s">
        <v>465</v>
      </c>
      <c r="E228" s="10" t="s">
        <v>6</v>
      </c>
      <c r="F228" s="10" t="s">
        <v>21</v>
      </c>
    </row>
    <row r="229" spans="2:16" x14ac:dyDescent="0.3">
      <c r="B229" s="9">
        <v>226</v>
      </c>
      <c r="C229" s="10" t="s">
        <v>466</v>
      </c>
      <c r="D229" s="10" t="s">
        <v>467</v>
      </c>
      <c r="E229" s="10" t="s">
        <v>6</v>
      </c>
      <c r="F229" s="10" t="s">
        <v>7</v>
      </c>
    </row>
    <row r="230" spans="2:16" x14ac:dyDescent="0.3">
      <c r="B230" s="11">
        <v>227</v>
      </c>
      <c r="C230" s="10" t="s">
        <v>468</v>
      </c>
      <c r="D230" s="10" t="s">
        <v>469</v>
      </c>
      <c r="E230" s="10" t="s">
        <v>6</v>
      </c>
      <c r="F230" s="10" t="s">
        <v>7</v>
      </c>
    </row>
    <row r="231" spans="2:16" x14ac:dyDescent="0.3">
      <c r="B231" s="11">
        <v>228</v>
      </c>
      <c r="C231" s="10" t="s">
        <v>470</v>
      </c>
      <c r="D231" s="10" t="s">
        <v>471</v>
      </c>
      <c r="E231" s="10" t="s">
        <v>32</v>
      </c>
      <c r="F231" s="10" t="s">
        <v>15</v>
      </c>
    </row>
    <row r="232" spans="2:16" x14ac:dyDescent="0.3">
      <c r="B232" s="9">
        <v>229</v>
      </c>
      <c r="C232" s="10" t="s">
        <v>472</v>
      </c>
      <c r="D232" s="10" t="s">
        <v>473</v>
      </c>
      <c r="E232" s="10" t="s">
        <v>32</v>
      </c>
      <c r="F232" s="10" t="s">
        <v>15</v>
      </c>
    </row>
    <row r="233" spans="2:16" x14ac:dyDescent="0.3">
      <c r="B233" s="11">
        <v>230</v>
      </c>
      <c r="C233" s="10" t="s">
        <v>474</v>
      </c>
      <c r="D233" s="10" t="s">
        <v>475</v>
      </c>
      <c r="E233" s="10" t="s">
        <v>32</v>
      </c>
      <c r="F233" s="10" t="s">
        <v>7</v>
      </c>
    </row>
    <row r="234" spans="2:16" x14ac:dyDescent="0.3">
      <c r="B234" s="11">
        <v>231</v>
      </c>
      <c r="C234" s="10" t="s">
        <v>476</v>
      </c>
      <c r="D234" s="10" t="s">
        <v>477</v>
      </c>
      <c r="E234" s="10" t="s">
        <v>32</v>
      </c>
      <c r="F234" s="10" t="s">
        <v>21</v>
      </c>
    </row>
    <row r="235" spans="2:16" x14ac:dyDescent="0.3">
      <c r="B235" s="9">
        <v>232</v>
      </c>
      <c r="C235" s="10" t="s">
        <v>478</v>
      </c>
      <c r="D235" s="10" t="s">
        <v>479</v>
      </c>
      <c r="E235" s="10" t="s">
        <v>20</v>
      </c>
      <c r="F235" s="10" t="s">
        <v>15</v>
      </c>
    </row>
    <row r="236" spans="2:16" x14ac:dyDescent="0.3">
      <c r="B236" s="11">
        <v>233</v>
      </c>
      <c r="C236" s="10" t="s">
        <v>480</v>
      </c>
      <c r="D236" s="10" t="s">
        <v>481</v>
      </c>
      <c r="E236" s="10" t="s">
        <v>10</v>
      </c>
      <c r="F236" s="10" t="s">
        <v>11</v>
      </c>
    </row>
    <row r="237" spans="2:16" x14ac:dyDescent="0.3">
      <c r="B237" s="11">
        <v>234</v>
      </c>
      <c r="C237" s="10" t="s">
        <v>482</v>
      </c>
      <c r="D237" s="10" t="s">
        <v>483</v>
      </c>
      <c r="E237" s="10" t="s">
        <v>14</v>
      </c>
      <c r="F237" s="10" t="s">
        <v>21</v>
      </c>
    </row>
    <row r="238" spans="2:16" x14ac:dyDescent="0.3">
      <c r="B238" s="9">
        <v>235</v>
      </c>
      <c r="C238" s="10" t="s">
        <v>484</v>
      </c>
      <c r="D238" s="10" t="s">
        <v>485</v>
      </c>
      <c r="E238" s="10" t="s">
        <v>14</v>
      </c>
      <c r="F238" s="10" t="s">
        <v>15</v>
      </c>
    </row>
    <row r="239" spans="2:16" x14ac:dyDescent="0.3">
      <c r="B239" s="11">
        <v>236</v>
      </c>
      <c r="C239" s="16" t="s">
        <v>486</v>
      </c>
      <c r="D239" s="16" t="s">
        <v>487</v>
      </c>
      <c r="E239" s="16" t="s">
        <v>14</v>
      </c>
      <c r="F239" s="16" t="s">
        <v>11</v>
      </c>
    </row>
    <row r="240" spans="2:16" ht="65.099999999999994" customHeight="1" x14ac:dyDescent="0.3">
      <c r="B240" s="109" t="s">
        <v>488</v>
      </c>
      <c r="C240" s="109"/>
      <c r="D240" s="109"/>
      <c r="E240" s="109"/>
      <c r="F240" s="109"/>
      <c r="G240" s="17"/>
      <c r="H240" s="17"/>
      <c r="I240" s="17"/>
      <c r="J240" s="17"/>
      <c r="K240" s="17"/>
      <c r="L240" s="17"/>
      <c r="M240" s="17"/>
      <c r="N240" s="17"/>
      <c r="O240" s="17"/>
      <c r="P240" s="17"/>
    </row>
  </sheetData>
  <autoFilter ref="B3:F239" xr:uid="{B92E99D6-0509-430E-9614-59A2A3EE6CDD}">
    <sortState xmlns:xlrd2="http://schemas.microsoft.com/office/spreadsheetml/2017/richdata2" ref="B4:F240">
      <sortCondition ref="D3:D239"/>
    </sortState>
  </autoFilter>
  <mergeCells count="1">
    <mergeCell ref="B240:F24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272CC-8AD6-4D05-86B6-DBEC930CE96E}">
  <sheetPr>
    <tabColor theme="2"/>
  </sheetPr>
  <dimension ref="A1:J66"/>
  <sheetViews>
    <sheetView workbookViewId="0">
      <selection activeCell="D62" sqref="D62:G62"/>
    </sheetView>
  </sheetViews>
  <sheetFormatPr defaultColWidth="8.6640625" defaultRowHeight="14.4" x14ac:dyDescent="0.3"/>
  <cols>
    <col min="1" max="1" width="8.6640625" style="18"/>
    <col min="2" max="3" width="2.109375" style="18" customWidth="1"/>
    <col min="4" max="4" width="42.109375" style="18" customWidth="1"/>
    <col min="5" max="5" width="8" style="18" customWidth="1"/>
    <col min="6" max="6" width="10.44140625" style="18" customWidth="1"/>
    <col min="7" max="7" width="33.33203125" style="18" customWidth="1"/>
    <col min="8" max="8" width="10.5546875" style="18" customWidth="1"/>
    <col min="9" max="10" width="10.5546875" style="19" hidden="1" customWidth="1"/>
    <col min="11" max="11" width="27.109375" style="18" customWidth="1"/>
    <col min="12" max="16384" width="8.6640625" style="18"/>
  </cols>
  <sheetData>
    <row r="1" spans="1:10" x14ac:dyDescent="0.3">
      <c r="A1" s="99" t="s">
        <v>669</v>
      </c>
    </row>
    <row r="2" spans="1:10" ht="15" thickBot="1" x14ac:dyDescent="0.35">
      <c r="B2" s="20"/>
      <c r="C2" s="20"/>
      <c r="D2" s="20"/>
      <c r="E2" s="20"/>
      <c r="F2" s="20"/>
      <c r="G2" s="20"/>
    </row>
    <row r="3" spans="1:10" ht="15" thickBot="1" x14ac:dyDescent="0.35">
      <c r="B3" s="103" t="s">
        <v>489</v>
      </c>
      <c r="C3" s="103"/>
      <c r="D3" s="103"/>
      <c r="E3" s="21" t="s">
        <v>490</v>
      </c>
      <c r="F3" s="21" t="s">
        <v>491</v>
      </c>
      <c r="G3" s="22" t="s">
        <v>492</v>
      </c>
      <c r="H3" s="23"/>
      <c r="I3" s="24" t="s">
        <v>493</v>
      </c>
      <c r="J3" s="24" t="s">
        <v>494</v>
      </c>
    </row>
    <row r="4" spans="1:10" x14ac:dyDescent="0.3">
      <c r="B4" s="25" t="s">
        <v>495</v>
      </c>
      <c r="C4" s="26"/>
      <c r="D4" s="27"/>
      <c r="E4" s="28"/>
      <c r="F4" s="28"/>
      <c r="G4" s="29"/>
      <c r="H4" s="30"/>
      <c r="I4" s="31"/>
      <c r="J4" s="31"/>
    </row>
    <row r="5" spans="1:10" x14ac:dyDescent="0.3">
      <c r="B5" s="32"/>
      <c r="C5" s="33" t="s">
        <v>496</v>
      </c>
      <c r="D5" s="33"/>
      <c r="E5" s="34"/>
      <c r="F5" s="34"/>
      <c r="G5" s="35"/>
      <c r="H5" s="36"/>
      <c r="I5" s="37"/>
      <c r="J5" s="37"/>
    </row>
    <row r="6" spans="1:10" x14ac:dyDescent="0.3">
      <c r="B6" s="32"/>
      <c r="C6" s="33"/>
      <c r="D6" s="35" t="s">
        <v>675</v>
      </c>
      <c r="E6" s="104"/>
      <c r="F6" s="104"/>
      <c r="G6" s="35" t="s">
        <v>676</v>
      </c>
      <c r="H6" s="36"/>
      <c r="I6" s="37"/>
      <c r="J6" s="37"/>
    </row>
    <row r="7" spans="1:10" ht="28.8" customHeight="1" x14ac:dyDescent="0.3">
      <c r="B7" s="32"/>
      <c r="C7" s="33"/>
      <c r="D7" s="35" t="s">
        <v>677</v>
      </c>
      <c r="E7" s="34">
        <v>1.2</v>
      </c>
      <c r="F7" s="38" t="str">
        <f>_xlfn.CONCAT("(",I7,", ",J7,")")</f>
        <v>(1.16, 1.25)</v>
      </c>
      <c r="G7" s="35" t="s">
        <v>678</v>
      </c>
      <c r="H7" s="36"/>
      <c r="I7" s="37">
        <v>1.1599999999999999</v>
      </c>
      <c r="J7" s="37">
        <v>1.25</v>
      </c>
    </row>
    <row r="8" spans="1:10" x14ac:dyDescent="0.3">
      <c r="B8" s="32"/>
      <c r="C8" s="33"/>
      <c r="D8" s="35" t="s">
        <v>679</v>
      </c>
      <c r="E8" s="104"/>
      <c r="F8" s="104"/>
      <c r="G8" s="35" t="s">
        <v>676</v>
      </c>
      <c r="H8" s="36"/>
      <c r="I8" s="37"/>
      <c r="J8" s="37"/>
    </row>
    <row r="9" spans="1:10" x14ac:dyDescent="0.3">
      <c r="B9" s="32"/>
      <c r="C9" s="33"/>
      <c r="D9" s="35" t="s">
        <v>680</v>
      </c>
      <c r="E9" s="104"/>
      <c r="F9" s="104"/>
      <c r="G9" s="35" t="s">
        <v>676</v>
      </c>
      <c r="H9" s="36"/>
      <c r="I9" s="37"/>
      <c r="J9" s="37"/>
    </row>
    <row r="10" spans="1:10" x14ac:dyDescent="0.3">
      <c r="B10" s="32"/>
      <c r="C10" s="33"/>
      <c r="D10" s="35" t="s">
        <v>681</v>
      </c>
      <c r="E10" s="104"/>
      <c r="F10" s="104"/>
      <c r="G10" s="35" t="s">
        <v>676</v>
      </c>
      <c r="H10" s="36"/>
      <c r="I10" s="37"/>
      <c r="J10" s="37"/>
    </row>
    <row r="11" spans="1:10" ht="28.8" customHeight="1" x14ac:dyDescent="0.3">
      <c r="B11" s="32"/>
      <c r="C11" s="33"/>
      <c r="D11" s="35" t="s">
        <v>682</v>
      </c>
      <c r="E11" s="34">
        <v>0.1</v>
      </c>
      <c r="F11" s="38"/>
      <c r="G11" s="35" t="s">
        <v>683</v>
      </c>
      <c r="H11" s="36"/>
      <c r="I11" s="37" t="s">
        <v>497</v>
      </c>
      <c r="J11" s="37" t="s">
        <v>497</v>
      </c>
    </row>
    <row r="12" spans="1:10" x14ac:dyDescent="0.3">
      <c r="B12" s="32"/>
      <c r="C12" s="33"/>
      <c r="D12" s="35" t="s">
        <v>684</v>
      </c>
      <c r="E12" s="104"/>
      <c r="F12" s="104"/>
      <c r="G12" s="35" t="s">
        <v>676</v>
      </c>
      <c r="H12" s="36"/>
      <c r="I12" s="37"/>
      <c r="J12" s="37"/>
    </row>
    <row r="13" spans="1:10" x14ac:dyDescent="0.3">
      <c r="B13" s="32"/>
      <c r="C13" s="33" t="s">
        <v>498</v>
      </c>
      <c r="D13" s="33"/>
      <c r="E13" s="34"/>
      <c r="F13" s="34"/>
      <c r="G13" s="35"/>
      <c r="H13" s="36"/>
      <c r="I13" s="37"/>
      <c r="J13" s="37"/>
    </row>
    <row r="14" spans="1:10" x14ac:dyDescent="0.3">
      <c r="B14" s="32"/>
      <c r="C14" s="33"/>
      <c r="D14" s="35" t="s">
        <v>685</v>
      </c>
      <c r="E14" s="104"/>
      <c r="F14" s="104"/>
      <c r="G14" s="35" t="s">
        <v>676</v>
      </c>
      <c r="H14" s="36"/>
      <c r="I14" s="37"/>
      <c r="J14" s="37"/>
    </row>
    <row r="15" spans="1:10" ht="28.8" customHeight="1" x14ac:dyDescent="0.3">
      <c r="B15" s="32"/>
      <c r="C15" s="33"/>
      <c r="D15" s="35" t="s">
        <v>499</v>
      </c>
      <c r="E15" s="34">
        <v>0.35</v>
      </c>
      <c r="F15" s="38"/>
      <c r="G15" s="35" t="s">
        <v>500</v>
      </c>
      <c r="H15" s="36"/>
      <c r="I15" s="37" t="s">
        <v>497</v>
      </c>
      <c r="J15" s="37" t="s">
        <v>497</v>
      </c>
    </row>
    <row r="16" spans="1:10" x14ac:dyDescent="0.3">
      <c r="B16" s="32"/>
      <c r="C16" s="33"/>
      <c r="D16" s="35" t="s">
        <v>686</v>
      </c>
      <c r="E16" s="104"/>
      <c r="F16" s="104"/>
      <c r="G16" s="35" t="s">
        <v>676</v>
      </c>
      <c r="H16" s="36"/>
      <c r="I16" s="37"/>
      <c r="J16" s="37"/>
    </row>
    <row r="17" spans="2:10" ht="28.8" customHeight="1" x14ac:dyDescent="0.3">
      <c r="B17" s="32"/>
      <c r="C17" s="33"/>
      <c r="D17" s="35" t="s">
        <v>687</v>
      </c>
      <c r="E17" s="105" t="s">
        <v>688</v>
      </c>
      <c r="F17" s="105"/>
      <c r="G17" s="35" t="s">
        <v>517</v>
      </c>
      <c r="H17" s="36"/>
      <c r="I17" s="37"/>
      <c r="J17" s="37"/>
    </row>
    <row r="18" spans="2:10" ht="28.8" customHeight="1" x14ac:dyDescent="0.3">
      <c r="B18" s="32"/>
      <c r="C18" s="33"/>
      <c r="D18" s="35" t="s">
        <v>501</v>
      </c>
      <c r="E18" s="34">
        <v>1.75</v>
      </c>
      <c r="F18" s="38" t="str">
        <f>_xlfn.CONCAT("(",I18,", ",J18,")")</f>
        <v>(1.62, 1.89)</v>
      </c>
      <c r="G18" s="35" t="s">
        <v>502</v>
      </c>
      <c r="H18" s="36"/>
      <c r="I18" s="37">
        <v>1.62</v>
      </c>
      <c r="J18" s="37">
        <v>1.89</v>
      </c>
    </row>
    <row r="19" spans="2:10" x14ac:dyDescent="0.3">
      <c r="B19" s="32"/>
      <c r="C19" s="33" t="s">
        <v>503</v>
      </c>
      <c r="D19" s="33"/>
      <c r="E19" s="34"/>
      <c r="F19" s="34"/>
      <c r="G19" s="35"/>
      <c r="H19" s="36"/>
      <c r="I19" s="37"/>
      <c r="J19" s="37"/>
    </row>
    <row r="20" spans="2:10" x14ac:dyDescent="0.3">
      <c r="B20" s="32"/>
      <c r="C20" s="33"/>
      <c r="D20" s="35" t="s">
        <v>689</v>
      </c>
      <c r="E20" s="104"/>
      <c r="F20" s="104"/>
      <c r="G20" s="35" t="s">
        <v>676</v>
      </c>
      <c r="H20" s="36"/>
      <c r="I20" s="37"/>
      <c r="J20" s="37"/>
    </row>
    <row r="21" spans="2:10" ht="28.8" customHeight="1" x14ac:dyDescent="0.3">
      <c r="B21" s="32"/>
      <c r="C21" s="33"/>
      <c r="D21" s="35" t="s">
        <v>504</v>
      </c>
      <c r="E21" s="34">
        <v>0.32</v>
      </c>
      <c r="F21" s="38"/>
      <c r="G21" s="35" t="s">
        <v>505</v>
      </c>
      <c r="H21" s="36"/>
      <c r="I21" s="37" t="s">
        <v>497</v>
      </c>
      <c r="J21" s="37" t="s">
        <v>497</v>
      </c>
    </row>
    <row r="22" spans="2:10" x14ac:dyDescent="0.3">
      <c r="B22" s="32"/>
      <c r="C22" s="33"/>
      <c r="D22" s="35" t="s">
        <v>690</v>
      </c>
      <c r="E22" s="104"/>
      <c r="F22" s="104"/>
      <c r="G22" s="35" t="s">
        <v>676</v>
      </c>
      <c r="H22" s="36"/>
      <c r="I22" s="37"/>
      <c r="J22" s="37"/>
    </row>
    <row r="23" spans="2:10" ht="28.8" customHeight="1" x14ac:dyDescent="0.3">
      <c r="B23" s="32"/>
      <c r="C23" s="33"/>
      <c r="D23" s="35" t="s">
        <v>691</v>
      </c>
      <c r="E23" s="105" t="s">
        <v>692</v>
      </c>
      <c r="F23" s="105"/>
      <c r="G23" s="35" t="s">
        <v>693</v>
      </c>
      <c r="H23" s="36"/>
      <c r="I23" s="37"/>
      <c r="J23" s="37"/>
    </row>
    <row r="24" spans="2:10" x14ac:dyDescent="0.3">
      <c r="B24" s="32"/>
      <c r="C24" s="33"/>
      <c r="D24" s="35" t="s">
        <v>506</v>
      </c>
      <c r="E24" s="34">
        <v>3</v>
      </c>
      <c r="F24" s="38" t="str">
        <f>_xlfn.CONCAT("(",I24,", ",J24,")")</f>
        <v>(2, 4)</v>
      </c>
      <c r="G24" s="35" t="s">
        <v>507</v>
      </c>
      <c r="H24" s="36"/>
      <c r="I24" s="37">
        <v>2</v>
      </c>
      <c r="J24" s="37">
        <v>4</v>
      </c>
    </row>
    <row r="25" spans="2:10" ht="28.8" customHeight="1" x14ac:dyDescent="0.3">
      <c r="B25" s="32"/>
      <c r="C25" s="33"/>
      <c r="D25" s="35" t="s">
        <v>694</v>
      </c>
      <c r="E25" s="34">
        <v>0.183</v>
      </c>
      <c r="F25" s="38"/>
      <c r="G25" s="35" t="s">
        <v>695</v>
      </c>
      <c r="H25" s="36"/>
      <c r="I25" s="37" t="s">
        <v>497</v>
      </c>
      <c r="J25" s="37" t="s">
        <v>497</v>
      </c>
    </row>
    <row r="26" spans="2:10" ht="28.8" customHeight="1" x14ac:dyDescent="0.3">
      <c r="B26" s="32"/>
      <c r="C26" s="33"/>
      <c r="D26" s="35" t="s">
        <v>696</v>
      </c>
      <c r="E26" s="34">
        <v>7.1999999999999995E-2</v>
      </c>
      <c r="F26" s="38"/>
      <c r="G26" s="35" t="s">
        <v>695</v>
      </c>
      <c r="H26" s="36"/>
      <c r="I26" s="37" t="s">
        <v>497</v>
      </c>
      <c r="J26" s="37" t="s">
        <v>497</v>
      </c>
    </row>
    <row r="27" spans="2:10" x14ac:dyDescent="0.3">
      <c r="B27" s="32"/>
      <c r="C27" s="33" t="s">
        <v>508</v>
      </c>
      <c r="D27" s="33"/>
      <c r="E27" s="34"/>
      <c r="F27" s="34"/>
      <c r="G27" s="35"/>
      <c r="H27" s="36"/>
      <c r="I27" s="37"/>
      <c r="J27" s="37"/>
    </row>
    <row r="28" spans="2:10" ht="43.2" customHeight="1" x14ac:dyDescent="0.3">
      <c r="B28" s="32"/>
      <c r="C28" s="33"/>
      <c r="D28" s="35" t="s">
        <v>509</v>
      </c>
      <c r="E28" s="34">
        <v>8.0000000000000002E-3</v>
      </c>
      <c r="F28" s="38"/>
      <c r="G28" s="35" t="s">
        <v>510</v>
      </c>
      <c r="H28" s="36"/>
      <c r="I28" s="37" t="s">
        <v>497</v>
      </c>
      <c r="J28" s="37" t="s">
        <v>497</v>
      </c>
    </row>
    <row r="29" spans="2:10" ht="28.8" customHeight="1" x14ac:dyDescent="0.3">
      <c r="B29" s="32"/>
      <c r="C29" s="33"/>
      <c r="D29" s="35" t="s">
        <v>511</v>
      </c>
      <c r="E29" s="34">
        <v>2.1000000000000001E-2</v>
      </c>
      <c r="F29" s="38"/>
      <c r="G29" s="35" t="s">
        <v>510</v>
      </c>
      <c r="H29" s="36"/>
      <c r="I29" s="37" t="s">
        <v>497</v>
      </c>
      <c r="J29" s="37" t="s">
        <v>497</v>
      </c>
    </row>
    <row r="30" spans="2:10" ht="43.2" customHeight="1" x14ac:dyDescent="0.3">
      <c r="B30" s="32"/>
      <c r="C30" s="33"/>
      <c r="D30" s="35" t="s">
        <v>697</v>
      </c>
      <c r="E30" s="34">
        <v>1.4500000000000001E-2</v>
      </c>
      <c r="F30" s="38"/>
      <c r="G30" s="35" t="s">
        <v>510</v>
      </c>
      <c r="H30" s="36"/>
      <c r="I30" s="37" t="s">
        <v>497</v>
      </c>
      <c r="J30" s="37" t="s">
        <v>497</v>
      </c>
    </row>
    <row r="31" spans="2:10" ht="28.8" customHeight="1" x14ac:dyDescent="0.3">
      <c r="B31" s="32"/>
      <c r="C31" s="33"/>
      <c r="D31" s="35" t="s">
        <v>698</v>
      </c>
      <c r="E31" s="34">
        <v>0.04</v>
      </c>
      <c r="F31" s="38"/>
      <c r="G31" s="35" t="s">
        <v>510</v>
      </c>
      <c r="H31" s="36"/>
      <c r="I31" s="37" t="s">
        <v>497</v>
      </c>
      <c r="J31" s="37" t="s">
        <v>497</v>
      </c>
    </row>
    <row r="32" spans="2:10" ht="28.8" customHeight="1" x14ac:dyDescent="0.3">
      <c r="B32" s="32"/>
      <c r="C32" s="33"/>
      <c r="D32" s="35" t="s">
        <v>699</v>
      </c>
      <c r="E32" s="34">
        <v>0.1</v>
      </c>
      <c r="F32" s="38"/>
      <c r="G32" s="35" t="s">
        <v>510</v>
      </c>
      <c r="H32" s="36"/>
      <c r="I32" s="37" t="s">
        <v>497</v>
      </c>
      <c r="J32" s="37" t="s">
        <v>497</v>
      </c>
    </row>
    <row r="33" spans="2:10" ht="28.8" customHeight="1" x14ac:dyDescent="0.3">
      <c r="B33" s="32"/>
      <c r="C33" s="33"/>
      <c r="D33" s="35" t="s">
        <v>700</v>
      </c>
      <c r="E33" s="34">
        <v>0.3</v>
      </c>
      <c r="F33" s="38"/>
      <c r="G33" s="35" t="s">
        <v>510</v>
      </c>
      <c r="H33" s="36"/>
      <c r="I33" s="37" t="s">
        <v>497</v>
      </c>
      <c r="J33" s="37" t="s">
        <v>497</v>
      </c>
    </row>
    <row r="34" spans="2:10" ht="28.8" customHeight="1" x14ac:dyDescent="0.3">
      <c r="B34" s="32"/>
      <c r="C34" s="33"/>
      <c r="D34" s="35" t="s">
        <v>701</v>
      </c>
      <c r="E34" s="34">
        <v>0.6</v>
      </c>
      <c r="F34" s="38"/>
      <c r="G34" s="35" t="s">
        <v>510</v>
      </c>
      <c r="H34" s="36"/>
      <c r="I34" s="37" t="s">
        <v>497</v>
      </c>
      <c r="J34" s="37" t="s">
        <v>497</v>
      </c>
    </row>
    <row r="35" spans="2:10" x14ac:dyDescent="0.3">
      <c r="B35" s="32"/>
      <c r="C35" s="33"/>
      <c r="D35" s="35" t="s">
        <v>702</v>
      </c>
      <c r="E35" s="34">
        <v>1.44E-4</v>
      </c>
      <c r="F35" s="38"/>
      <c r="G35" s="35" t="s">
        <v>512</v>
      </c>
      <c r="H35" s="36"/>
      <c r="I35" s="37" t="s">
        <v>497</v>
      </c>
      <c r="J35" s="37" t="s">
        <v>497</v>
      </c>
    </row>
    <row r="36" spans="2:10" x14ac:dyDescent="0.3">
      <c r="B36" s="32"/>
      <c r="C36" s="33" t="s">
        <v>513</v>
      </c>
      <c r="D36" s="33"/>
      <c r="E36" s="34"/>
      <c r="F36" s="34"/>
      <c r="G36" s="35"/>
      <c r="H36" s="36"/>
      <c r="I36" s="37"/>
      <c r="J36" s="37"/>
    </row>
    <row r="37" spans="2:10" x14ac:dyDescent="0.3">
      <c r="B37" s="32"/>
      <c r="C37" s="33"/>
      <c r="D37" s="35" t="s">
        <v>703</v>
      </c>
      <c r="E37" s="104"/>
      <c r="F37" s="104"/>
      <c r="G37" s="35" t="s">
        <v>514</v>
      </c>
      <c r="H37" s="36"/>
      <c r="I37" s="37"/>
      <c r="J37" s="37"/>
    </row>
    <row r="38" spans="2:10" ht="28.8" customHeight="1" x14ac:dyDescent="0.3">
      <c r="B38" s="32"/>
      <c r="C38" s="33"/>
      <c r="D38" s="35" t="s">
        <v>515</v>
      </c>
      <c r="E38" s="34">
        <v>0.7</v>
      </c>
      <c r="F38" s="38"/>
      <c r="G38" s="35" t="s">
        <v>704</v>
      </c>
      <c r="H38" s="36"/>
      <c r="I38" s="37" t="s">
        <v>497</v>
      </c>
      <c r="J38" s="37" t="s">
        <v>497</v>
      </c>
    </row>
    <row r="39" spans="2:10" x14ac:dyDescent="0.3">
      <c r="B39" s="32"/>
      <c r="C39" s="33" t="s">
        <v>516</v>
      </c>
      <c r="D39" s="33"/>
      <c r="E39" s="34"/>
      <c r="F39" s="34"/>
      <c r="G39" s="35"/>
      <c r="H39" s="36"/>
      <c r="I39" s="37"/>
      <c r="J39" s="37"/>
    </row>
    <row r="40" spans="2:10" x14ac:dyDescent="0.3">
      <c r="B40" s="32"/>
      <c r="C40" s="33"/>
      <c r="D40" s="35" t="s">
        <v>705</v>
      </c>
      <c r="E40" s="104"/>
      <c r="F40" s="104"/>
      <c r="G40" s="35" t="s">
        <v>676</v>
      </c>
      <c r="H40" s="36"/>
      <c r="I40" s="37"/>
      <c r="J40" s="37"/>
    </row>
    <row r="41" spans="2:10" ht="28.8" customHeight="1" x14ac:dyDescent="0.3">
      <c r="B41" s="32"/>
      <c r="C41" s="33"/>
      <c r="D41" s="35" t="s">
        <v>706</v>
      </c>
      <c r="E41" s="34">
        <v>0.65</v>
      </c>
      <c r="F41" s="38"/>
      <c r="G41" s="35" t="s">
        <v>707</v>
      </c>
      <c r="H41" s="36"/>
      <c r="I41" s="37" t="s">
        <v>497</v>
      </c>
      <c r="J41" s="37" t="s">
        <v>497</v>
      </c>
    </row>
    <row r="42" spans="2:10" ht="28.8" customHeight="1" x14ac:dyDescent="0.3">
      <c r="B42" s="32"/>
      <c r="C42" s="33"/>
      <c r="D42" s="35" t="s">
        <v>708</v>
      </c>
      <c r="E42" s="105" t="s">
        <v>709</v>
      </c>
      <c r="F42" s="105"/>
      <c r="G42" s="35" t="s">
        <v>517</v>
      </c>
      <c r="H42" s="36"/>
      <c r="I42" s="37"/>
      <c r="J42" s="37"/>
    </row>
    <row r="43" spans="2:10" ht="28.8" customHeight="1" x14ac:dyDescent="0.3">
      <c r="B43" s="32"/>
      <c r="C43" s="33"/>
      <c r="D43" s="35" t="s">
        <v>710</v>
      </c>
      <c r="E43" s="105" t="s">
        <v>711</v>
      </c>
      <c r="F43" s="105"/>
      <c r="G43" s="35" t="s">
        <v>517</v>
      </c>
      <c r="H43" s="36"/>
      <c r="I43" s="37"/>
      <c r="J43" s="37"/>
    </row>
    <row r="44" spans="2:10" ht="28.8" customHeight="1" x14ac:dyDescent="0.3">
      <c r="B44" s="32"/>
      <c r="C44" s="33"/>
      <c r="D44" s="35" t="s">
        <v>518</v>
      </c>
      <c r="E44" s="34">
        <v>2</v>
      </c>
      <c r="F44" s="38" t="str">
        <f>_xlfn.CONCAT("(",I44,", ",J44,")")</f>
        <v>(1.83, 2.19)</v>
      </c>
      <c r="G44" s="35" t="s">
        <v>712</v>
      </c>
      <c r="H44" s="36"/>
      <c r="I44" s="37">
        <v>1.83</v>
      </c>
      <c r="J44" s="37">
        <v>2.19</v>
      </c>
    </row>
    <row r="45" spans="2:10" ht="28.8" customHeight="1" x14ac:dyDescent="0.3">
      <c r="B45" s="32"/>
      <c r="C45" s="33"/>
      <c r="D45" s="35" t="s">
        <v>713</v>
      </c>
      <c r="E45" s="34">
        <v>4.0599999999999996</v>
      </c>
      <c r="F45" s="38" t="str">
        <f>_xlfn.CONCAT("(",I45,", ",J45,")")</f>
        <v>(3.06, 5.4)</v>
      </c>
      <c r="G45" s="35" t="s">
        <v>714</v>
      </c>
      <c r="H45" s="36"/>
      <c r="I45" s="37">
        <v>3.06</v>
      </c>
      <c r="J45" s="37">
        <v>5.4</v>
      </c>
    </row>
    <row r="46" spans="2:10" ht="28.8" customHeight="1" x14ac:dyDescent="0.3">
      <c r="B46" s="32"/>
      <c r="C46" s="33"/>
      <c r="D46" s="35" t="s">
        <v>715</v>
      </c>
      <c r="E46" s="34">
        <v>2.73</v>
      </c>
      <c r="F46" s="38" t="str">
        <f>_xlfn.CONCAT("(",I46,", ",J46,")")</f>
        <v>(2.21, 3.37)</v>
      </c>
      <c r="G46" s="35" t="s">
        <v>714</v>
      </c>
      <c r="H46" s="36"/>
      <c r="I46" s="37">
        <v>2.21</v>
      </c>
      <c r="J46" s="37">
        <v>3.37</v>
      </c>
    </row>
    <row r="47" spans="2:10" ht="28.8" customHeight="1" x14ac:dyDescent="0.3">
      <c r="B47" s="32"/>
      <c r="C47" s="33"/>
      <c r="D47" s="35" t="s">
        <v>716</v>
      </c>
      <c r="E47" s="34">
        <v>0.111</v>
      </c>
      <c r="F47" s="38"/>
      <c r="G47" s="35" t="s">
        <v>717</v>
      </c>
      <c r="H47" s="36"/>
      <c r="I47" s="37" t="s">
        <v>497</v>
      </c>
      <c r="J47" s="37" t="s">
        <v>497</v>
      </c>
    </row>
    <row r="48" spans="2:10" ht="28.8" customHeight="1" x14ac:dyDescent="0.3">
      <c r="B48" s="32"/>
      <c r="C48" s="33"/>
      <c r="D48" s="35" t="s">
        <v>718</v>
      </c>
      <c r="E48" s="34">
        <v>4.5999999999999999E-2</v>
      </c>
      <c r="F48" s="38"/>
      <c r="G48" s="35" t="s">
        <v>717</v>
      </c>
      <c r="H48" s="36"/>
      <c r="I48" s="37" t="s">
        <v>497</v>
      </c>
      <c r="J48" s="37" t="s">
        <v>497</v>
      </c>
    </row>
    <row r="49" spans="2:10" x14ac:dyDescent="0.3">
      <c r="B49" s="32"/>
      <c r="C49" s="33" t="s">
        <v>519</v>
      </c>
      <c r="D49" s="33"/>
      <c r="E49" s="34"/>
      <c r="F49" s="34"/>
      <c r="G49" s="35"/>
      <c r="H49" s="36"/>
      <c r="I49" s="37"/>
      <c r="J49" s="37"/>
    </row>
    <row r="50" spans="2:10" x14ac:dyDescent="0.3">
      <c r="B50" s="32"/>
      <c r="C50" s="33"/>
      <c r="D50" s="35" t="s">
        <v>719</v>
      </c>
      <c r="E50" s="104"/>
      <c r="F50" s="104"/>
      <c r="G50" s="35" t="s">
        <v>676</v>
      </c>
      <c r="H50" s="36"/>
      <c r="I50" s="37"/>
      <c r="J50" s="37"/>
    </row>
    <row r="51" spans="2:10" x14ac:dyDescent="0.3">
      <c r="B51" s="32"/>
      <c r="C51" s="33"/>
      <c r="D51" s="35" t="s">
        <v>720</v>
      </c>
      <c r="E51" s="104"/>
      <c r="F51" s="104"/>
      <c r="G51" s="35" t="s">
        <v>676</v>
      </c>
      <c r="H51" s="36"/>
      <c r="I51" s="37"/>
      <c r="J51" s="37"/>
    </row>
    <row r="52" spans="2:10" ht="28.8" customHeight="1" x14ac:dyDescent="0.3">
      <c r="B52" s="32"/>
      <c r="C52" s="33"/>
      <c r="D52" s="35" t="s">
        <v>721</v>
      </c>
      <c r="E52" s="105" t="s">
        <v>722</v>
      </c>
      <c r="F52" s="105"/>
      <c r="G52" s="35" t="s">
        <v>517</v>
      </c>
      <c r="H52" s="36"/>
      <c r="I52" s="37"/>
      <c r="J52" s="37"/>
    </row>
    <row r="53" spans="2:10" x14ac:dyDescent="0.3">
      <c r="B53" s="25" t="s">
        <v>520</v>
      </c>
      <c r="C53" s="26"/>
      <c r="D53" s="27"/>
      <c r="E53" s="28"/>
      <c r="F53" s="28"/>
      <c r="G53" s="29"/>
      <c r="H53" s="30"/>
      <c r="I53" s="31"/>
      <c r="J53" s="31"/>
    </row>
    <row r="54" spans="2:10" x14ac:dyDescent="0.3">
      <c r="B54" s="32"/>
      <c r="C54" s="33"/>
      <c r="D54" s="35" t="s">
        <v>723</v>
      </c>
      <c r="E54" s="104"/>
      <c r="F54" s="104"/>
      <c r="G54" s="35" t="s">
        <v>521</v>
      </c>
      <c r="H54" s="36"/>
      <c r="I54" s="37"/>
      <c r="J54" s="37"/>
    </row>
    <row r="55" spans="2:10" x14ac:dyDescent="0.3">
      <c r="B55" s="25" t="s">
        <v>724</v>
      </c>
      <c r="C55" s="26"/>
      <c r="D55" s="27"/>
      <c r="E55" s="28"/>
      <c r="F55" s="28"/>
      <c r="G55" s="29"/>
      <c r="H55" s="30"/>
      <c r="I55" s="31"/>
      <c r="J55" s="31"/>
    </row>
    <row r="56" spans="2:10" x14ac:dyDescent="0.3">
      <c r="B56" s="32"/>
      <c r="C56" s="33"/>
      <c r="D56" s="35" t="s">
        <v>725</v>
      </c>
      <c r="E56" s="104"/>
      <c r="F56" s="104"/>
      <c r="G56" s="35" t="s">
        <v>676</v>
      </c>
      <c r="H56" s="36"/>
      <c r="I56" s="37"/>
      <c r="J56" s="37"/>
    </row>
    <row r="57" spans="2:10" ht="28.8" customHeight="1" x14ac:dyDescent="0.3">
      <c r="B57" s="32"/>
      <c r="C57" s="33"/>
      <c r="D57" s="35" t="s">
        <v>726</v>
      </c>
      <c r="E57" s="105" t="s">
        <v>727</v>
      </c>
      <c r="F57" s="105"/>
      <c r="G57" s="35" t="s">
        <v>728</v>
      </c>
      <c r="H57" s="36"/>
      <c r="I57" s="37"/>
      <c r="J57" s="37"/>
    </row>
    <row r="58" spans="2:10" ht="43.2" customHeight="1" x14ac:dyDescent="0.3">
      <c r="B58" s="32"/>
      <c r="C58" s="33"/>
      <c r="D58" s="35" t="s">
        <v>729</v>
      </c>
      <c r="E58" s="105" t="s">
        <v>727</v>
      </c>
      <c r="F58" s="105"/>
      <c r="G58" s="35" t="s">
        <v>730</v>
      </c>
      <c r="H58" s="36"/>
      <c r="I58" s="37"/>
      <c r="J58" s="37"/>
    </row>
    <row r="59" spans="2:10" ht="43.2" customHeight="1" x14ac:dyDescent="0.3">
      <c r="B59" s="32"/>
      <c r="C59" s="33"/>
      <c r="D59" s="35" t="s">
        <v>731</v>
      </c>
      <c r="E59" s="105" t="s">
        <v>732</v>
      </c>
      <c r="F59" s="105"/>
      <c r="G59" s="35" t="s">
        <v>733</v>
      </c>
      <c r="H59" s="36"/>
      <c r="I59" s="37"/>
      <c r="J59" s="37"/>
    </row>
    <row r="60" spans="2:10" x14ac:dyDescent="0.3">
      <c r="B60" s="55"/>
      <c r="C60" s="55"/>
      <c r="D60" s="55"/>
      <c r="E60" s="55"/>
      <c r="F60" s="55"/>
      <c r="G60" s="55"/>
    </row>
    <row r="61" spans="2:10" ht="62.4" customHeight="1" x14ac:dyDescent="0.3">
      <c r="B61" s="106" t="s">
        <v>740</v>
      </c>
      <c r="C61" s="106"/>
      <c r="D61" s="106"/>
      <c r="E61" s="113"/>
      <c r="F61" s="113"/>
      <c r="G61" s="113"/>
    </row>
    <row r="62" spans="2:10" x14ac:dyDescent="0.3">
      <c r="B62" s="39" t="s">
        <v>522</v>
      </c>
      <c r="C62" s="39"/>
      <c r="D62" s="107" t="s">
        <v>523</v>
      </c>
      <c r="E62" s="107"/>
      <c r="F62" s="107"/>
      <c r="G62" s="107"/>
    </row>
    <row r="63" spans="2:10" ht="43.2" customHeight="1" x14ac:dyDescent="0.3">
      <c r="B63" s="39" t="s">
        <v>524</v>
      </c>
      <c r="C63" s="39"/>
      <c r="D63" s="107" t="s">
        <v>734</v>
      </c>
      <c r="E63" s="107"/>
      <c r="F63" s="107"/>
      <c r="G63" s="107"/>
    </row>
    <row r="64" spans="2:10" ht="57.6" customHeight="1" x14ac:dyDescent="0.3">
      <c r="B64" s="114" t="s">
        <v>525</v>
      </c>
      <c r="C64" s="114"/>
      <c r="D64" s="115" t="s">
        <v>735</v>
      </c>
      <c r="E64" s="115"/>
      <c r="F64" s="115"/>
      <c r="G64" s="115"/>
    </row>
    <row r="65" spans="2:7" ht="28.8" customHeight="1" x14ac:dyDescent="0.3">
      <c r="B65" s="39" t="s">
        <v>736</v>
      </c>
      <c r="C65" s="39"/>
      <c r="D65" s="107" t="s">
        <v>737</v>
      </c>
      <c r="E65" s="107"/>
      <c r="F65" s="107"/>
      <c r="G65" s="107"/>
    </row>
    <row r="66" spans="2:7" ht="28.8" customHeight="1" x14ac:dyDescent="0.3">
      <c r="B66" s="41" t="s">
        <v>738</v>
      </c>
      <c r="C66" s="41"/>
      <c r="D66" s="108" t="s">
        <v>739</v>
      </c>
      <c r="E66" s="108"/>
      <c r="F66" s="108"/>
      <c r="G66" s="108"/>
    </row>
  </sheetData>
  <mergeCells count="30">
    <mergeCell ref="D62:G62"/>
    <mergeCell ref="D63:G63"/>
    <mergeCell ref="D64:G64"/>
    <mergeCell ref="D65:G65"/>
    <mergeCell ref="D66:G66"/>
    <mergeCell ref="E56:F56"/>
    <mergeCell ref="E57:F57"/>
    <mergeCell ref="E58:F58"/>
    <mergeCell ref="E59:F59"/>
    <mergeCell ref="B61:G61"/>
    <mergeCell ref="E43:F43"/>
    <mergeCell ref="E50:F50"/>
    <mergeCell ref="E51:F51"/>
    <mergeCell ref="E52:F52"/>
    <mergeCell ref="E54:F54"/>
    <mergeCell ref="E22:F22"/>
    <mergeCell ref="E23:F23"/>
    <mergeCell ref="E37:F37"/>
    <mergeCell ref="E40:F40"/>
    <mergeCell ref="E42:F42"/>
    <mergeCell ref="E12:F12"/>
    <mergeCell ref="E14:F14"/>
    <mergeCell ref="E16:F16"/>
    <mergeCell ref="E17:F17"/>
    <mergeCell ref="E20:F20"/>
    <mergeCell ref="B3:D3"/>
    <mergeCell ref="E6:F6"/>
    <mergeCell ref="E8:F8"/>
    <mergeCell ref="E9:F9"/>
    <mergeCell ref="E10:F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4E880-26E5-4A2E-8187-C61B9D0A48B9}">
  <sheetPr>
    <tabColor theme="2"/>
  </sheetPr>
  <dimension ref="A1:J15"/>
  <sheetViews>
    <sheetView showGridLines="0" zoomScaleNormal="100" workbookViewId="0"/>
  </sheetViews>
  <sheetFormatPr defaultColWidth="8.6640625" defaultRowHeight="13.8" x14ac:dyDescent="0.25"/>
  <cols>
    <col min="1" max="1" width="2" style="42" customWidth="1"/>
    <col min="2" max="2" width="17.109375" style="42" customWidth="1"/>
    <col min="3" max="9" width="10.109375" style="42" customWidth="1"/>
    <col min="10" max="16384" width="8.6640625" style="42"/>
  </cols>
  <sheetData>
    <row r="1" spans="1:10" x14ac:dyDescent="0.25">
      <c r="A1" s="100" t="s">
        <v>670</v>
      </c>
    </row>
    <row r="3" spans="1:10" ht="26.4" x14ac:dyDescent="0.25">
      <c r="B3" s="101" t="s">
        <v>526</v>
      </c>
      <c r="C3" s="102" t="s">
        <v>513</v>
      </c>
      <c r="D3" s="102" t="s">
        <v>519</v>
      </c>
      <c r="E3" s="102" t="s">
        <v>503</v>
      </c>
      <c r="F3" s="102" t="s">
        <v>498</v>
      </c>
      <c r="G3" s="102" t="s">
        <v>508</v>
      </c>
      <c r="H3" s="102" t="s">
        <v>516</v>
      </c>
      <c r="I3" s="102" t="s">
        <v>496</v>
      </c>
      <c r="J3" s="43"/>
    </row>
    <row r="4" spans="1:10" ht="15.9" customHeight="1" x14ac:dyDescent="0.25">
      <c r="B4" s="44" t="s">
        <v>527</v>
      </c>
      <c r="C4" s="45"/>
      <c r="D4" s="45"/>
      <c r="E4" s="45"/>
      <c r="F4" s="45"/>
      <c r="G4" s="45"/>
      <c r="H4" s="45"/>
      <c r="I4" s="45"/>
      <c r="J4" s="43"/>
    </row>
    <row r="5" spans="1:10" ht="15.9" customHeight="1" x14ac:dyDescent="0.25">
      <c r="B5" s="46" t="s">
        <v>528</v>
      </c>
      <c r="C5" s="47">
        <v>0</v>
      </c>
      <c r="D5" s="47">
        <v>0</v>
      </c>
      <c r="E5" s="47">
        <v>0</v>
      </c>
      <c r="F5" s="47">
        <v>0</v>
      </c>
      <c r="G5" s="47"/>
      <c r="H5" s="47">
        <v>0</v>
      </c>
      <c r="I5" s="47">
        <v>0</v>
      </c>
    </row>
    <row r="6" spans="1:10" ht="15.9" customHeight="1" x14ac:dyDescent="0.25">
      <c r="B6" s="46" t="s">
        <v>529</v>
      </c>
      <c r="C6" s="47">
        <v>0</v>
      </c>
      <c r="D6" s="47">
        <v>0</v>
      </c>
      <c r="E6" s="47">
        <v>0</v>
      </c>
      <c r="F6" s="47">
        <v>0</v>
      </c>
      <c r="G6" s="47"/>
      <c r="H6" s="47">
        <v>0</v>
      </c>
      <c r="I6" s="47">
        <v>0</v>
      </c>
    </row>
    <row r="7" spans="1:10" ht="15.9" customHeight="1" x14ac:dyDescent="0.25">
      <c r="B7" s="48" t="s">
        <v>530</v>
      </c>
      <c r="C7" s="47">
        <v>0</v>
      </c>
      <c r="D7" s="47">
        <v>0</v>
      </c>
      <c r="E7" s="47">
        <v>0</v>
      </c>
      <c r="F7" s="47">
        <v>0</v>
      </c>
      <c r="G7" s="47"/>
      <c r="H7" s="47">
        <v>0</v>
      </c>
      <c r="I7" s="47">
        <v>0</v>
      </c>
    </row>
    <row r="8" spans="1:10" ht="15.9" customHeight="1" x14ac:dyDescent="0.25">
      <c r="B8" s="49" t="s">
        <v>531</v>
      </c>
      <c r="C8" s="50"/>
      <c r="D8" s="50"/>
      <c r="E8" s="50"/>
      <c r="F8" s="50"/>
      <c r="G8" s="50"/>
      <c r="H8" s="50"/>
      <c r="I8" s="50"/>
    </row>
    <row r="9" spans="1:10" ht="15.9" customHeight="1" x14ac:dyDescent="0.25">
      <c r="B9" s="46" t="s">
        <v>532</v>
      </c>
      <c r="C9" s="47"/>
      <c r="D9" s="47">
        <v>3</v>
      </c>
      <c r="E9" s="47">
        <v>1</v>
      </c>
      <c r="F9" s="47">
        <v>1</v>
      </c>
      <c r="G9" s="47"/>
      <c r="H9" s="47">
        <v>1</v>
      </c>
      <c r="I9" s="47">
        <v>2</v>
      </c>
    </row>
    <row r="10" spans="1:10" ht="15.9" customHeight="1" x14ac:dyDescent="0.25">
      <c r="B10" s="51" t="s">
        <v>519</v>
      </c>
      <c r="C10" s="47"/>
      <c r="D10" s="47"/>
      <c r="E10" s="47">
        <v>1</v>
      </c>
      <c r="F10" s="47">
        <v>1</v>
      </c>
      <c r="G10" s="47"/>
      <c r="H10" s="47">
        <v>1</v>
      </c>
      <c r="I10" s="47">
        <v>2</v>
      </c>
    </row>
    <row r="11" spans="1:10" ht="15.9" customHeight="1" x14ac:dyDescent="0.25">
      <c r="B11" s="51" t="s">
        <v>503</v>
      </c>
      <c r="C11" s="47"/>
      <c r="D11" s="47"/>
      <c r="E11" s="47"/>
      <c r="F11" s="47"/>
      <c r="G11" s="47"/>
      <c r="H11" s="47"/>
      <c r="I11" s="47">
        <v>3</v>
      </c>
    </row>
    <row r="12" spans="1:10" ht="15.9" customHeight="1" x14ac:dyDescent="0.25">
      <c r="B12" s="51" t="s">
        <v>498</v>
      </c>
      <c r="C12" s="47"/>
      <c r="D12" s="47"/>
      <c r="E12" s="47"/>
      <c r="F12" s="47"/>
      <c r="G12" s="47">
        <v>0</v>
      </c>
      <c r="H12" s="47"/>
      <c r="I12" s="47">
        <v>3</v>
      </c>
    </row>
    <row r="13" spans="1:10" ht="15.9" customHeight="1" x14ac:dyDescent="0.25">
      <c r="B13" s="51" t="s">
        <v>508</v>
      </c>
      <c r="C13" s="47"/>
      <c r="D13" s="47"/>
      <c r="E13" s="47"/>
      <c r="F13" s="47"/>
      <c r="G13" s="47"/>
      <c r="H13" s="47"/>
      <c r="I13" s="47">
        <v>1</v>
      </c>
    </row>
    <row r="14" spans="1:10" ht="57" x14ac:dyDescent="0.25">
      <c r="B14" s="52" t="s">
        <v>741</v>
      </c>
      <c r="C14" s="53" t="s">
        <v>533</v>
      </c>
      <c r="D14" s="54" t="s">
        <v>534</v>
      </c>
      <c r="E14" s="54" t="s">
        <v>535</v>
      </c>
      <c r="F14" s="54" t="s">
        <v>536</v>
      </c>
      <c r="G14" s="54" t="s">
        <v>512</v>
      </c>
      <c r="H14" s="54" t="s">
        <v>537</v>
      </c>
      <c r="I14" s="54" t="s">
        <v>538</v>
      </c>
    </row>
    <row r="15" spans="1:10" ht="125.4" customHeight="1" x14ac:dyDescent="0.25">
      <c r="B15" s="110" t="s">
        <v>742</v>
      </c>
      <c r="C15" s="110"/>
      <c r="D15" s="110"/>
      <c r="E15" s="110"/>
      <c r="F15" s="110"/>
      <c r="G15" s="110"/>
      <c r="H15" s="110"/>
      <c r="I15" s="110"/>
    </row>
  </sheetData>
  <mergeCells count="1">
    <mergeCell ref="B15:I15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08F0519-D480-4865-9AE9-B701A699916B}">
            <x14:iconSet iconSet="4RedToBlack" showValue="0" custom="1">
              <x14:cfvo type="percent">
                <xm:f>0</xm:f>
              </x14:cfvo>
              <x14:cfvo type="percent">
                <xm:f>25</xm:f>
              </x14:cfvo>
              <x14:cfvo type="percent">
                <xm:f>50</xm:f>
              </x14:cfvo>
              <x14:cfvo type="percent">
                <xm:f>75</xm:f>
              </x14:cfvo>
              <x14:cfIcon iconSet="4RedToBlack" iconId="0"/>
              <x14:cfIcon iconSet="3Symbols2" iconId="2"/>
              <x14:cfIcon iconSet="3TrafficLights1" iconId="2"/>
              <x14:cfIcon iconSet="3Arrows" iconId="2"/>
            </x14:iconSet>
          </x14:cfRule>
          <xm:sqref>C4:I13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680C9-039E-42A9-9860-FA47B0EB2E15}">
  <sheetPr>
    <tabColor theme="8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377F3-9177-4521-A79F-03F062057819}">
  <sheetPr>
    <tabColor theme="6" tint="0.79998168889431442"/>
  </sheetPr>
  <dimension ref="A1:D36"/>
  <sheetViews>
    <sheetView workbookViewId="0">
      <selection activeCell="A2" sqref="A2"/>
    </sheetView>
  </sheetViews>
  <sheetFormatPr defaultRowHeight="14.4" x14ac:dyDescent="0.3"/>
  <cols>
    <col min="2" max="2" width="16.5546875" style="2" customWidth="1"/>
    <col min="3" max="3" width="48.109375" style="2" customWidth="1"/>
    <col min="4" max="4" width="15.109375" customWidth="1"/>
  </cols>
  <sheetData>
    <row r="1" spans="1:4" x14ac:dyDescent="0.3">
      <c r="A1" s="56" t="s">
        <v>671</v>
      </c>
    </row>
    <row r="2" spans="1:4" ht="15" thickBot="1" x14ac:dyDescent="0.35"/>
    <row r="3" spans="1:4" x14ac:dyDescent="0.3">
      <c r="B3" s="57" t="s">
        <v>539</v>
      </c>
      <c r="C3" s="57" t="s">
        <v>540</v>
      </c>
      <c r="D3" s="57" t="s">
        <v>541</v>
      </c>
    </row>
    <row r="4" spans="1:4" x14ac:dyDescent="0.3">
      <c r="B4" s="58" t="s">
        <v>542</v>
      </c>
      <c r="C4" s="40"/>
      <c r="D4" s="40"/>
    </row>
    <row r="5" spans="1:4" ht="28.8" x14ac:dyDescent="0.3">
      <c r="B5" s="40" t="s">
        <v>528</v>
      </c>
      <c r="C5" s="40" t="s">
        <v>543</v>
      </c>
      <c r="D5" s="40" t="s">
        <v>544</v>
      </c>
    </row>
    <row r="6" spans="1:4" x14ac:dyDescent="0.3">
      <c r="B6" s="59" t="s">
        <v>545</v>
      </c>
      <c r="C6" s="60" t="s">
        <v>546</v>
      </c>
      <c r="D6" s="61" t="s">
        <v>547</v>
      </c>
    </row>
    <row r="7" spans="1:4" x14ac:dyDescent="0.3">
      <c r="B7" s="62" t="s">
        <v>0</v>
      </c>
      <c r="C7" s="62" t="s">
        <v>548</v>
      </c>
      <c r="D7" s="18"/>
    </row>
    <row r="8" spans="1:4" ht="43.2" x14ac:dyDescent="0.3">
      <c r="B8" s="62" t="s">
        <v>2</v>
      </c>
      <c r="C8" s="62" t="s">
        <v>549</v>
      </c>
      <c r="D8" s="18" t="s">
        <v>550</v>
      </c>
    </row>
    <row r="9" spans="1:4" ht="28.8" x14ac:dyDescent="0.3">
      <c r="B9" s="60" t="s">
        <v>551</v>
      </c>
      <c r="C9" s="62" t="s">
        <v>552</v>
      </c>
      <c r="D9" s="18" t="s">
        <v>550</v>
      </c>
    </row>
    <row r="10" spans="1:4" ht="28.8" x14ac:dyDescent="0.3">
      <c r="B10" s="62" t="s">
        <v>553</v>
      </c>
      <c r="C10" s="62" t="s">
        <v>554</v>
      </c>
      <c r="D10" s="61" t="s">
        <v>555</v>
      </c>
    </row>
    <row r="11" spans="1:4" x14ac:dyDescent="0.3">
      <c r="B11" s="58" t="s">
        <v>556</v>
      </c>
      <c r="C11" s="62"/>
      <c r="D11" s="61"/>
    </row>
    <row r="12" spans="1:4" ht="28.8" x14ac:dyDescent="0.3">
      <c r="B12" s="59" t="s">
        <v>557</v>
      </c>
      <c r="C12" s="60" t="s">
        <v>558</v>
      </c>
      <c r="D12" s="18" t="s">
        <v>547</v>
      </c>
    </row>
    <row r="13" spans="1:4" ht="28.8" x14ac:dyDescent="0.3">
      <c r="B13" s="63" t="s">
        <v>559</v>
      </c>
      <c r="C13" s="62" t="s">
        <v>560</v>
      </c>
      <c r="D13" s="18" t="s">
        <v>547</v>
      </c>
    </row>
    <row r="14" spans="1:4" ht="28.8" x14ac:dyDescent="0.3">
      <c r="B14" s="63" t="s">
        <v>561</v>
      </c>
      <c r="C14" s="62" t="s">
        <v>562</v>
      </c>
      <c r="D14" s="18" t="s">
        <v>547</v>
      </c>
    </row>
    <row r="15" spans="1:4" ht="28.8" x14ac:dyDescent="0.3">
      <c r="B15" s="63" t="s">
        <v>563</v>
      </c>
      <c r="C15" s="62" t="s">
        <v>564</v>
      </c>
      <c r="D15" s="18" t="s">
        <v>547</v>
      </c>
    </row>
    <row r="16" spans="1:4" x14ac:dyDescent="0.3">
      <c r="B16" s="63" t="s">
        <v>565</v>
      </c>
      <c r="C16" s="62" t="s">
        <v>566</v>
      </c>
      <c r="D16" s="18" t="s">
        <v>547</v>
      </c>
    </row>
    <row r="17" spans="2:4" x14ac:dyDescent="0.3">
      <c r="B17" s="63" t="s">
        <v>567</v>
      </c>
      <c r="C17" s="62" t="s">
        <v>568</v>
      </c>
      <c r="D17" s="18" t="s">
        <v>547</v>
      </c>
    </row>
    <row r="18" spans="2:4" x14ac:dyDescent="0.3">
      <c r="B18" s="63" t="s">
        <v>569</v>
      </c>
      <c r="C18" s="62" t="s">
        <v>570</v>
      </c>
      <c r="D18" s="18" t="s">
        <v>547</v>
      </c>
    </row>
    <row r="19" spans="2:4" x14ac:dyDescent="0.3">
      <c r="B19" s="64" t="s">
        <v>571</v>
      </c>
      <c r="C19" s="65" t="s">
        <v>572</v>
      </c>
      <c r="D19" s="66" t="s">
        <v>547</v>
      </c>
    </row>
    <row r="20" spans="2:4" x14ac:dyDescent="0.3">
      <c r="B20" s="67" t="s">
        <v>573</v>
      </c>
      <c r="C20" s="60"/>
      <c r="D20" s="18"/>
    </row>
    <row r="21" spans="2:4" x14ac:dyDescent="0.3">
      <c r="B21" s="59" t="s">
        <v>574</v>
      </c>
      <c r="C21" s="60" t="s">
        <v>575</v>
      </c>
      <c r="D21" s="18" t="s">
        <v>576</v>
      </c>
    </row>
    <row r="22" spans="2:4" x14ac:dyDescent="0.3">
      <c r="B22" s="68" t="s">
        <v>577</v>
      </c>
      <c r="C22" s="69" t="s">
        <v>578</v>
      </c>
      <c r="D22" s="55"/>
    </row>
    <row r="23" spans="2:4" x14ac:dyDescent="0.3">
      <c r="B23" s="70" t="s">
        <v>579</v>
      </c>
      <c r="C23" s="62"/>
      <c r="D23" s="18"/>
    </row>
    <row r="24" spans="2:4" ht="28.8" x14ac:dyDescent="0.3">
      <c r="B24" s="62" t="s">
        <v>580</v>
      </c>
      <c r="C24" s="62" t="s">
        <v>581</v>
      </c>
      <c r="D24" s="18"/>
    </row>
    <row r="25" spans="2:4" x14ac:dyDescent="0.3">
      <c r="B25" s="62" t="s">
        <v>516</v>
      </c>
      <c r="C25" s="18" t="s">
        <v>582</v>
      </c>
      <c r="D25" s="18" t="s">
        <v>583</v>
      </c>
    </row>
    <row r="26" spans="2:4" x14ac:dyDescent="0.3">
      <c r="B26" s="62" t="s">
        <v>584</v>
      </c>
      <c r="C26" s="18" t="s">
        <v>585</v>
      </c>
      <c r="D26" s="18" t="s">
        <v>583</v>
      </c>
    </row>
    <row r="27" spans="2:4" x14ac:dyDescent="0.3">
      <c r="B27" s="62" t="s">
        <v>586</v>
      </c>
      <c r="C27" s="18" t="s">
        <v>587</v>
      </c>
      <c r="D27" s="18" t="s">
        <v>583</v>
      </c>
    </row>
    <row r="28" spans="2:4" x14ac:dyDescent="0.3">
      <c r="B28" s="62" t="s">
        <v>588</v>
      </c>
      <c r="C28" s="18" t="s">
        <v>589</v>
      </c>
      <c r="D28" s="18" t="s">
        <v>583</v>
      </c>
    </row>
    <row r="29" spans="2:4" x14ac:dyDescent="0.3">
      <c r="B29" s="62" t="s">
        <v>590</v>
      </c>
      <c r="C29" s="18" t="s">
        <v>591</v>
      </c>
      <c r="D29" s="18" t="s">
        <v>583</v>
      </c>
    </row>
    <row r="30" spans="2:4" x14ac:dyDescent="0.3">
      <c r="B30" s="62" t="s">
        <v>592</v>
      </c>
      <c r="C30" s="62" t="s">
        <v>593</v>
      </c>
      <c r="D30" s="18" t="s">
        <v>583</v>
      </c>
    </row>
    <row r="31" spans="2:4" x14ac:dyDescent="0.3">
      <c r="B31" s="62" t="s">
        <v>594</v>
      </c>
      <c r="C31" s="18" t="s">
        <v>595</v>
      </c>
      <c r="D31" s="18" t="s">
        <v>583</v>
      </c>
    </row>
    <row r="32" spans="2:4" x14ac:dyDescent="0.3">
      <c r="B32" s="59" t="s">
        <v>596</v>
      </c>
      <c r="C32" s="62" t="s">
        <v>597</v>
      </c>
      <c r="D32" s="18" t="s">
        <v>583</v>
      </c>
    </row>
    <row r="33" spans="2:4" ht="28.8" x14ac:dyDescent="0.3">
      <c r="B33" s="63" t="s">
        <v>598</v>
      </c>
      <c r="C33" s="62" t="s">
        <v>599</v>
      </c>
      <c r="D33" s="18" t="s">
        <v>583</v>
      </c>
    </row>
    <row r="34" spans="2:4" ht="28.8" x14ac:dyDescent="0.3">
      <c r="B34" s="63" t="s">
        <v>600</v>
      </c>
      <c r="C34" s="62" t="s">
        <v>601</v>
      </c>
      <c r="D34" s="18" t="s">
        <v>583</v>
      </c>
    </row>
    <row r="35" spans="2:4" ht="28.8" x14ac:dyDescent="0.3">
      <c r="B35" s="71" t="s">
        <v>602</v>
      </c>
      <c r="C35" s="72" t="s">
        <v>603</v>
      </c>
      <c r="D35" s="55" t="s">
        <v>583</v>
      </c>
    </row>
    <row r="36" spans="2:4" ht="48.9" customHeight="1" x14ac:dyDescent="0.3">
      <c r="B36" s="111" t="s">
        <v>604</v>
      </c>
      <c r="C36" s="111"/>
      <c r="D36" s="111"/>
    </row>
  </sheetData>
  <mergeCells count="1">
    <mergeCell ref="B36:D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15A3-34BF-4CB2-A347-C4B46167BC2C}">
  <sheetPr>
    <tabColor theme="6" tint="0.79998168889431442"/>
  </sheetPr>
  <dimension ref="A1:J12"/>
  <sheetViews>
    <sheetView workbookViewId="0">
      <selection activeCell="A2" sqref="A2"/>
    </sheetView>
  </sheetViews>
  <sheetFormatPr defaultRowHeight="14.4" x14ac:dyDescent="0.3"/>
  <cols>
    <col min="2" max="2" width="47.109375" style="73" customWidth="1"/>
    <col min="3" max="3" width="8.109375" customWidth="1"/>
    <col min="4" max="4" width="7.109375" style="2" customWidth="1"/>
    <col min="5" max="5" width="8.5546875" customWidth="1"/>
    <col min="6" max="6" width="7.5546875" customWidth="1"/>
    <col min="7" max="7" width="9.5546875" style="73" customWidth="1"/>
    <col min="8" max="9" width="12.5546875" style="2" customWidth="1"/>
    <col min="10" max="10" width="15.5546875" customWidth="1"/>
  </cols>
  <sheetData>
    <row r="1" spans="1:10" x14ac:dyDescent="0.3">
      <c r="A1" s="56" t="s">
        <v>672</v>
      </c>
    </row>
    <row r="2" spans="1:10" ht="15" thickBot="1" x14ac:dyDescent="0.35">
      <c r="B2" s="74"/>
      <c r="C2" s="75"/>
      <c r="D2" s="76"/>
      <c r="E2" s="75"/>
      <c r="F2" s="75"/>
      <c r="G2" s="74"/>
      <c r="H2" s="76"/>
      <c r="I2" s="76"/>
    </row>
    <row r="3" spans="1:10" ht="41.4" x14ac:dyDescent="0.3">
      <c r="B3" s="77" t="s">
        <v>605</v>
      </c>
      <c r="C3" s="78" t="s">
        <v>606</v>
      </c>
      <c r="D3" s="78" t="s">
        <v>607</v>
      </c>
      <c r="E3" s="78" t="s">
        <v>608</v>
      </c>
      <c r="F3" s="78" t="s">
        <v>609</v>
      </c>
      <c r="G3" s="77" t="s">
        <v>610</v>
      </c>
      <c r="H3" s="78" t="s">
        <v>611</v>
      </c>
      <c r="I3" s="78" t="s">
        <v>612</v>
      </c>
      <c r="J3" s="2"/>
    </row>
    <row r="4" spans="1:10" ht="55.2" x14ac:dyDescent="0.3">
      <c r="B4" s="79" t="s">
        <v>613</v>
      </c>
      <c r="C4" s="79">
        <v>1</v>
      </c>
      <c r="D4" s="79" t="s">
        <v>614</v>
      </c>
      <c r="E4" s="79" t="s">
        <v>615</v>
      </c>
      <c r="F4" s="80">
        <v>2368</v>
      </c>
      <c r="G4" s="79">
        <v>5.3</v>
      </c>
      <c r="H4" s="79" t="s">
        <v>616</v>
      </c>
      <c r="I4" s="79" t="s">
        <v>617</v>
      </c>
    </row>
    <row r="5" spans="1:10" ht="82.8" x14ac:dyDescent="0.3">
      <c r="B5" s="79" t="s">
        <v>618</v>
      </c>
      <c r="C5" s="79">
        <v>2</v>
      </c>
      <c r="D5" s="79" t="s">
        <v>614</v>
      </c>
      <c r="E5" s="79" t="s">
        <v>615</v>
      </c>
      <c r="F5" s="81">
        <v>9901</v>
      </c>
      <c r="G5" s="82">
        <v>5.4</v>
      </c>
      <c r="H5" s="79" t="s">
        <v>619</v>
      </c>
      <c r="I5" s="79" t="s">
        <v>594</v>
      </c>
    </row>
    <row r="6" spans="1:10" ht="69" x14ac:dyDescent="0.3">
      <c r="B6" s="79" t="s">
        <v>620</v>
      </c>
      <c r="C6" s="79">
        <v>3</v>
      </c>
      <c r="D6" s="79" t="s">
        <v>614</v>
      </c>
      <c r="E6" s="82" t="s">
        <v>459</v>
      </c>
      <c r="F6" s="81">
        <v>5145</v>
      </c>
      <c r="G6" s="82">
        <v>9.6</v>
      </c>
      <c r="H6" s="79" t="s">
        <v>621</v>
      </c>
      <c r="I6" s="79" t="s">
        <v>622</v>
      </c>
    </row>
    <row r="7" spans="1:10" ht="82.8" x14ac:dyDescent="0.3">
      <c r="B7" s="79" t="s">
        <v>623</v>
      </c>
      <c r="C7" s="79">
        <v>4</v>
      </c>
      <c r="D7" s="79" t="s">
        <v>614</v>
      </c>
      <c r="E7" s="79" t="s">
        <v>624</v>
      </c>
      <c r="F7" s="80">
        <v>5145</v>
      </c>
      <c r="G7" s="79">
        <v>15.6</v>
      </c>
      <c r="H7" s="79" t="s">
        <v>621</v>
      </c>
      <c r="I7" s="79" t="s">
        <v>508</v>
      </c>
    </row>
    <row r="8" spans="1:10" ht="96.6" x14ac:dyDescent="0.3">
      <c r="B8" s="79" t="s">
        <v>625</v>
      </c>
      <c r="C8" s="79">
        <v>5</v>
      </c>
      <c r="D8" s="79" t="s">
        <v>626</v>
      </c>
      <c r="E8" s="79" t="s">
        <v>615</v>
      </c>
      <c r="F8" s="80">
        <v>11140</v>
      </c>
      <c r="G8" s="79">
        <v>4.8</v>
      </c>
      <c r="H8" s="79"/>
      <c r="I8" s="79" t="s">
        <v>627</v>
      </c>
    </row>
    <row r="9" spans="1:10" ht="69" x14ac:dyDescent="0.3">
      <c r="B9" s="79" t="s">
        <v>628</v>
      </c>
      <c r="C9" s="79">
        <v>6</v>
      </c>
      <c r="D9" s="79" t="s">
        <v>626</v>
      </c>
      <c r="E9" s="79" t="s">
        <v>615</v>
      </c>
      <c r="F9" s="81">
        <v>11125</v>
      </c>
      <c r="G9" s="82" t="s">
        <v>629</v>
      </c>
      <c r="H9" s="79"/>
      <c r="I9" s="79" t="s">
        <v>627</v>
      </c>
    </row>
    <row r="10" spans="1:10" ht="69" x14ac:dyDescent="0.3">
      <c r="B10" s="79" t="s">
        <v>630</v>
      </c>
      <c r="C10" s="79">
        <v>7</v>
      </c>
      <c r="D10" s="79" t="s">
        <v>614</v>
      </c>
      <c r="E10" s="82" t="s">
        <v>459</v>
      </c>
      <c r="F10" s="80">
        <v>5145</v>
      </c>
      <c r="G10" s="79">
        <v>9.4</v>
      </c>
      <c r="H10" s="79" t="s">
        <v>621</v>
      </c>
      <c r="I10" s="79" t="s">
        <v>594</v>
      </c>
    </row>
    <row r="11" spans="1:10" ht="55.2" x14ac:dyDescent="0.3">
      <c r="B11" s="83" t="s">
        <v>631</v>
      </c>
      <c r="C11" s="83">
        <v>8</v>
      </c>
      <c r="D11" s="83" t="s">
        <v>614</v>
      </c>
      <c r="E11" s="83" t="s">
        <v>615</v>
      </c>
      <c r="F11" s="84">
        <v>4304</v>
      </c>
      <c r="G11" s="83">
        <v>2.4</v>
      </c>
      <c r="H11" s="83" t="s">
        <v>632</v>
      </c>
      <c r="I11" s="83" t="s">
        <v>633</v>
      </c>
    </row>
    <row r="12" spans="1:10" x14ac:dyDescent="0.3">
      <c r="B12" s="112" t="s">
        <v>634</v>
      </c>
      <c r="C12" s="112"/>
      <c r="D12" s="112"/>
      <c r="E12" s="112"/>
      <c r="F12" s="112"/>
      <c r="G12" s="112"/>
      <c r="H12" s="112"/>
      <c r="I12" s="112"/>
    </row>
  </sheetData>
  <mergeCells count="1">
    <mergeCell ref="B12:I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15A40-FA3A-47ED-B96A-AF600E5D930C}">
  <sheetPr>
    <tabColor theme="6" tint="0.79998168889431442"/>
  </sheetPr>
  <dimension ref="A1:J34"/>
  <sheetViews>
    <sheetView workbookViewId="0"/>
  </sheetViews>
  <sheetFormatPr defaultRowHeight="14.4" x14ac:dyDescent="0.3"/>
  <cols>
    <col min="2" max="3" width="6.5546875" customWidth="1"/>
    <col min="4" max="4" width="21.44140625" customWidth="1"/>
    <col min="5" max="5" width="10.88671875" customWidth="1"/>
    <col min="6" max="10" width="8.5546875" customWidth="1"/>
  </cols>
  <sheetData>
    <row r="1" spans="1:10" x14ac:dyDescent="0.3">
      <c r="A1" s="56" t="s">
        <v>673</v>
      </c>
    </row>
    <row r="3" spans="1:10" ht="24.6" x14ac:dyDescent="0.3">
      <c r="B3" s="85" t="s">
        <v>606</v>
      </c>
      <c r="C3" s="85" t="s">
        <v>635</v>
      </c>
      <c r="D3" s="85" t="s">
        <v>636</v>
      </c>
      <c r="E3" s="86" t="s">
        <v>637</v>
      </c>
      <c r="F3" s="86" t="s">
        <v>496</v>
      </c>
      <c r="G3" s="86" t="s">
        <v>503</v>
      </c>
      <c r="H3" s="86" t="s">
        <v>508</v>
      </c>
      <c r="I3" s="86" t="s">
        <v>594</v>
      </c>
      <c r="J3" s="86" t="s">
        <v>516</v>
      </c>
    </row>
    <row r="4" spans="1:10" ht="24" x14ac:dyDescent="0.3">
      <c r="B4" s="87">
        <v>1</v>
      </c>
      <c r="C4" s="87">
        <v>1</v>
      </c>
      <c r="D4" s="88" t="s">
        <v>638</v>
      </c>
      <c r="E4" s="88" t="s">
        <v>639</v>
      </c>
      <c r="F4" s="89">
        <v>0.112</v>
      </c>
      <c r="G4" s="88"/>
      <c r="H4" s="87"/>
      <c r="I4" s="89">
        <v>0.2</v>
      </c>
      <c r="J4" s="87"/>
    </row>
    <row r="5" spans="1:10" ht="24" x14ac:dyDescent="0.3">
      <c r="B5" s="90"/>
      <c r="C5" s="90">
        <v>2</v>
      </c>
      <c r="D5" s="91" t="s">
        <v>640</v>
      </c>
      <c r="E5" s="91" t="s">
        <v>639</v>
      </c>
      <c r="F5" s="92">
        <v>0.123</v>
      </c>
      <c r="G5" s="91"/>
      <c r="H5" s="90"/>
      <c r="I5" s="92">
        <v>0.24099999999999999</v>
      </c>
      <c r="J5" s="90"/>
    </row>
    <row r="6" spans="1:10" ht="24" x14ac:dyDescent="0.3">
      <c r="B6" s="90"/>
      <c r="C6" s="91">
        <v>3</v>
      </c>
      <c r="D6" s="91" t="s">
        <v>641</v>
      </c>
      <c r="E6" s="91" t="s">
        <v>639</v>
      </c>
      <c r="F6" s="93">
        <v>0.122</v>
      </c>
      <c r="G6" s="91"/>
      <c r="H6" s="90"/>
      <c r="I6" s="92">
        <v>0.252</v>
      </c>
      <c r="J6" s="90"/>
    </row>
    <row r="7" spans="1:10" ht="24" x14ac:dyDescent="0.3">
      <c r="B7" s="94"/>
      <c r="C7" s="95">
        <v>4</v>
      </c>
      <c r="D7" s="95" t="s">
        <v>642</v>
      </c>
      <c r="E7" s="95" t="s">
        <v>639</v>
      </c>
      <c r="F7" s="96">
        <v>0.12</v>
      </c>
      <c r="G7" s="95"/>
      <c r="H7" s="94"/>
      <c r="I7" s="96">
        <v>0.24</v>
      </c>
      <c r="J7" s="94"/>
    </row>
    <row r="8" spans="1:10" x14ac:dyDescent="0.3">
      <c r="B8" s="87">
        <v>2</v>
      </c>
      <c r="C8" s="88">
        <v>1</v>
      </c>
      <c r="D8" s="87" t="s">
        <v>619</v>
      </c>
      <c r="E8" s="88" t="s">
        <v>643</v>
      </c>
      <c r="F8" s="87"/>
      <c r="G8" s="87"/>
      <c r="H8" s="87"/>
      <c r="I8" s="88">
        <f>2.4/100</f>
        <v>2.4E-2</v>
      </c>
      <c r="J8" s="87"/>
    </row>
    <row r="9" spans="1:10" x14ac:dyDescent="0.3">
      <c r="B9" s="94"/>
      <c r="C9" s="95">
        <v>2</v>
      </c>
      <c r="D9" s="94" t="s">
        <v>644</v>
      </c>
      <c r="E9" s="95" t="s">
        <v>643</v>
      </c>
      <c r="F9" s="94"/>
      <c r="G9" s="94"/>
      <c r="H9" s="94"/>
      <c r="I9" s="96">
        <f>2.7/100</f>
        <v>2.7000000000000003E-2</v>
      </c>
      <c r="J9" s="94"/>
    </row>
    <row r="10" spans="1:10" x14ac:dyDescent="0.3">
      <c r="B10" s="87">
        <v>3</v>
      </c>
      <c r="C10" s="88">
        <v>1</v>
      </c>
      <c r="D10" s="87" t="s">
        <v>645</v>
      </c>
      <c r="E10" s="88" t="s">
        <v>643</v>
      </c>
      <c r="F10" s="87">
        <f>0.24/100</f>
        <v>2.3999999999999998E-3</v>
      </c>
      <c r="G10" s="87"/>
      <c r="H10" s="87"/>
      <c r="I10" s="87">
        <f>1.83/100</f>
        <v>1.83E-2</v>
      </c>
      <c r="J10" s="87">
        <f>0.36/100</f>
        <v>3.5999999999999999E-3</v>
      </c>
    </row>
    <row r="11" spans="1:10" x14ac:dyDescent="0.3">
      <c r="B11" s="94"/>
      <c r="C11" s="95">
        <v>2</v>
      </c>
      <c r="D11" s="95" t="s">
        <v>646</v>
      </c>
      <c r="E11" s="95" t="s">
        <v>643</v>
      </c>
      <c r="F11" s="94">
        <f>0.86/100</f>
        <v>8.6E-3</v>
      </c>
      <c r="G11" s="94"/>
      <c r="H11" s="94"/>
      <c r="I11" s="94">
        <f>1.92/100</f>
        <v>1.9199999999999998E-2</v>
      </c>
      <c r="J11" s="94">
        <f>0.34/100</f>
        <v>3.4000000000000002E-3</v>
      </c>
    </row>
    <row r="12" spans="1:10" ht="24" x14ac:dyDescent="0.3">
      <c r="B12" s="87">
        <v>4</v>
      </c>
      <c r="C12" s="88">
        <v>1</v>
      </c>
      <c r="D12" s="88" t="s">
        <v>647</v>
      </c>
      <c r="E12" s="88" t="s">
        <v>643</v>
      </c>
      <c r="F12" s="87"/>
      <c r="G12" s="87"/>
      <c r="H12" s="88">
        <f>2.4/100</f>
        <v>2.4E-2</v>
      </c>
      <c r="I12" s="87"/>
      <c r="J12" s="87"/>
    </row>
    <row r="13" spans="1:10" ht="24" x14ac:dyDescent="0.3">
      <c r="B13" s="90"/>
      <c r="C13" s="91">
        <v>2</v>
      </c>
      <c r="D13" s="91" t="s">
        <v>648</v>
      </c>
      <c r="E13" s="91" t="s">
        <v>643</v>
      </c>
      <c r="F13" s="90"/>
      <c r="G13" s="90"/>
      <c r="H13" s="91">
        <f>2.23/100</f>
        <v>2.23E-2</v>
      </c>
      <c r="I13" s="90"/>
      <c r="J13" s="90"/>
    </row>
    <row r="14" spans="1:10" ht="24" x14ac:dyDescent="0.3">
      <c r="B14" s="90"/>
      <c r="C14" s="91">
        <v>3</v>
      </c>
      <c r="D14" s="91" t="s">
        <v>649</v>
      </c>
      <c r="E14" s="91" t="s">
        <v>643</v>
      </c>
      <c r="F14" s="90"/>
      <c r="G14" s="90"/>
      <c r="H14" s="91">
        <f>1.8/100</f>
        <v>1.8000000000000002E-2</v>
      </c>
      <c r="I14" s="90"/>
      <c r="J14" s="90"/>
    </row>
    <row r="15" spans="1:10" ht="24" x14ac:dyDescent="0.3">
      <c r="B15" s="94"/>
      <c r="C15" s="95">
        <v>4</v>
      </c>
      <c r="D15" s="95" t="s">
        <v>650</v>
      </c>
      <c r="E15" s="95" t="s">
        <v>643</v>
      </c>
      <c r="F15" s="94"/>
      <c r="G15" s="94"/>
      <c r="H15" s="95">
        <f>2.35/100</f>
        <v>2.35E-2</v>
      </c>
      <c r="I15" s="94"/>
      <c r="J15" s="94"/>
    </row>
    <row r="16" spans="1:10" x14ac:dyDescent="0.3">
      <c r="B16" s="90">
        <v>5</v>
      </c>
      <c r="C16" s="91">
        <v>1</v>
      </c>
      <c r="D16" s="91" t="s">
        <v>651</v>
      </c>
      <c r="E16" s="91" t="s">
        <v>639</v>
      </c>
      <c r="F16" s="97">
        <v>4.9000000000000002E-2</v>
      </c>
      <c r="G16" s="97">
        <v>0.10299999999999999</v>
      </c>
      <c r="H16" s="90"/>
      <c r="I16" s="91"/>
      <c r="J16" s="97">
        <v>4.2999999999999997E-2</v>
      </c>
    </row>
    <row r="17" spans="2:10" x14ac:dyDescent="0.3">
      <c r="B17" s="90">
        <v>6</v>
      </c>
      <c r="C17" s="91">
        <v>1</v>
      </c>
      <c r="D17" s="91" t="s">
        <v>651</v>
      </c>
      <c r="E17" s="91" t="s">
        <v>639</v>
      </c>
      <c r="F17" s="97">
        <v>0.20300000000000001</v>
      </c>
      <c r="G17" s="97">
        <v>6.5000000000000002E-2</v>
      </c>
      <c r="H17" s="90"/>
      <c r="I17" s="91"/>
      <c r="J17" s="97">
        <v>8.6999999999999994E-2</v>
      </c>
    </row>
    <row r="18" spans="2:10" x14ac:dyDescent="0.3">
      <c r="B18" s="87">
        <v>7</v>
      </c>
      <c r="C18" s="88">
        <v>1</v>
      </c>
      <c r="D18" s="88" t="s">
        <v>652</v>
      </c>
      <c r="E18" s="88" t="s">
        <v>643</v>
      </c>
      <c r="F18" s="87"/>
      <c r="G18" s="87"/>
      <c r="H18" s="87"/>
      <c r="I18" s="88">
        <f>11.5/1000</f>
        <v>1.15E-2</v>
      </c>
      <c r="J18" s="87"/>
    </row>
    <row r="19" spans="2:10" x14ac:dyDescent="0.3">
      <c r="B19" s="90"/>
      <c r="C19" s="91">
        <v>2</v>
      </c>
      <c r="D19" s="91" t="s">
        <v>653</v>
      </c>
      <c r="E19" s="91" t="s">
        <v>643</v>
      </c>
      <c r="F19" s="90"/>
      <c r="G19" s="90"/>
      <c r="H19" s="90"/>
      <c r="I19" s="91">
        <f>13.1/1000</f>
        <v>1.3099999999999999E-2</v>
      </c>
      <c r="J19" s="90"/>
    </row>
    <row r="20" spans="2:10" ht="24" x14ac:dyDescent="0.3">
      <c r="B20" s="90"/>
      <c r="C20" s="91">
        <v>3</v>
      </c>
      <c r="D20" s="91" t="s">
        <v>654</v>
      </c>
      <c r="E20" s="91" t="s">
        <v>643</v>
      </c>
      <c r="F20" s="90"/>
      <c r="G20" s="90"/>
      <c r="H20" s="90"/>
      <c r="I20" s="91">
        <f>19.2/1000</f>
        <v>1.9199999999999998E-2</v>
      </c>
      <c r="J20" s="90"/>
    </row>
    <row r="21" spans="2:10" ht="24" x14ac:dyDescent="0.3">
      <c r="B21" s="90"/>
      <c r="C21" s="91">
        <v>4</v>
      </c>
      <c r="D21" s="91" t="s">
        <v>655</v>
      </c>
      <c r="E21" s="91" t="s">
        <v>643</v>
      </c>
      <c r="F21" s="90"/>
      <c r="G21" s="90"/>
      <c r="H21" s="90"/>
      <c r="I21" s="91">
        <f>13.6/1000</f>
        <v>1.3599999999999999E-2</v>
      </c>
      <c r="J21" s="90"/>
    </row>
    <row r="22" spans="2:10" x14ac:dyDescent="0.3">
      <c r="B22" s="90"/>
      <c r="C22" s="91">
        <v>5</v>
      </c>
      <c r="D22" s="91" t="s">
        <v>656</v>
      </c>
      <c r="E22" s="91" t="s">
        <v>643</v>
      </c>
      <c r="F22" s="90"/>
      <c r="G22" s="90"/>
      <c r="H22" s="90"/>
      <c r="I22" s="91">
        <f>10.5/1000</f>
        <v>1.0500000000000001E-2</v>
      </c>
      <c r="J22" s="90"/>
    </row>
    <row r="23" spans="2:10" x14ac:dyDescent="0.3">
      <c r="B23" s="90"/>
      <c r="C23" s="91">
        <v>6</v>
      </c>
      <c r="D23" s="91" t="s">
        <v>657</v>
      </c>
      <c r="E23" s="91" t="s">
        <v>643</v>
      </c>
      <c r="F23" s="90"/>
      <c r="G23" s="90"/>
      <c r="H23" s="90"/>
      <c r="I23" s="91">
        <f>12.5/1000</f>
        <v>1.2500000000000001E-2</v>
      </c>
      <c r="J23" s="90"/>
    </row>
    <row r="24" spans="2:10" x14ac:dyDescent="0.3">
      <c r="B24" s="90"/>
      <c r="C24" s="91">
        <v>7</v>
      </c>
      <c r="D24" s="91" t="s">
        <v>658</v>
      </c>
      <c r="E24" s="91" t="s">
        <v>643</v>
      </c>
      <c r="F24" s="90"/>
      <c r="G24" s="90"/>
      <c r="H24" s="90"/>
      <c r="I24" s="91">
        <f>9/1000</f>
        <v>8.9999999999999993E-3</v>
      </c>
      <c r="J24" s="90"/>
    </row>
    <row r="25" spans="2:10" x14ac:dyDescent="0.3">
      <c r="B25" s="94"/>
      <c r="C25" s="95">
        <v>8</v>
      </c>
      <c r="D25" s="95" t="s">
        <v>659</v>
      </c>
      <c r="E25" s="95" t="s">
        <v>643</v>
      </c>
      <c r="F25" s="94"/>
      <c r="G25" s="94"/>
      <c r="H25" s="94"/>
      <c r="I25" s="95">
        <f>10.7/1000</f>
        <v>1.0699999999999999E-2</v>
      </c>
      <c r="J25" s="94"/>
    </row>
    <row r="26" spans="2:10" x14ac:dyDescent="0.3">
      <c r="B26" s="90">
        <v>8</v>
      </c>
      <c r="C26" s="91">
        <v>1</v>
      </c>
      <c r="D26" s="91" t="s">
        <v>660</v>
      </c>
      <c r="E26" s="91" t="s">
        <v>639</v>
      </c>
      <c r="F26" s="90">
        <f>2.2/100</f>
        <v>2.2000000000000002E-2</v>
      </c>
      <c r="G26" s="90"/>
      <c r="H26" s="90">
        <f>5.6/100</f>
        <v>5.5999999999999994E-2</v>
      </c>
      <c r="I26" s="91">
        <f>1.7/100</f>
        <v>1.7000000000000001E-2</v>
      </c>
      <c r="J26" s="90"/>
    </row>
    <row r="27" spans="2:10" x14ac:dyDescent="0.3">
      <c r="B27" s="90"/>
      <c r="C27" s="91">
        <v>2</v>
      </c>
      <c r="D27" s="91" t="s">
        <v>661</v>
      </c>
      <c r="E27" s="91" t="s">
        <v>639</v>
      </c>
      <c r="F27" s="90">
        <f>2/100</f>
        <v>0.02</v>
      </c>
      <c r="G27" s="90"/>
      <c r="H27" s="90">
        <f>3/100</f>
        <v>0.03</v>
      </c>
      <c r="I27" s="91">
        <f>1.7/100</f>
        <v>1.7000000000000001E-2</v>
      </c>
      <c r="J27" s="90"/>
    </row>
    <row r="28" spans="2:10" x14ac:dyDescent="0.3">
      <c r="B28" s="90"/>
      <c r="C28" s="91">
        <v>3</v>
      </c>
      <c r="D28" s="91" t="s">
        <v>662</v>
      </c>
      <c r="E28" s="91" t="s">
        <v>639</v>
      </c>
      <c r="F28" s="90">
        <f>2.4/100</f>
        <v>2.4E-2</v>
      </c>
      <c r="G28" s="90"/>
      <c r="H28" s="90">
        <f>2.1/100</f>
        <v>2.1000000000000001E-2</v>
      </c>
      <c r="I28" s="91">
        <f>2.9/100</f>
        <v>2.8999999999999998E-2</v>
      </c>
      <c r="J28" s="90"/>
    </row>
    <row r="29" spans="2:10" ht="24" x14ac:dyDescent="0.3">
      <c r="B29" s="90"/>
      <c r="C29" s="91">
        <v>4</v>
      </c>
      <c r="D29" s="91" t="s">
        <v>663</v>
      </c>
      <c r="E29" s="91" t="s">
        <v>639</v>
      </c>
      <c r="F29" s="90">
        <f>2.1/100</f>
        <v>2.1000000000000001E-2</v>
      </c>
      <c r="G29" s="90"/>
      <c r="H29" s="90">
        <f>3.2/100</f>
        <v>3.2000000000000001E-2</v>
      </c>
      <c r="I29" s="91">
        <f>2.4/100</f>
        <v>2.4E-2</v>
      </c>
      <c r="J29" s="90"/>
    </row>
    <row r="30" spans="2:10" x14ac:dyDescent="0.3">
      <c r="B30" s="90"/>
      <c r="C30" s="91">
        <v>5</v>
      </c>
      <c r="D30" s="91" t="s">
        <v>664</v>
      </c>
      <c r="E30" s="91" t="s">
        <v>639</v>
      </c>
      <c r="F30" s="90">
        <f>2.9/100</f>
        <v>2.8999999999999998E-2</v>
      </c>
      <c r="G30" s="90"/>
      <c r="H30" s="90">
        <f>9.4/100</f>
        <v>9.4E-2</v>
      </c>
      <c r="I30" s="91">
        <f>2/100</f>
        <v>0.02</v>
      </c>
      <c r="J30" s="90"/>
    </row>
    <row r="31" spans="2:10" x14ac:dyDescent="0.3">
      <c r="B31" s="90"/>
      <c r="C31" s="91">
        <v>6</v>
      </c>
      <c r="D31" s="91" t="s">
        <v>665</v>
      </c>
      <c r="E31" s="91" t="s">
        <v>639</v>
      </c>
      <c r="F31" s="90">
        <f>3.8/100</f>
        <v>3.7999999999999999E-2</v>
      </c>
      <c r="G31" s="90"/>
      <c r="H31" s="90">
        <f>5.6/100</f>
        <v>5.5999999999999994E-2</v>
      </c>
      <c r="I31" s="91">
        <f>2.3/100</f>
        <v>2.3E-2</v>
      </c>
      <c r="J31" s="90"/>
    </row>
    <row r="32" spans="2:10" x14ac:dyDescent="0.3">
      <c r="B32" s="90"/>
      <c r="C32" s="91">
        <v>7</v>
      </c>
      <c r="D32" s="91" t="s">
        <v>666</v>
      </c>
      <c r="E32" s="91" t="s">
        <v>639</v>
      </c>
      <c r="F32" s="90">
        <f>2.5/100</f>
        <v>2.5000000000000001E-2</v>
      </c>
      <c r="G32" s="90"/>
      <c r="H32" s="90">
        <f>4.2/100</f>
        <v>4.2000000000000003E-2</v>
      </c>
      <c r="I32" s="91">
        <f>3.2/100</f>
        <v>3.2000000000000001E-2</v>
      </c>
      <c r="J32" s="90"/>
    </row>
    <row r="33" spans="2:10" x14ac:dyDescent="0.3">
      <c r="B33" s="94"/>
      <c r="C33" s="95">
        <v>8</v>
      </c>
      <c r="D33" s="95" t="s">
        <v>667</v>
      </c>
      <c r="E33" s="95" t="s">
        <v>639</v>
      </c>
      <c r="F33" s="94">
        <f>3.2/100</f>
        <v>3.2000000000000001E-2</v>
      </c>
      <c r="G33" s="94"/>
      <c r="H33" s="94">
        <f>5/100</f>
        <v>0.05</v>
      </c>
      <c r="I33" s="95">
        <f>4.9/100</f>
        <v>4.9000000000000002E-2</v>
      </c>
      <c r="J33" s="94"/>
    </row>
    <row r="34" spans="2:10" x14ac:dyDescent="0.3">
      <c r="B34" s="98" t="s">
        <v>668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</vt:lpstr>
      <vt:lpstr>(1) GEM INPUT DATA SUMMARY</vt:lpstr>
      <vt:lpstr>All Countries</vt:lpstr>
      <vt:lpstr>Input Data Parameters</vt:lpstr>
      <vt:lpstr>Risk Equation Summary</vt:lpstr>
      <vt:lpstr>(2) VALIDATION PROCESS</vt:lpstr>
      <vt:lpstr>Data Extraction List</vt:lpstr>
      <vt:lpstr>Validation Study Chars</vt:lpstr>
      <vt:lpstr>Results of Individual Studies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Liz</dc:creator>
  <cp:keywords/>
  <dc:description/>
  <cp:lastModifiedBy>Mitchell, Elizabeth</cp:lastModifiedBy>
  <cp:revision/>
  <dcterms:created xsi:type="dcterms:W3CDTF">2015-06-05T18:17:20Z</dcterms:created>
  <dcterms:modified xsi:type="dcterms:W3CDTF">2026-10-26T16:15:08Z</dcterms:modified>
  <cp:category/>
  <cp:contentStatus/>
</cp:coreProperties>
</file>