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mory-my.sharepoint.com/personal/estaton_emory_edu/Documents/1_Research proj/GEM Model_shared/01_Data/"/>
    </mc:Choice>
  </mc:AlternateContent>
  <xr:revisionPtr revIDLastSave="33" documentId="8_{539F9FE2-09BC-402C-AC42-AB1EB4537F99}" xr6:coauthVersionLast="47" xr6:coauthVersionMax="47" xr10:uidLastSave="{02CC465D-80DD-4B63-8502-FBD0DDCB90F7}"/>
  <bookViews>
    <workbookView xWindow="384" yWindow="384" windowWidth="17280" windowHeight="9960" xr2:uid="{EF97685F-ECC4-43CE-BCBF-FE3507B8A047}"/>
  </bookViews>
  <sheets>
    <sheet name="manipulated" sheetId="2" r:id="rId1"/>
    <sheet name="from website" sheetId="1" r:id="rId2"/>
  </sheets>
  <definedNames>
    <definedName name="_xlnm._FilterDatabase" localSheetId="0" hidden="1">manipulated!$A$1:$D$248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8" i="2" l="1" a="1"/>
  <c r="D248" i="2" s="1"/>
  <c r="C248" i="2" s="1"/>
  <c r="D247" i="2" a="1"/>
  <c r="D247" i="2" s="1"/>
  <c r="C247" i="2" s="1"/>
  <c r="D246" i="2" a="1"/>
  <c r="D246" i="2" s="1"/>
  <c r="C246" i="2" s="1"/>
  <c r="D245" i="2" a="1"/>
  <c r="D245" i="2" s="1"/>
  <c r="C245" i="2" s="1"/>
  <c r="D243" i="2" a="1"/>
  <c r="D243" i="2" s="1"/>
  <c r="C243" i="2" s="1"/>
  <c r="D237" i="2" a="1"/>
  <c r="D237" i="2" s="1"/>
  <c r="C237" i="2" s="1"/>
  <c r="D235" i="2" a="1"/>
  <c r="D235" i="2" s="1"/>
  <c r="C235" i="2" s="1"/>
  <c r="D234" i="2" a="1"/>
  <c r="D234" i="2" s="1"/>
  <c r="C234" i="2" s="1"/>
  <c r="D233" i="2" a="1"/>
  <c r="D233" i="2" s="1"/>
  <c r="C233" i="2" s="1"/>
  <c r="D232" i="2" a="1"/>
  <c r="D232" i="2" s="1"/>
  <c r="C232" i="2" s="1"/>
  <c r="D231" i="2" a="1"/>
  <c r="D231" i="2" s="1"/>
  <c r="C231" i="2" s="1"/>
  <c r="D230" i="2" a="1"/>
  <c r="D230" i="2" s="1"/>
  <c r="C230" i="2" s="1"/>
  <c r="D227" i="2" a="1"/>
  <c r="D227" i="2" s="1"/>
  <c r="C227" i="2" s="1"/>
  <c r="D226" i="2" a="1"/>
  <c r="D226" i="2" s="1"/>
  <c r="C226" i="2" s="1"/>
  <c r="D224" i="2" a="1"/>
  <c r="D224" i="2" s="1"/>
  <c r="C224" i="2" s="1"/>
  <c r="D221" i="2" a="1"/>
  <c r="D221" i="2" s="1"/>
  <c r="C221" i="2" s="1"/>
  <c r="D219" i="2" a="1"/>
  <c r="D219" i="2" s="1"/>
  <c r="C219" i="2" s="1"/>
  <c r="D218" i="2" a="1"/>
  <c r="D218" i="2" s="1"/>
  <c r="C218" i="2" s="1"/>
  <c r="D217" i="2" a="1"/>
  <c r="D217" i="2" s="1"/>
  <c r="C217" i="2" s="1"/>
  <c r="D216" i="2" a="1"/>
  <c r="D216" i="2" s="1"/>
  <c r="C216" i="2" s="1"/>
  <c r="D215" i="2" a="1"/>
  <c r="D215" i="2" s="1"/>
  <c r="C215" i="2" s="1"/>
  <c r="D214" i="2" a="1"/>
  <c r="D214" i="2" s="1"/>
  <c r="C214" i="2" s="1"/>
  <c r="D213" i="2" a="1"/>
  <c r="D213" i="2" s="1"/>
  <c r="C213" i="2" s="1"/>
  <c r="D211" i="2" a="1"/>
  <c r="D211" i="2" s="1"/>
  <c r="C211" i="2" s="1"/>
  <c r="D209" i="2" a="1"/>
  <c r="D209" i="2" s="1"/>
  <c r="C209" i="2" s="1"/>
  <c r="D207" i="2" a="1"/>
  <c r="D207" i="2" s="1"/>
  <c r="C207" i="2" s="1"/>
  <c r="D205" i="2" a="1"/>
  <c r="D205" i="2" s="1"/>
  <c r="C205" i="2" s="1"/>
  <c r="D203" i="2" a="1"/>
  <c r="D203" i="2" s="1"/>
  <c r="C203" i="2" s="1"/>
  <c r="D202" i="2" a="1"/>
  <c r="D202" i="2" s="1"/>
  <c r="C202" i="2" s="1"/>
  <c r="D201" i="2" a="1"/>
  <c r="D201" i="2" s="1"/>
  <c r="C201" i="2" s="1"/>
  <c r="D200" i="2" a="1"/>
  <c r="D200" i="2" s="1"/>
  <c r="C200" i="2" s="1"/>
  <c r="D199" i="2" a="1"/>
  <c r="D199" i="2" s="1"/>
  <c r="C199" i="2" s="1"/>
  <c r="D198" i="2" a="1"/>
  <c r="D198" i="2" s="1"/>
  <c r="C198" i="2" s="1"/>
  <c r="D196" i="2" a="1"/>
  <c r="D196" i="2" s="1"/>
  <c r="C196" i="2" s="1"/>
  <c r="D195" i="2" a="1"/>
  <c r="D195" i="2" s="1"/>
  <c r="C195" i="2" s="1"/>
  <c r="D194" i="2" a="1"/>
  <c r="D194" i="2" s="1"/>
  <c r="C194" i="2" s="1"/>
  <c r="D193" i="2" a="1"/>
  <c r="D193" i="2" s="1"/>
  <c r="C193" i="2" s="1"/>
  <c r="D192" i="2" a="1"/>
  <c r="D192" i="2" s="1"/>
  <c r="C192" i="2" s="1"/>
  <c r="D191" i="2" a="1"/>
  <c r="D191" i="2" s="1"/>
  <c r="C191" i="2" s="1"/>
  <c r="D190" i="2" a="1"/>
  <c r="D190" i="2" s="1"/>
  <c r="C190" i="2" s="1"/>
  <c r="D189" i="2" a="1"/>
  <c r="D189" i="2" s="1"/>
  <c r="C189" i="2" s="1"/>
  <c r="D188" i="2" a="1"/>
  <c r="D188" i="2" s="1"/>
  <c r="C188" i="2" s="1"/>
  <c r="D187" i="2" a="1"/>
  <c r="D187" i="2" s="1"/>
  <c r="C187" i="2" s="1"/>
  <c r="D186" i="2" a="1"/>
  <c r="D186" i="2" s="1"/>
  <c r="C186" i="2" s="1"/>
  <c r="D185" i="2" a="1"/>
  <c r="D185" i="2" s="1"/>
  <c r="C185" i="2" s="1"/>
  <c r="D184" i="2" a="1"/>
  <c r="D184" i="2" s="1"/>
  <c r="C184" i="2" s="1"/>
  <c r="D183" i="2" a="1"/>
  <c r="D183" i="2" s="1"/>
  <c r="C183" i="2" s="1"/>
  <c r="D182" i="2" a="1"/>
  <c r="D182" i="2" s="1"/>
  <c r="C182" i="2" s="1"/>
  <c r="D181" i="2" a="1"/>
  <c r="D181" i="2" s="1"/>
  <c r="C181" i="2" s="1"/>
  <c r="D180" i="2" a="1"/>
  <c r="D180" i="2" s="1"/>
  <c r="C180" i="2" s="1"/>
  <c r="D179" i="2" a="1"/>
  <c r="D179" i="2" s="1"/>
  <c r="C179" i="2" s="1"/>
  <c r="D178" i="2" a="1"/>
  <c r="D178" i="2" s="1"/>
  <c r="C178" i="2" s="1"/>
  <c r="D177" i="2" a="1"/>
  <c r="D177" i="2" s="1"/>
  <c r="C177" i="2" s="1"/>
  <c r="D176" i="2" a="1"/>
  <c r="D176" i="2" s="1"/>
  <c r="C176" i="2" s="1"/>
  <c r="D175" i="2" a="1"/>
  <c r="D175" i="2" s="1"/>
  <c r="C175" i="2" s="1"/>
  <c r="D174" i="2" a="1"/>
  <c r="D174" i="2" s="1"/>
  <c r="C174" i="2" s="1"/>
  <c r="D173" i="2" a="1"/>
  <c r="D173" i="2" s="1"/>
  <c r="C173" i="2" s="1"/>
  <c r="D172" i="2" a="1"/>
  <c r="D172" i="2" s="1"/>
  <c r="C172" i="2" s="1"/>
  <c r="D171" i="2" a="1"/>
  <c r="D171" i="2" s="1"/>
  <c r="C171" i="2" s="1"/>
  <c r="D170" i="2" a="1"/>
  <c r="D170" i="2" s="1"/>
  <c r="C170" i="2" s="1"/>
  <c r="D169" i="2" a="1"/>
  <c r="D169" i="2" s="1"/>
  <c r="C169" i="2" s="1"/>
  <c r="D168" i="2" a="1"/>
  <c r="D168" i="2" s="1"/>
  <c r="C168" i="2" s="1"/>
  <c r="D167" i="2" a="1"/>
  <c r="D167" i="2" s="1"/>
  <c r="C167" i="2" s="1"/>
  <c r="D166" i="2" a="1"/>
  <c r="D166" i="2" s="1"/>
  <c r="C166" i="2" s="1"/>
  <c r="D165" i="2" a="1"/>
  <c r="D165" i="2" s="1"/>
  <c r="C165" i="2" s="1"/>
  <c r="D164" i="2" a="1"/>
  <c r="D164" i="2" s="1"/>
  <c r="C164" i="2" s="1"/>
  <c r="D163" i="2" a="1"/>
  <c r="D163" i="2" s="1"/>
  <c r="C163" i="2" s="1"/>
  <c r="D162" i="2" a="1"/>
  <c r="D162" i="2" s="1"/>
  <c r="C162" i="2" s="1"/>
  <c r="D161" i="2" a="1"/>
  <c r="D161" i="2" s="1"/>
  <c r="C161" i="2" s="1"/>
  <c r="D160" i="2" a="1"/>
  <c r="D160" i="2" s="1"/>
  <c r="C160" i="2" s="1"/>
  <c r="D159" i="2" a="1"/>
  <c r="D159" i="2" s="1"/>
  <c r="C159" i="2" s="1"/>
  <c r="D158" i="2" a="1"/>
  <c r="D158" i="2" s="1"/>
  <c r="C158" i="2" s="1"/>
  <c r="D157" i="2" a="1"/>
  <c r="D157" i="2" s="1"/>
  <c r="C157" i="2" s="1"/>
  <c r="D156" i="2" a="1"/>
  <c r="D156" i="2" s="1"/>
  <c r="C156" i="2" s="1"/>
  <c r="D155" i="2" a="1"/>
  <c r="D155" i="2" s="1"/>
  <c r="C155" i="2" s="1"/>
  <c r="D154" i="2" a="1"/>
  <c r="D154" i="2" s="1"/>
  <c r="C154" i="2" s="1"/>
  <c r="D153" i="2" a="1"/>
  <c r="D153" i="2" s="1"/>
  <c r="C153" i="2" s="1"/>
  <c r="D152" i="2" a="1"/>
  <c r="D152" i="2" s="1"/>
  <c r="C152" i="2" s="1"/>
  <c r="D151" i="2" a="1"/>
  <c r="D151" i="2" s="1"/>
  <c r="C151" i="2" s="1"/>
  <c r="D150" i="2" a="1"/>
  <c r="D150" i="2" s="1"/>
  <c r="C150" i="2" s="1"/>
  <c r="D149" i="2" a="1"/>
  <c r="D149" i="2" s="1"/>
  <c r="C149" i="2" s="1"/>
  <c r="D148" i="2" a="1"/>
  <c r="D148" i="2" s="1"/>
  <c r="C148" i="2" s="1"/>
  <c r="D147" i="2" a="1"/>
  <c r="D147" i="2" s="1"/>
  <c r="C147" i="2" s="1"/>
  <c r="D146" i="2" a="1"/>
  <c r="D146" i="2" s="1"/>
  <c r="C146" i="2" s="1"/>
  <c r="D145" i="2" a="1"/>
  <c r="D145" i="2" s="1"/>
  <c r="C145" i="2" s="1"/>
  <c r="D144" i="2" a="1"/>
  <c r="D144" i="2" s="1"/>
  <c r="C144" i="2" s="1"/>
  <c r="D143" i="2" a="1"/>
  <c r="D143" i="2" s="1"/>
  <c r="C143" i="2" s="1"/>
  <c r="D142" i="2" a="1"/>
  <c r="D142" i="2" s="1"/>
  <c r="C142" i="2" s="1"/>
  <c r="D141" i="2" a="1"/>
  <c r="D141" i="2" s="1"/>
  <c r="C141" i="2" s="1"/>
  <c r="D140" i="2" a="1"/>
  <c r="D140" i="2" s="1"/>
  <c r="C140" i="2" s="1"/>
  <c r="D139" i="2" a="1"/>
  <c r="D139" i="2" s="1"/>
  <c r="C139" i="2" s="1"/>
  <c r="D138" i="2" a="1"/>
  <c r="D138" i="2" s="1"/>
  <c r="C138" i="2" s="1"/>
  <c r="D137" i="2" a="1"/>
  <c r="D137" i="2" s="1"/>
  <c r="C137" i="2" s="1"/>
  <c r="D136" i="2" a="1"/>
  <c r="D136" i="2" s="1"/>
  <c r="C136" i="2" s="1"/>
  <c r="D135" i="2" a="1"/>
  <c r="D135" i="2" s="1"/>
  <c r="C135" i="2" s="1"/>
  <c r="D134" i="2" a="1"/>
  <c r="D134" i="2" s="1"/>
  <c r="C134" i="2" s="1"/>
  <c r="D133" i="2" a="1"/>
  <c r="D133" i="2" s="1"/>
  <c r="C133" i="2" s="1"/>
  <c r="D132" i="2" a="1"/>
  <c r="D132" i="2" s="1"/>
  <c r="C132" i="2" s="1"/>
  <c r="D131" i="2" a="1"/>
  <c r="D131" i="2" s="1"/>
  <c r="C131" i="2" s="1"/>
  <c r="D130" i="2" a="1"/>
  <c r="D130" i="2" s="1"/>
  <c r="C130" i="2" s="1"/>
  <c r="D129" i="2" a="1"/>
  <c r="D129" i="2" s="1"/>
  <c r="C129" i="2" s="1"/>
  <c r="D128" i="2" a="1"/>
  <c r="D128" i="2" s="1"/>
  <c r="C128" i="2" s="1"/>
  <c r="D127" i="2" a="1"/>
  <c r="D127" i="2" s="1"/>
  <c r="C127" i="2" s="1"/>
  <c r="D126" i="2" a="1"/>
  <c r="D126" i="2" s="1"/>
  <c r="C126" i="2" s="1"/>
  <c r="D125" i="2" a="1"/>
  <c r="D125" i="2" s="1"/>
  <c r="C125" i="2" s="1"/>
  <c r="D124" i="2" a="1"/>
  <c r="D124" i="2" s="1"/>
  <c r="C124" i="2" s="1"/>
  <c r="D123" i="2" a="1"/>
  <c r="D123" i="2" s="1"/>
  <c r="C123" i="2" s="1"/>
  <c r="D122" i="2" a="1"/>
  <c r="D122" i="2" s="1"/>
  <c r="C122" i="2" s="1"/>
  <c r="D121" i="2" a="1"/>
  <c r="D121" i="2" s="1"/>
  <c r="C121" i="2" s="1"/>
  <c r="D120" i="2" a="1"/>
  <c r="D120" i="2" s="1"/>
  <c r="C120" i="2" s="1"/>
  <c r="D119" i="2" a="1"/>
  <c r="D119" i="2" s="1"/>
  <c r="C119" i="2" s="1"/>
  <c r="D118" i="2" a="1"/>
  <c r="D118" i="2" s="1"/>
  <c r="C118" i="2" s="1"/>
  <c r="D117" i="2" a="1"/>
  <c r="D117" i="2" s="1"/>
  <c r="C117" i="2" s="1"/>
  <c r="D116" i="2" a="1"/>
  <c r="D116" i="2" s="1"/>
  <c r="C116" i="2" s="1"/>
  <c r="D115" i="2" a="1"/>
  <c r="D115" i="2" s="1"/>
  <c r="C115" i="2" s="1"/>
  <c r="D114" i="2" a="1"/>
  <c r="D114" i="2" s="1"/>
  <c r="C114" i="2" s="1"/>
  <c r="D113" i="2" a="1"/>
  <c r="D113" i="2" s="1"/>
  <c r="C113" i="2" s="1"/>
  <c r="D112" i="2" a="1"/>
  <c r="D112" i="2" s="1"/>
  <c r="C112" i="2" s="1"/>
  <c r="D111" i="2" a="1"/>
  <c r="D111" i="2" s="1"/>
  <c r="C111" i="2" s="1"/>
  <c r="D110" i="2" a="1"/>
  <c r="D110" i="2" s="1"/>
  <c r="C110" i="2" s="1"/>
  <c r="D109" i="2" a="1"/>
  <c r="D109" i="2" s="1"/>
  <c r="C109" i="2" s="1"/>
  <c r="D108" i="2" a="1"/>
  <c r="D108" i="2" s="1"/>
  <c r="C108" i="2" s="1"/>
  <c r="D107" i="2" a="1"/>
  <c r="D107" i="2" s="1"/>
  <c r="C107" i="2" s="1"/>
  <c r="D106" i="2" a="1"/>
  <c r="D106" i="2" s="1"/>
  <c r="C106" i="2" s="1"/>
  <c r="D105" i="2" a="1"/>
  <c r="D105" i="2" s="1"/>
  <c r="C105" i="2" s="1"/>
  <c r="D104" i="2" a="1"/>
  <c r="D104" i="2" s="1"/>
  <c r="C104" i="2" s="1"/>
  <c r="D103" i="2" a="1"/>
  <c r="D103" i="2" s="1"/>
  <c r="C103" i="2" s="1"/>
  <c r="D102" i="2" a="1"/>
  <c r="D102" i="2" s="1"/>
  <c r="C102" i="2" s="1"/>
  <c r="D101" i="2" a="1"/>
  <c r="D101" i="2" s="1"/>
  <c r="C101" i="2" s="1"/>
  <c r="D100" i="2" a="1"/>
  <c r="D100" i="2" s="1"/>
  <c r="C100" i="2" s="1"/>
  <c r="D99" i="2" a="1"/>
  <c r="D99" i="2" s="1"/>
  <c r="C99" i="2" s="1"/>
  <c r="D98" i="2" a="1"/>
  <c r="D98" i="2" s="1"/>
  <c r="C98" i="2" s="1"/>
  <c r="D97" i="2" a="1"/>
  <c r="D97" i="2" s="1"/>
  <c r="C97" i="2" s="1"/>
  <c r="D96" i="2" a="1"/>
  <c r="D96" i="2" s="1"/>
  <c r="C96" i="2" s="1"/>
  <c r="D95" i="2" a="1"/>
  <c r="D95" i="2" s="1"/>
  <c r="C95" i="2" s="1"/>
  <c r="D94" i="2" a="1"/>
  <c r="D94" i="2" s="1"/>
  <c r="C94" i="2" s="1"/>
  <c r="D93" i="2" a="1"/>
  <c r="D93" i="2" s="1"/>
  <c r="C93" i="2" s="1"/>
  <c r="D92" i="2" a="1"/>
  <c r="D92" i="2" s="1"/>
  <c r="C92" i="2" s="1"/>
  <c r="D91" i="2" a="1"/>
  <c r="D91" i="2" s="1"/>
  <c r="C91" i="2" s="1"/>
  <c r="D90" i="2" a="1"/>
  <c r="D90" i="2" s="1"/>
  <c r="C90" i="2" s="1"/>
  <c r="D89" i="2" a="1"/>
  <c r="D89" i="2" s="1"/>
  <c r="C89" i="2" s="1"/>
  <c r="D88" i="2" a="1"/>
  <c r="D88" i="2" s="1"/>
  <c r="C88" i="2" s="1"/>
  <c r="D87" i="2" a="1"/>
  <c r="D87" i="2" s="1"/>
  <c r="C87" i="2" s="1"/>
  <c r="D86" i="2" a="1"/>
  <c r="D86" i="2" s="1"/>
  <c r="C86" i="2" s="1"/>
  <c r="D85" i="2" a="1"/>
  <c r="D85" i="2" s="1"/>
  <c r="C85" i="2" s="1"/>
  <c r="D84" i="2" a="1"/>
  <c r="D84" i="2" s="1"/>
  <c r="C84" i="2" s="1"/>
  <c r="D83" i="2" a="1"/>
  <c r="D83" i="2" s="1"/>
  <c r="C83" i="2" s="1"/>
  <c r="D82" i="2" a="1"/>
  <c r="D82" i="2" s="1"/>
  <c r="C82" i="2" s="1"/>
  <c r="D81" i="2" a="1"/>
  <c r="D81" i="2" s="1"/>
  <c r="C81" i="2" s="1"/>
  <c r="D80" i="2" a="1"/>
  <c r="D80" i="2" s="1"/>
  <c r="C80" i="2" s="1"/>
  <c r="D79" i="2" a="1"/>
  <c r="D79" i="2" s="1"/>
  <c r="C79" i="2" s="1"/>
  <c r="D78" i="2" a="1"/>
  <c r="D78" i="2" s="1"/>
  <c r="C78" i="2" s="1"/>
  <c r="D77" i="2" a="1"/>
  <c r="D77" i="2" s="1"/>
  <c r="C77" i="2" s="1"/>
  <c r="D76" i="2" a="1"/>
  <c r="D76" i="2" s="1"/>
  <c r="C76" i="2" s="1"/>
  <c r="D75" i="2" a="1"/>
  <c r="D75" i="2" s="1"/>
  <c r="C75" i="2" s="1"/>
  <c r="D74" i="2" a="1"/>
  <c r="D74" i="2" s="1"/>
  <c r="C74" i="2" s="1"/>
  <c r="D73" i="2" a="1"/>
  <c r="D73" i="2" s="1"/>
  <c r="C73" i="2" s="1"/>
  <c r="D72" i="2" a="1"/>
  <c r="D72" i="2" s="1"/>
  <c r="C72" i="2" s="1"/>
  <c r="D71" i="2" a="1"/>
  <c r="D71" i="2" s="1"/>
  <c r="C71" i="2" s="1"/>
  <c r="D70" i="2" a="1"/>
  <c r="D70" i="2" s="1"/>
  <c r="C70" i="2" s="1"/>
  <c r="D69" i="2" a="1"/>
  <c r="D69" i="2" s="1"/>
  <c r="C69" i="2" s="1"/>
  <c r="D68" i="2" a="1"/>
  <c r="D68" i="2" s="1"/>
  <c r="C68" i="2" s="1"/>
  <c r="D67" i="2" a="1"/>
  <c r="D67" i="2" s="1"/>
  <c r="C67" i="2" s="1"/>
  <c r="D66" i="2" a="1"/>
  <c r="D66" i="2" s="1"/>
  <c r="C66" i="2" s="1"/>
  <c r="D65" i="2" a="1"/>
  <c r="D65" i="2" s="1"/>
  <c r="C65" i="2" s="1"/>
  <c r="D64" i="2" a="1"/>
  <c r="D64" i="2" s="1"/>
  <c r="C64" i="2" s="1"/>
  <c r="D63" i="2" a="1"/>
  <c r="D63" i="2" s="1"/>
  <c r="C63" i="2" s="1"/>
  <c r="D62" i="2" a="1"/>
  <c r="D62" i="2" s="1"/>
  <c r="C62" i="2" s="1"/>
  <c r="D61" i="2" a="1"/>
  <c r="D61" i="2" s="1"/>
  <c r="C61" i="2" s="1"/>
  <c r="D60" i="2" a="1"/>
  <c r="D60" i="2" s="1"/>
  <c r="C60" i="2" s="1"/>
  <c r="D59" i="2" a="1"/>
  <c r="D59" i="2" s="1"/>
  <c r="C59" i="2" s="1"/>
  <c r="D58" i="2" a="1"/>
  <c r="D58" i="2" s="1"/>
  <c r="C58" i="2" s="1"/>
  <c r="D57" i="2" a="1"/>
  <c r="D57" i="2" s="1"/>
  <c r="C57" i="2" s="1"/>
  <c r="D56" i="2" a="1"/>
  <c r="D56" i="2" s="1"/>
  <c r="C56" i="2" s="1"/>
  <c r="D55" i="2" a="1"/>
  <c r="D55" i="2" s="1"/>
  <c r="C55" i="2" s="1"/>
  <c r="D54" i="2" a="1"/>
  <c r="D54" i="2" s="1"/>
  <c r="C54" i="2" s="1"/>
  <c r="D53" i="2" a="1"/>
  <c r="D53" i="2" s="1"/>
  <c r="C53" i="2" s="1"/>
  <c r="D52" i="2" a="1"/>
  <c r="D52" i="2" s="1"/>
  <c r="C52" i="2" s="1"/>
  <c r="D51" i="2" a="1"/>
  <c r="D51" i="2" s="1"/>
  <c r="C51" i="2" s="1"/>
  <c r="D50" i="2" a="1"/>
  <c r="D50" i="2" s="1"/>
  <c r="C50" i="2" s="1"/>
  <c r="D49" i="2" a="1"/>
  <c r="D49" i="2" s="1"/>
  <c r="C49" i="2" s="1"/>
  <c r="D48" i="2" a="1"/>
  <c r="D48" i="2" s="1"/>
  <c r="C48" i="2" s="1"/>
  <c r="D47" i="2" a="1"/>
  <c r="D47" i="2" s="1"/>
  <c r="C47" i="2" s="1"/>
  <c r="D46" i="2" a="1"/>
  <c r="D46" i="2" s="1"/>
  <c r="C46" i="2" s="1"/>
  <c r="D45" i="2" a="1"/>
  <c r="D45" i="2" s="1"/>
  <c r="C45" i="2" s="1"/>
  <c r="D44" i="2" a="1"/>
  <c r="D44" i="2" s="1"/>
  <c r="C44" i="2" s="1"/>
  <c r="D43" i="2" a="1"/>
  <c r="D43" i="2" s="1"/>
  <c r="C43" i="2" s="1"/>
  <c r="D42" i="2" a="1"/>
  <c r="D42" i="2" s="1"/>
  <c r="C42" i="2" s="1"/>
  <c r="D41" i="2" a="1"/>
  <c r="D41" i="2" s="1"/>
  <c r="C41" i="2" s="1"/>
  <c r="D40" i="2" a="1"/>
  <c r="D40" i="2" s="1"/>
  <c r="C40" i="2" s="1"/>
  <c r="D39" i="2" a="1"/>
  <c r="D39" i="2" s="1"/>
  <c r="C39" i="2" s="1"/>
  <c r="D38" i="2" a="1"/>
  <c r="D38" i="2" s="1"/>
  <c r="C38" i="2" s="1"/>
  <c r="D37" i="2" a="1"/>
  <c r="D37" i="2" s="1"/>
  <c r="C37" i="2" s="1"/>
  <c r="D36" i="2" a="1"/>
  <c r="D36" i="2" s="1"/>
  <c r="C36" i="2" s="1"/>
  <c r="D35" i="2" a="1"/>
  <c r="D35" i="2" s="1"/>
  <c r="C35" i="2" s="1"/>
  <c r="D34" i="2" a="1"/>
  <c r="D34" i="2" s="1"/>
  <c r="C34" i="2" s="1"/>
  <c r="D33" i="2" a="1"/>
  <c r="D33" i="2" s="1"/>
  <c r="C33" i="2" s="1"/>
  <c r="D32" i="2" a="1"/>
  <c r="D32" i="2" s="1"/>
  <c r="C32" i="2" s="1"/>
  <c r="D31" i="2" a="1"/>
  <c r="D31" i="2" s="1"/>
  <c r="C31" i="2" s="1"/>
  <c r="D30" i="2" a="1"/>
  <c r="D30" i="2" s="1"/>
  <c r="C30" i="2" s="1"/>
  <c r="D29" i="2" a="1"/>
  <c r="D29" i="2" s="1"/>
  <c r="C29" i="2" s="1"/>
  <c r="D28" i="2" a="1"/>
  <c r="D28" i="2" s="1"/>
  <c r="C28" i="2" s="1"/>
  <c r="D27" i="2" a="1"/>
  <c r="D27" i="2" s="1"/>
  <c r="C27" i="2" s="1"/>
  <c r="D26" i="2" a="1"/>
  <c r="D26" i="2" s="1"/>
  <c r="C26" i="2" s="1"/>
  <c r="D25" i="2" a="1"/>
  <c r="D25" i="2" s="1"/>
  <c r="C25" i="2" s="1"/>
  <c r="D24" i="2" a="1"/>
  <c r="D24" i="2" s="1"/>
  <c r="C24" i="2" s="1"/>
  <c r="D23" i="2" a="1"/>
  <c r="D23" i="2" s="1"/>
  <c r="C23" i="2" s="1"/>
  <c r="D22" i="2" a="1"/>
  <c r="D22" i="2" s="1"/>
  <c r="C22" i="2" s="1"/>
  <c r="D21" i="2" a="1"/>
  <c r="D21" i="2" s="1"/>
  <c r="C21" i="2" s="1"/>
  <c r="D20" i="2" a="1"/>
  <c r="D20" i="2" s="1"/>
  <c r="C20" i="2" s="1"/>
  <c r="D19" i="2" a="1"/>
  <c r="D19" i="2" s="1"/>
  <c r="C19" i="2" s="1"/>
  <c r="D18" i="2" a="1"/>
  <c r="D18" i="2" s="1"/>
  <c r="C18" i="2" s="1"/>
  <c r="D17" i="2" a="1"/>
  <c r="D17" i="2" s="1"/>
  <c r="C17" i="2" s="1"/>
  <c r="D16" i="2" a="1"/>
  <c r="D16" i="2" s="1"/>
  <c r="C16" i="2" s="1"/>
  <c r="D15" i="2" a="1"/>
  <c r="D15" i="2" s="1"/>
  <c r="C15" i="2" s="1"/>
  <c r="D14" i="2" a="1"/>
  <c r="D14" i="2" s="1"/>
  <c r="C14" i="2" s="1"/>
  <c r="D13" i="2" a="1"/>
  <c r="D13" i="2" s="1"/>
  <c r="C13" i="2" s="1"/>
  <c r="D12" i="2" a="1"/>
  <c r="D12" i="2" s="1"/>
  <c r="C12" i="2" s="1"/>
  <c r="D11" i="2" a="1"/>
  <c r="D11" i="2" s="1"/>
  <c r="C11" i="2" s="1"/>
  <c r="D10" i="2" a="1"/>
  <c r="D10" i="2" s="1"/>
  <c r="C10" i="2" s="1"/>
  <c r="D9" i="2" a="1"/>
  <c r="D9" i="2" s="1"/>
  <c r="C9" i="2" s="1"/>
  <c r="D8" i="2" a="1"/>
  <c r="D8" i="2" s="1"/>
  <c r="C8" i="2" s="1"/>
  <c r="D7" i="2" a="1"/>
  <c r="D7" i="2" s="1"/>
  <c r="C7" i="2" s="1"/>
  <c r="D6" i="2" a="1"/>
  <c r="D6" i="2" s="1"/>
  <c r="C6" i="2" s="1"/>
  <c r="D5" i="2" a="1"/>
  <c r="D5" i="2" s="1"/>
  <c r="C5" i="2" s="1"/>
  <c r="D4" i="2" a="1"/>
  <c r="D4" i="2" s="1"/>
  <c r="C4" i="2" s="1"/>
  <c r="D3" i="2" a="1"/>
  <c r="D3" i="2" s="1"/>
  <c r="C3" i="2" s="1"/>
  <c r="D2" i="2" a="1"/>
  <c r="D2" i="2" s="1"/>
  <c r="C2" i="2" s="1"/>
  <c r="B2" i="2" a="1"/>
  <c r="B2" i="2" s="1"/>
  <c r="B248" i="2" a="1"/>
  <c r="B248" i="2" s="1"/>
  <c r="B247" i="2" a="1"/>
  <c r="B247" i="2" s="1"/>
  <c r="B246" i="2" a="1"/>
  <c r="B246" i="2" s="1"/>
  <c r="B245" i="2" a="1"/>
  <c r="B245" i="2" s="1"/>
  <c r="B243" i="2" a="1"/>
  <c r="B243" i="2" s="1"/>
  <c r="B237" i="2" a="1"/>
  <c r="B237" i="2" s="1"/>
  <c r="B235" i="2" a="1"/>
  <c r="B235" i="2" s="1"/>
  <c r="B234" i="2" a="1"/>
  <c r="B234" i="2" s="1"/>
  <c r="B233" i="2" a="1"/>
  <c r="B233" i="2" s="1"/>
  <c r="B232" i="2" a="1"/>
  <c r="B232" i="2" s="1"/>
  <c r="B231" i="2" a="1"/>
  <c r="B231" i="2" s="1"/>
  <c r="B230" i="2" a="1"/>
  <c r="B230" i="2" s="1"/>
  <c r="B227" i="2" a="1"/>
  <c r="B227" i="2" s="1"/>
  <c r="B226" i="2" a="1"/>
  <c r="B226" i="2" s="1"/>
  <c r="B224" i="2" a="1"/>
  <c r="B224" i="2" s="1"/>
  <c r="B221" i="2" a="1"/>
  <c r="B221" i="2" s="1"/>
  <c r="B219" i="2" a="1"/>
  <c r="B219" i="2" s="1"/>
  <c r="B218" i="2" a="1"/>
  <c r="B218" i="2" s="1"/>
  <c r="B217" i="2" a="1"/>
  <c r="B217" i="2" s="1"/>
  <c r="B216" i="2" a="1"/>
  <c r="B216" i="2" s="1"/>
  <c r="B215" i="2" a="1"/>
  <c r="B215" i="2" s="1"/>
  <c r="B214" i="2" a="1"/>
  <c r="B214" i="2" s="1"/>
  <c r="B213" i="2" a="1"/>
  <c r="B213" i="2" s="1"/>
  <c r="B211" i="2" a="1"/>
  <c r="B211" i="2" s="1"/>
  <c r="B209" i="2" a="1"/>
  <c r="B209" i="2" s="1"/>
  <c r="B207" i="2" a="1"/>
  <c r="B207" i="2" s="1"/>
  <c r="B205" i="2" a="1"/>
  <c r="B205" i="2" s="1"/>
  <c r="B203" i="2" a="1"/>
  <c r="B203" i="2" s="1"/>
  <c r="B202" i="2" a="1"/>
  <c r="B202" i="2" s="1"/>
  <c r="B201" i="2" a="1"/>
  <c r="B201" i="2" s="1"/>
  <c r="B200" i="2" a="1"/>
  <c r="B200" i="2" s="1"/>
  <c r="B199" i="2" a="1"/>
  <c r="B199" i="2" s="1"/>
  <c r="B198" i="2" a="1"/>
  <c r="B198" i="2" s="1"/>
  <c r="B196" i="2" a="1"/>
  <c r="B196" i="2" s="1"/>
  <c r="B195" i="2" a="1"/>
  <c r="B195" i="2" s="1"/>
  <c r="B194" i="2" a="1"/>
  <c r="B194" i="2" s="1"/>
  <c r="B193" i="2" a="1"/>
  <c r="B193" i="2" s="1"/>
  <c r="B192" i="2" a="1"/>
  <c r="B192" i="2" s="1"/>
  <c r="B191" i="2" a="1"/>
  <c r="B191" i="2" s="1"/>
  <c r="B190" i="2" a="1"/>
  <c r="B190" i="2" s="1"/>
  <c r="B189" i="2" a="1"/>
  <c r="B189" i="2" s="1"/>
  <c r="B188" i="2" a="1"/>
  <c r="B188" i="2" s="1"/>
  <c r="B187" i="2" a="1"/>
  <c r="B187" i="2" s="1"/>
  <c r="B186" i="2" a="1"/>
  <c r="B186" i="2" s="1"/>
  <c r="B185" i="2" a="1"/>
  <c r="B185" i="2" s="1"/>
  <c r="B184" i="2" a="1"/>
  <c r="B184" i="2" s="1"/>
  <c r="B183" i="2" a="1"/>
  <c r="B183" i="2" s="1"/>
  <c r="B182" i="2" a="1"/>
  <c r="B182" i="2" s="1"/>
  <c r="B181" i="2" a="1"/>
  <c r="B181" i="2" s="1"/>
  <c r="B180" i="2" a="1"/>
  <c r="B180" i="2" s="1"/>
  <c r="B179" i="2" a="1"/>
  <c r="B179" i="2" s="1"/>
  <c r="B178" i="2" a="1"/>
  <c r="B178" i="2" s="1"/>
  <c r="B177" i="2" a="1"/>
  <c r="B177" i="2" s="1"/>
  <c r="B176" i="2" a="1"/>
  <c r="B176" i="2" s="1"/>
  <c r="B175" i="2" a="1"/>
  <c r="B175" i="2" s="1"/>
  <c r="B174" i="2" a="1"/>
  <c r="B174" i="2" s="1"/>
  <c r="B173" i="2" a="1"/>
  <c r="B173" i="2" s="1"/>
  <c r="B172" i="2" a="1"/>
  <c r="B172" i="2" s="1"/>
  <c r="B171" i="2" a="1"/>
  <c r="B171" i="2" s="1"/>
  <c r="B170" i="2" a="1"/>
  <c r="B170" i="2" s="1"/>
  <c r="B169" i="2" a="1"/>
  <c r="B169" i="2" s="1"/>
  <c r="B168" i="2" a="1"/>
  <c r="B168" i="2" s="1"/>
  <c r="B167" i="2" a="1"/>
  <c r="B167" i="2" s="1"/>
  <c r="B166" i="2" a="1"/>
  <c r="B166" i="2" s="1"/>
  <c r="B165" i="2" a="1"/>
  <c r="B165" i="2" s="1"/>
  <c r="B164" i="2" a="1"/>
  <c r="B164" i="2" s="1"/>
  <c r="B163" i="2" a="1"/>
  <c r="B163" i="2" s="1"/>
  <c r="B162" i="2" a="1"/>
  <c r="B162" i="2" s="1"/>
  <c r="B161" i="2" a="1"/>
  <c r="B161" i="2" s="1"/>
  <c r="B160" i="2" a="1"/>
  <c r="B160" i="2" s="1"/>
  <c r="B159" i="2" a="1"/>
  <c r="B159" i="2" s="1"/>
  <c r="B158" i="2" a="1"/>
  <c r="B158" i="2" s="1"/>
  <c r="B157" i="2" a="1"/>
  <c r="B157" i="2" s="1"/>
  <c r="B156" i="2" a="1"/>
  <c r="B156" i="2" s="1"/>
  <c r="B155" i="2" a="1"/>
  <c r="B155" i="2" s="1"/>
  <c r="B154" i="2" a="1"/>
  <c r="B154" i="2" s="1"/>
  <c r="B153" i="2" a="1"/>
  <c r="B153" i="2" s="1"/>
  <c r="B152" i="2" a="1"/>
  <c r="B152" i="2" s="1"/>
  <c r="B151" i="2" a="1"/>
  <c r="B151" i="2" s="1"/>
  <c r="B150" i="2" a="1"/>
  <c r="B150" i="2" s="1"/>
  <c r="B149" i="2" a="1"/>
  <c r="B149" i="2" s="1"/>
  <c r="B148" i="2" a="1"/>
  <c r="B148" i="2" s="1"/>
  <c r="B147" i="2" a="1"/>
  <c r="B147" i="2" s="1"/>
  <c r="B146" i="2" a="1"/>
  <c r="B146" i="2" s="1"/>
  <c r="B145" i="2" a="1"/>
  <c r="B145" i="2" s="1"/>
  <c r="B144" i="2" a="1"/>
  <c r="B144" i="2" s="1"/>
  <c r="B143" i="2" a="1"/>
  <c r="B143" i="2" s="1"/>
  <c r="B142" i="2" a="1"/>
  <c r="B142" i="2" s="1"/>
  <c r="B141" i="2" a="1"/>
  <c r="B141" i="2" s="1"/>
  <c r="B140" i="2" a="1"/>
  <c r="B140" i="2" s="1"/>
  <c r="B139" i="2" a="1"/>
  <c r="B139" i="2" s="1"/>
  <c r="B138" i="2" a="1"/>
  <c r="B138" i="2" s="1"/>
  <c r="B137" i="2" a="1"/>
  <c r="B137" i="2" s="1"/>
  <c r="B136" i="2" a="1"/>
  <c r="B136" i="2" s="1"/>
  <c r="B135" i="2" a="1"/>
  <c r="B135" i="2" s="1"/>
  <c r="B134" i="2" a="1"/>
  <c r="B134" i="2" s="1"/>
  <c r="B133" i="2" a="1"/>
  <c r="B133" i="2" s="1"/>
  <c r="B132" i="2" a="1"/>
  <c r="B132" i="2" s="1"/>
  <c r="B131" i="2" a="1"/>
  <c r="B131" i="2" s="1"/>
  <c r="B130" i="2" a="1"/>
  <c r="B130" i="2" s="1"/>
  <c r="B129" i="2" a="1"/>
  <c r="B129" i="2" s="1"/>
  <c r="B128" i="2" a="1"/>
  <c r="B128" i="2" s="1"/>
  <c r="B127" i="2" a="1"/>
  <c r="B127" i="2" s="1"/>
  <c r="B126" i="2" a="1"/>
  <c r="B126" i="2" s="1"/>
  <c r="B125" i="2" a="1"/>
  <c r="B125" i="2" s="1"/>
  <c r="B124" i="2" a="1"/>
  <c r="B124" i="2" s="1"/>
  <c r="B123" i="2" a="1"/>
  <c r="B123" i="2" s="1"/>
  <c r="B122" i="2" a="1"/>
  <c r="B122" i="2" s="1"/>
  <c r="B121" i="2" a="1"/>
  <c r="B121" i="2" s="1"/>
  <c r="B120" i="2" a="1"/>
  <c r="B120" i="2" s="1"/>
  <c r="B119" i="2" a="1"/>
  <c r="B119" i="2" s="1"/>
  <c r="B118" i="2" a="1"/>
  <c r="B118" i="2" s="1"/>
  <c r="B117" i="2" a="1"/>
  <c r="B117" i="2" s="1"/>
  <c r="B116" i="2" a="1"/>
  <c r="B116" i="2" s="1"/>
  <c r="B115" i="2" a="1"/>
  <c r="B115" i="2" s="1"/>
  <c r="B114" i="2" a="1"/>
  <c r="B114" i="2" s="1"/>
  <c r="B113" i="2" a="1"/>
  <c r="B113" i="2" s="1"/>
  <c r="B112" i="2" a="1"/>
  <c r="B112" i="2" s="1"/>
  <c r="B111" i="2" a="1"/>
  <c r="B111" i="2" s="1"/>
  <c r="B110" i="2" a="1"/>
  <c r="B110" i="2" s="1"/>
  <c r="B109" i="2" a="1"/>
  <c r="B109" i="2" s="1"/>
  <c r="B108" i="2" a="1"/>
  <c r="B108" i="2" s="1"/>
  <c r="B107" i="2" a="1"/>
  <c r="B107" i="2" s="1"/>
  <c r="B106" i="2" a="1"/>
  <c r="B106" i="2" s="1"/>
  <c r="B105" i="2" a="1"/>
  <c r="B105" i="2" s="1"/>
  <c r="B104" i="2" a="1"/>
  <c r="B104" i="2" s="1"/>
  <c r="B103" i="2" a="1"/>
  <c r="B103" i="2" s="1"/>
  <c r="B102" i="2" a="1"/>
  <c r="B102" i="2" s="1"/>
  <c r="B101" i="2" a="1"/>
  <c r="B101" i="2" s="1"/>
  <c r="B100" i="2" a="1"/>
  <c r="B100" i="2" s="1"/>
  <c r="B99" i="2" a="1"/>
  <c r="B99" i="2" s="1"/>
  <c r="B98" i="2" a="1"/>
  <c r="B98" i="2" s="1"/>
  <c r="B97" i="2" a="1"/>
  <c r="B97" i="2" s="1"/>
  <c r="B96" i="2" a="1"/>
  <c r="B96" i="2" s="1"/>
  <c r="B95" i="2" a="1"/>
  <c r="B95" i="2" s="1"/>
  <c r="B94" i="2" a="1"/>
  <c r="B94" i="2" s="1"/>
  <c r="B93" i="2" a="1"/>
  <c r="B93" i="2" s="1"/>
  <c r="B92" i="2" a="1"/>
  <c r="B92" i="2" s="1"/>
  <c r="B91" i="2" a="1"/>
  <c r="B91" i="2" s="1"/>
  <c r="B90" i="2" a="1"/>
  <c r="B90" i="2" s="1"/>
  <c r="B89" i="2" a="1"/>
  <c r="B89" i="2" s="1"/>
  <c r="B88" i="2" a="1"/>
  <c r="B88" i="2" s="1"/>
  <c r="B87" i="2" a="1"/>
  <c r="B87" i="2" s="1"/>
  <c r="B86" i="2" a="1"/>
  <c r="B86" i="2" s="1"/>
  <c r="B85" i="2" a="1"/>
  <c r="B85" i="2" s="1"/>
  <c r="B84" i="2" a="1"/>
  <c r="B84" i="2" s="1"/>
  <c r="B83" i="2" a="1"/>
  <c r="B83" i="2" s="1"/>
  <c r="B82" i="2" a="1"/>
  <c r="B82" i="2" s="1"/>
  <c r="B81" i="2" a="1"/>
  <c r="B81" i="2" s="1"/>
  <c r="B80" i="2" a="1"/>
  <c r="B80" i="2" s="1"/>
  <c r="B79" i="2" a="1"/>
  <c r="B79" i="2" s="1"/>
  <c r="B78" i="2" a="1"/>
  <c r="B78" i="2" s="1"/>
  <c r="B77" i="2" a="1"/>
  <c r="B77" i="2" s="1"/>
  <c r="B76" i="2" a="1"/>
  <c r="B76" i="2" s="1"/>
  <c r="B75" i="2" a="1"/>
  <c r="B75" i="2" s="1"/>
  <c r="B74" i="2" a="1"/>
  <c r="B74" i="2" s="1"/>
  <c r="B73" i="2" a="1"/>
  <c r="B73" i="2" s="1"/>
  <c r="B72" i="2" a="1"/>
  <c r="B72" i="2" s="1"/>
  <c r="B71" i="2" a="1"/>
  <c r="B71" i="2" s="1"/>
  <c r="B70" i="2" a="1"/>
  <c r="B70" i="2" s="1"/>
  <c r="B69" i="2" a="1"/>
  <c r="B69" i="2" s="1"/>
  <c r="B68" i="2" a="1"/>
  <c r="B68" i="2" s="1"/>
  <c r="B67" i="2" a="1"/>
  <c r="B67" i="2" s="1"/>
  <c r="B66" i="2" a="1"/>
  <c r="B66" i="2" s="1"/>
  <c r="B65" i="2" a="1"/>
  <c r="B65" i="2" s="1"/>
  <c r="B64" i="2" a="1"/>
  <c r="B64" i="2" s="1"/>
  <c r="B63" i="2" a="1"/>
  <c r="B63" i="2" s="1"/>
  <c r="B62" i="2" a="1"/>
  <c r="B62" i="2" s="1"/>
  <c r="B61" i="2" a="1"/>
  <c r="B61" i="2" s="1"/>
  <c r="B60" i="2" a="1"/>
  <c r="B60" i="2" s="1"/>
  <c r="B59" i="2" a="1"/>
  <c r="B59" i="2" s="1"/>
  <c r="B58" i="2" a="1"/>
  <c r="B58" i="2" s="1"/>
  <c r="B57" i="2" a="1"/>
  <c r="B57" i="2" s="1"/>
  <c r="B56" i="2" a="1"/>
  <c r="B56" i="2" s="1"/>
  <c r="B55" i="2" a="1"/>
  <c r="B55" i="2" s="1"/>
  <c r="B54" i="2" a="1"/>
  <c r="B54" i="2" s="1"/>
  <c r="B53" i="2" a="1"/>
  <c r="B53" i="2" s="1"/>
  <c r="B52" i="2" a="1"/>
  <c r="B52" i="2" s="1"/>
  <c r="B51" i="2" a="1"/>
  <c r="B51" i="2" s="1"/>
  <c r="B50" i="2" a="1"/>
  <c r="B50" i="2" s="1"/>
  <c r="B49" i="2" a="1"/>
  <c r="B49" i="2" s="1"/>
  <c r="B48" i="2" a="1"/>
  <c r="B48" i="2" s="1"/>
  <c r="B47" i="2" a="1"/>
  <c r="B47" i="2" s="1"/>
  <c r="B46" i="2" a="1"/>
  <c r="B46" i="2" s="1"/>
  <c r="B45" i="2" a="1"/>
  <c r="B45" i="2" s="1"/>
  <c r="B44" i="2" a="1"/>
  <c r="B44" i="2" s="1"/>
  <c r="B43" i="2" a="1"/>
  <c r="B43" i="2" s="1"/>
  <c r="B42" i="2" a="1"/>
  <c r="B42" i="2" s="1"/>
  <c r="B41" i="2" a="1"/>
  <c r="B41" i="2" s="1"/>
  <c r="B40" i="2" a="1"/>
  <c r="B40" i="2" s="1"/>
  <c r="B39" i="2" a="1"/>
  <c r="B39" i="2" s="1"/>
  <c r="B38" i="2" a="1"/>
  <c r="B38" i="2" s="1"/>
  <c r="B37" i="2" a="1"/>
  <c r="B37" i="2" s="1"/>
  <c r="B36" i="2" a="1"/>
  <c r="B36" i="2" s="1"/>
  <c r="B35" i="2" a="1"/>
  <c r="B35" i="2" s="1"/>
  <c r="B34" i="2" a="1"/>
  <c r="B34" i="2" s="1"/>
  <c r="B33" i="2" a="1"/>
  <c r="B33" i="2" s="1"/>
  <c r="B32" i="2" a="1"/>
  <c r="B32" i="2" s="1"/>
  <c r="B31" i="2" a="1"/>
  <c r="B31" i="2" s="1"/>
  <c r="B30" i="2" a="1"/>
  <c r="B30" i="2" s="1"/>
  <c r="B29" i="2" a="1"/>
  <c r="B29" i="2" s="1"/>
  <c r="B28" i="2" a="1"/>
  <c r="B28" i="2" s="1"/>
  <c r="B27" i="2" a="1"/>
  <c r="B27" i="2" s="1"/>
  <c r="B26" i="2" a="1"/>
  <c r="B26" i="2" s="1"/>
  <c r="B25" i="2" a="1"/>
  <c r="B25" i="2" s="1"/>
  <c r="B24" i="2" a="1"/>
  <c r="B24" i="2" s="1"/>
  <c r="B23" i="2" a="1"/>
  <c r="B23" i="2" s="1"/>
  <c r="B22" i="2" a="1"/>
  <c r="B22" i="2" s="1"/>
  <c r="B21" i="2" a="1"/>
  <c r="B21" i="2" s="1"/>
  <c r="B20" i="2" a="1"/>
  <c r="B20" i="2" s="1"/>
  <c r="B19" i="2" a="1"/>
  <c r="B19" i="2" s="1"/>
  <c r="B18" i="2" a="1"/>
  <c r="B18" i="2" s="1"/>
  <c r="B17" i="2" a="1"/>
  <c r="B17" i="2" s="1"/>
  <c r="B16" i="2" a="1"/>
  <c r="B16" i="2" s="1"/>
  <c r="B15" i="2" a="1"/>
  <c r="B15" i="2" s="1"/>
  <c r="B14" i="2" a="1"/>
  <c r="B14" i="2" s="1"/>
  <c r="B13" i="2" a="1"/>
  <c r="B13" i="2" s="1"/>
  <c r="B12" i="2" a="1"/>
  <c r="B12" i="2" s="1"/>
  <c r="B11" i="2" a="1"/>
  <c r="B11" i="2" s="1"/>
  <c r="B10" i="2" a="1"/>
  <c r="B10" i="2" s="1"/>
  <c r="B9" i="2" a="1"/>
  <c r="B9" i="2" s="1"/>
  <c r="B8" i="2" a="1"/>
  <c r="B8" i="2" s="1"/>
  <c r="B7" i="2" a="1"/>
  <c r="B7" i="2" s="1"/>
  <c r="B6" i="2" a="1"/>
  <c r="B6" i="2" s="1"/>
  <c r="B5" i="2" a="1"/>
  <c r="B5" i="2" s="1"/>
  <c r="B4" i="2" a="1"/>
  <c r="B4" i="2" s="1"/>
  <c r="B3" i="2" a="1"/>
  <c r="B3" i="2" s="1"/>
  <c r="D2" i="1"/>
  <c r="D3" i="1" s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/>
  <c r="D17" i="1" s="1"/>
  <c r="D18" i="1" s="1"/>
  <c r="D19" i="1" s="1"/>
  <c r="D20" i="1" s="1"/>
  <c r="D21" i="1" s="1"/>
  <c r="D22" i="1" s="1"/>
  <c r="D23" i="1" s="1"/>
  <c r="D24" i="1" s="1"/>
  <c r="D25" i="1"/>
  <c r="D26" i="1" s="1"/>
  <c r="D27" i="1" s="1"/>
  <c r="D28" i="1" s="1"/>
  <c r="D29" i="1" s="1"/>
  <c r="D30" i="1" s="1"/>
  <c r="D31" i="1" s="1"/>
  <c r="D32" i="1"/>
  <c r="D33" i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/>
  <c r="D94" i="1" s="1"/>
  <c r="D95" i="1" s="1"/>
  <c r="D96" i="1"/>
  <c r="D97" i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/>
  <c r="D116" i="1"/>
  <c r="D117" i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/>
  <c r="D129" i="1" s="1"/>
  <c r="D130" i="1" s="1"/>
  <c r="D131" i="1" s="1"/>
  <c r="D132" i="1" s="1"/>
  <c r="D133" i="1" s="1"/>
  <c r="D134" i="1" s="1"/>
  <c r="D135" i="1" s="1"/>
  <c r="D136" i="1" s="1"/>
  <c r="D137" i="1"/>
  <c r="D138" i="1" s="1"/>
  <c r="D139" i="1" s="1"/>
  <c r="D140" i="1" s="1"/>
  <c r="D141" i="1" s="1"/>
  <c r="D142" i="1" s="1"/>
  <c r="D143" i="1" s="1"/>
  <c r="D144" i="1"/>
  <c r="D145" i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/>
  <c r="D178" i="1" s="1"/>
  <c r="D179" i="1" s="1"/>
  <c r="D180" i="1" s="1"/>
  <c r="D181" i="1" s="1"/>
  <c r="D182" i="1" s="1"/>
  <c r="D183" i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/>
  <c r="D253" i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/>
  <c r="D273" i="1"/>
  <c r="D274" i="1" s="1"/>
  <c r="D275" i="1"/>
  <c r="D276" i="1"/>
  <c r="D277" i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/>
  <c r="D299" i="1" s="1"/>
  <c r="D300" i="1" s="1"/>
  <c r="D301" i="1" s="1"/>
  <c r="D302" i="1" s="1"/>
  <c r="D303" i="1" s="1"/>
  <c r="D304" i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/>
  <c r="D337" i="1" s="1"/>
  <c r="D338" i="1" s="1"/>
  <c r="D339" i="1" s="1"/>
  <c r="D340" i="1" s="1"/>
  <c r="D341" i="1" s="1"/>
  <c r="D342" i="1" s="1"/>
  <c r="D343" i="1" s="1"/>
  <c r="D344" i="1"/>
  <c r="D345" i="1"/>
  <c r="D346" i="1" s="1"/>
  <c r="D347" i="1" s="1"/>
  <c r="D348" i="1" s="1"/>
  <c r="D349" i="1" s="1"/>
  <c r="D350" i="1" s="1"/>
  <c r="D351" i="1" s="1"/>
  <c r="D352" i="1"/>
  <c r="D353" i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/>
  <c r="D368" i="1"/>
  <c r="D369" i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/>
  <c r="D391" i="1" s="1"/>
  <c r="D392" i="1" s="1"/>
  <c r="D393" i="1" s="1"/>
  <c r="D394" i="1" s="1"/>
  <c r="D395" i="1" s="1"/>
  <c r="D396" i="1" s="1"/>
  <c r="D397" i="1" s="1"/>
  <c r="D398" i="1" s="1"/>
  <c r="D399" i="1" s="1"/>
  <c r="D400" i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/>
  <c r="D414" i="1" s="1"/>
  <c r="D415" i="1" s="1"/>
  <c r="D416" i="1"/>
  <c r="D417" i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/>
  <c r="D437" i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/>
  <c r="D458" i="1" s="1"/>
  <c r="D459" i="1" s="1"/>
  <c r="D460" i="1" s="1"/>
  <c r="D461" i="1" s="1"/>
  <c r="D462" i="1" s="1"/>
  <c r="D463" i="1" s="1"/>
  <c r="D464" i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/>
  <c r="D481" i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/>
  <c r="D497" i="1" s="1"/>
  <c r="D498" i="1" s="1"/>
  <c r="D499" i="1" s="1"/>
  <c r="D500" i="1" s="1"/>
  <c r="D501" i="1" s="1"/>
  <c r="D502" i="1" s="1"/>
  <c r="D503" i="1"/>
  <c r="D504" i="1" s="1"/>
  <c r="D505" i="1" s="1"/>
  <c r="D506" i="1" s="1"/>
  <c r="D507" i="1" s="1"/>
  <c r="D508" i="1" s="1"/>
  <c r="D509" i="1" s="1"/>
  <c r="D510" i="1" s="1"/>
  <c r="D511" i="1" s="1"/>
  <c r="D512" i="1"/>
  <c r="D513" i="1"/>
  <c r="D514" i="1" s="1"/>
  <c r="D515" i="1" s="1"/>
  <c r="D516" i="1" s="1"/>
  <c r="D517" i="1" s="1"/>
  <c r="D518" i="1" s="1"/>
  <c r="D519" i="1" s="1"/>
  <c r="D520" i="1" s="1"/>
  <c r="D521" i="1" s="1"/>
  <c r="D522" i="1" s="1"/>
  <c r="D523" i="1" s="1"/>
  <c r="D524" i="1" s="1"/>
  <c r="D525" i="1" s="1"/>
  <c r="D526" i="1"/>
  <c r="D527" i="1" s="1"/>
  <c r="D528" i="1" s="1"/>
  <c r="D529" i="1" s="1"/>
  <c r="D530" i="1" s="1"/>
  <c r="D531" i="1" s="1"/>
  <c r="D532" i="1" s="1"/>
  <c r="D533" i="1" s="1"/>
  <c r="D534" i="1" s="1"/>
  <c r="D535" i="1" s="1"/>
  <c r="D536" i="1" s="1"/>
  <c r="D537" i="1" s="1"/>
  <c r="D538" i="1" s="1"/>
  <c r="D539" i="1" s="1"/>
  <c r="D540" i="1" s="1"/>
  <c r="D541" i="1" s="1"/>
  <c r="D542" i="1" s="1"/>
  <c r="D543" i="1" s="1"/>
  <c r="D544" i="1" s="1"/>
  <c r="D545" i="1" s="1"/>
  <c r="D546" i="1" s="1"/>
  <c r="D547" i="1" s="1"/>
  <c r="D548" i="1" s="1"/>
  <c r="D549" i="1"/>
  <c r="D550" i="1" s="1"/>
  <c r="D551" i="1" s="1"/>
  <c r="D552" i="1" s="1"/>
  <c r="D553" i="1" s="1"/>
  <c r="D554" i="1" s="1"/>
  <c r="D555" i="1" s="1"/>
  <c r="D556" i="1" s="1"/>
  <c r="D557" i="1" s="1"/>
  <c r="D558" i="1" s="1"/>
  <c r="D559" i="1" s="1"/>
  <c r="D560" i="1" s="1"/>
  <c r="D561" i="1" s="1"/>
  <c r="D562" i="1" s="1"/>
  <c r="D563" i="1" s="1"/>
  <c r="D564" i="1" s="1"/>
  <c r="D565" i="1" s="1"/>
  <c r="D566" i="1" s="1"/>
  <c r="D567" i="1" s="1"/>
  <c r="D568" i="1" s="1"/>
  <c r="D569" i="1" s="1"/>
  <c r="D570" i="1" s="1"/>
  <c r="D571" i="1" s="1"/>
  <c r="D572" i="1"/>
  <c r="D573" i="1"/>
  <c r="D574" i="1" s="1"/>
  <c r="D575" i="1" s="1"/>
  <c r="D576" i="1"/>
  <c r="D577" i="1"/>
  <c r="D578" i="1" s="1"/>
  <c r="D579" i="1" s="1"/>
  <c r="D580" i="1" s="1"/>
  <c r="D581" i="1" s="1"/>
  <c r="D582" i="1" s="1"/>
  <c r="D583" i="1" s="1"/>
  <c r="D584" i="1" s="1"/>
  <c r="D585" i="1" s="1"/>
  <c r="D586" i="1" s="1"/>
  <c r="D587" i="1" s="1"/>
  <c r="D588" i="1" s="1"/>
  <c r="D589" i="1" s="1"/>
  <c r="D590" i="1" s="1"/>
  <c r="D591" i="1" s="1"/>
  <c r="D592" i="1" s="1"/>
  <c r="D593" i="1" s="1"/>
  <c r="D594" i="1" s="1"/>
  <c r="D595" i="1"/>
  <c r="D596" i="1"/>
  <c r="D597" i="1"/>
  <c r="D598" i="1" s="1"/>
  <c r="D599" i="1" s="1"/>
  <c r="D600" i="1" s="1"/>
  <c r="D601" i="1" s="1"/>
  <c r="D602" i="1" s="1"/>
  <c r="D603" i="1" s="1"/>
  <c r="D604" i="1" s="1"/>
  <c r="D605" i="1" s="1"/>
  <c r="D606" i="1" s="1"/>
  <c r="D607" i="1" s="1"/>
  <c r="D608" i="1" s="1"/>
  <c r="D609" i="1" s="1"/>
  <c r="D610" i="1" s="1"/>
  <c r="D611" i="1" s="1"/>
  <c r="D612" i="1" s="1"/>
  <c r="D613" i="1" s="1"/>
  <c r="D614" i="1" s="1"/>
  <c r="D615" i="1" s="1"/>
  <c r="D616" i="1" s="1"/>
  <c r="D617" i="1" s="1"/>
  <c r="D618" i="1"/>
  <c r="D619" i="1" s="1"/>
  <c r="D620" i="1" s="1"/>
  <c r="D621" i="1" s="1"/>
  <c r="D622" i="1" s="1"/>
  <c r="D623" i="1" s="1"/>
  <c r="D624" i="1"/>
  <c r="D625" i="1" s="1"/>
  <c r="D626" i="1" s="1"/>
  <c r="D627" i="1" s="1"/>
  <c r="D628" i="1" s="1"/>
  <c r="D629" i="1" s="1"/>
  <c r="D630" i="1" s="1"/>
  <c r="D631" i="1" s="1"/>
  <c r="D632" i="1" s="1"/>
  <c r="D633" i="1" s="1"/>
  <c r="D634" i="1" s="1"/>
  <c r="D635" i="1" s="1"/>
  <c r="D636" i="1" s="1"/>
  <c r="D637" i="1" s="1"/>
  <c r="D638" i="1" s="1"/>
  <c r="D639" i="1" s="1"/>
  <c r="D640" i="1" s="1"/>
  <c r="D641" i="1"/>
  <c r="D642" i="1" s="1"/>
  <c r="D643" i="1" s="1"/>
  <c r="D644" i="1" s="1"/>
  <c r="D645" i="1" s="1"/>
  <c r="D646" i="1" s="1"/>
  <c r="D647" i="1" s="1"/>
  <c r="D648" i="1" s="1"/>
  <c r="D649" i="1" s="1"/>
  <c r="D650" i="1" s="1"/>
  <c r="D651" i="1" s="1"/>
  <c r="D652" i="1" s="1"/>
  <c r="D653" i="1" s="1"/>
  <c r="D654" i="1" s="1"/>
  <c r="D655" i="1" s="1"/>
  <c r="D656" i="1" s="1"/>
  <c r="D657" i="1" s="1"/>
  <c r="D658" i="1" s="1"/>
  <c r="D659" i="1" s="1"/>
  <c r="D660" i="1" s="1"/>
  <c r="D661" i="1" s="1"/>
  <c r="D662" i="1" s="1"/>
  <c r="D663" i="1" s="1"/>
  <c r="D664" i="1"/>
  <c r="D665" i="1"/>
  <c r="D666" i="1" s="1"/>
  <c r="D667" i="1" s="1"/>
  <c r="D668" i="1" s="1"/>
  <c r="D669" i="1" s="1"/>
  <c r="D670" i="1" s="1"/>
  <c r="D671" i="1" s="1"/>
  <c r="D672" i="1" s="1"/>
  <c r="D673" i="1" s="1"/>
  <c r="D674" i="1" s="1"/>
  <c r="D675" i="1" s="1"/>
  <c r="D676" i="1" s="1"/>
  <c r="D677" i="1" s="1"/>
  <c r="D678" i="1" s="1"/>
  <c r="D679" i="1" s="1"/>
  <c r="D680" i="1" s="1"/>
  <c r="D681" i="1" s="1"/>
  <c r="D682" i="1" s="1"/>
  <c r="D683" i="1" s="1"/>
  <c r="D684" i="1" s="1"/>
  <c r="D685" i="1" s="1"/>
  <c r="D686" i="1" s="1"/>
  <c r="D687" i="1"/>
  <c r="D688" i="1"/>
  <c r="D689" i="1"/>
  <c r="D690" i="1" s="1"/>
  <c r="D691" i="1" s="1"/>
  <c r="D692" i="1" s="1"/>
  <c r="D693" i="1"/>
  <c r="D694" i="1" s="1"/>
  <c r="D695" i="1" s="1"/>
  <c r="D696" i="1" s="1"/>
  <c r="D697" i="1" s="1"/>
  <c r="D698" i="1" s="1"/>
  <c r="D699" i="1" s="1"/>
  <c r="D700" i="1" s="1"/>
  <c r="D701" i="1"/>
  <c r="D702" i="1" s="1"/>
  <c r="D703" i="1" s="1"/>
  <c r="D704" i="1" s="1"/>
  <c r="D705" i="1" s="1"/>
  <c r="D706" i="1" s="1"/>
  <c r="D707" i="1" s="1"/>
  <c r="D708" i="1" s="1"/>
  <c r="D709" i="1" s="1"/>
  <c r="D710" i="1"/>
  <c r="D711" i="1" s="1"/>
  <c r="D712" i="1" s="1"/>
  <c r="D713" i="1" s="1"/>
  <c r="D714" i="1" s="1"/>
  <c r="D715" i="1" s="1"/>
  <c r="D716" i="1" s="1"/>
  <c r="D717" i="1" s="1"/>
  <c r="D718" i="1" s="1"/>
  <c r="D719" i="1" s="1"/>
  <c r="D720" i="1" s="1"/>
  <c r="D721" i="1" s="1"/>
  <c r="D722" i="1" s="1"/>
  <c r="D723" i="1" s="1"/>
  <c r="D724" i="1" s="1"/>
  <c r="D725" i="1" s="1"/>
  <c r="D726" i="1" s="1"/>
  <c r="D727" i="1" s="1"/>
  <c r="D728" i="1" s="1"/>
  <c r="D729" i="1" s="1"/>
  <c r="D730" i="1" s="1"/>
  <c r="D731" i="1" s="1"/>
  <c r="D732" i="1"/>
  <c r="D733" i="1"/>
  <c r="D734" i="1" s="1"/>
  <c r="D735" i="1" s="1"/>
  <c r="D736" i="1"/>
  <c r="D737" i="1" s="1"/>
  <c r="D738" i="1" s="1"/>
  <c r="D739" i="1" s="1"/>
  <c r="D740" i="1" s="1"/>
  <c r="D741" i="1" s="1"/>
  <c r="D742" i="1" s="1"/>
  <c r="D743" i="1" s="1"/>
  <c r="D744" i="1" s="1"/>
  <c r="D745" i="1" s="1"/>
  <c r="D746" i="1" s="1"/>
  <c r="D747" i="1" s="1"/>
  <c r="D748" i="1" s="1"/>
  <c r="D749" i="1"/>
  <c r="D750" i="1" s="1"/>
  <c r="D751" i="1" s="1"/>
  <c r="D752" i="1"/>
  <c r="D753" i="1" s="1"/>
  <c r="D754" i="1" s="1"/>
  <c r="D755" i="1"/>
  <c r="D756" i="1"/>
  <c r="D757" i="1" s="1"/>
  <c r="D758" i="1" s="1"/>
  <c r="D759" i="1" s="1"/>
  <c r="D760" i="1" s="1"/>
  <c r="D761" i="1" s="1"/>
  <c r="D762" i="1" s="1"/>
  <c r="D763" i="1" s="1"/>
  <c r="D764" i="1" s="1"/>
  <c r="D765" i="1" s="1"/>
  <c r="D766" i="1" s="1"/>
  <c r="D767" i="1" s="1"/>
  <c r="D768" i="1" s="1"/>
  <c r="D769" i="1" s="1"/>
  <c r="D770" i="1" s="1"/>
  <c r="D771" i="1" s="1"/>
  <c r="D772" i="1" s="1"/>
  <c r="D773" i="1" s="1"/>
  <c r="D774" i="1" s="1"/>
  <c r="D775" i="1" s="1"/>
  <c r="D776" i="1" s="1"/>
  <c r="D777" i="1" s="1"/>
  <c r="D778" i="1"/>
  <c r="D779" i="1" s="1"/>
  <c r="D780" i="1" s="1"/>
  <c r="D781" i="1" s="1"/>
  <c r="D782" i="1" s="1"/>
  <c r="D783" i="1" s="1"/>
  <c r="D784" i="1" s="1"/>
  <c r="D785" i="1" s="1"/>
  <c r="D786" i="1" s="1"/>
  <c r="D787" i="1" s="1"/>
  <c r="D788" i="1" s="1"/>
  <c r="D789" i="1" s="1"/>
  <c r="D790" i="1" s="1"/>
  <c r="D791" i="1" s="1"/>
  <c r="D792" i="1" s="1"/>
  <c r="D793" i="1" s="1"/>
  <c r="D794" i="1" s="1"/>
  <c r="D795" i="1" s="1"/>
  <c r="D796" i="1" s="1"/>
  <c r="D797" i="1" s="1"/>
  <c r="D798" i="1" s="1"/>
  <c r="D799" i="1" s="1"/>
  <c r="D800" i="1" s="1"/>
  <c r="D801" i="1"/>
  <c r="D802" i="1" s="1"/>
  <c r="D803" i="1" s="1"/>
  <c r="D804" i="1"/>
  <c r="D805" i="1"/>
  <c r="D806" i="1" s="1"/>
  <c r="D807" i="1" s="1"/>
  <c r="D808" i="1" s="1"/>
  <c r="D809" i="1" s="1"/>
  <c r="D810" i="1" s="1"/>
  <c r="D811" i="1" s="1"/>
  <c r="D812" i="1" s="1"/>
  <c r="D813" i="1" s="1"/>
  <c r="D814" i="1" s="1"/>
  <c r="D815" i="1" s="1"/>
  <c r="D816" i="1" s="1"/>
  <c r="D817" i="1" s="1"/>
  <c r="D818" i="1" s="1"/>
  <c r="D819" i="1" s="1"/>
  <c r="D820" i="1" s="1"/>
  <c r="D821" i="1" s="1"/>
  <c r="D822" i="1" s="1"/>
  <c r="D823" i="1"/>
  <c r="D824" i="1" s="1"/>
  <c r="D825" i="1" s="1"/>
  <c r="D826" i="1" s="1"/>
  <c r="D827" i="1" s="1"/>
  <c r="D828" i="1"/>
  <c r="D829" i="1"/>
  <c r="D830" i="1" s="1"/>
  <c r="D831" i="1" s="1"/>
  <c r="D832" i="1" s="1"/>
  <c r="D833" i="1" s="1"/>
  <c r="D834" i="1" s="1"/>
  <c r="D835" i="1" s="1"/>
  <c r="D836" i="1" s="1"/>
  <c r="D837" i="1" s="1"/>
  <c r="D838" i="1" s="1"/>
  <c r="D839" i="1" s="1"/>
  <c r="D840" i="1" s="1"/>
  <c r="D841" i="1" s="1"/>
  <c r="D842" i="1" s="1"/>
  <c r="D843" i="1" s="1"/>
  <c r="D844" i="1" s="1"/>
  <c r="D845" i="1" s="1"/>
  <c r="D846" i="1"/>
  <c r="D847" i="1" s="1"/>
  <c r="D848" i="1" s="1"/>
  <c r="D849" i="1" s="1"/>
  <c r="D850" i="1" s="1"/>
  <c r="D851" i="1" s="1"/>
  <c r="D852" i="1" s="1"/>
  <c r="D853" i="1" s="1"/>
  <c r="D854" i="1" s="1"/>
  <c r="D855" i="1" s="1"/>
  <c r="D856" i="1" s="1"/>
  <c r="D857" i="1" s="1"/>
  <c r="D858" i="1" s="1"/>
  <c r="D859" i="1" s="1"/>
  <c r="D860" i="1" s="1"/>
  <c r="D861" i="1" s="1"/>
  <c r="D862" i="1" s="1"/>
  <c r="D863" i="1" s="1"/>
  <c r="D864" i="1" s="1"/>
  <c r="D865" i="1" s="1"/>
  <c r="D866" i="1" s="1"/>
  <c r="D867" i="1" s="1"/>
  <c r="D868" i="1"/>
  <c r="D869" i="1"/>
  <c r="D870" i="1" s="1"/>
  <c r="D871" i="1" s="1"/>
  <c r="D872" i="1" s="1"/>
  <c r="D873" i="1" s="1"/>
  <c r="D874" i="1" s="1"/>
  <c r="D875" i="1" s="1"/>
  <c r="D876" i="1" s="1"/>
  <c r="D877" i="1" s="1"/>
  <c r="D878" i="1" s="1"/>
  <c r="D879" i="1" s="1"/>
  <c r="D880" i="1" s="1"/>
  <c r="D881" i="1" s="1"/>
  <c r="D882" i="1" s="1"/>
  <c r="D883" i="1" s="1"/>
  <c r="D884" i="1" s="1"/>
  <c r="D885" i="1" s="1"/>
  <c r="D886" i="1" s="1"/>
  <c r="D887" i="1" s="1"/>
  <c r="D888" i="1" s="1"/>
  <c r="D889" i="1" s="1"/>
  <c r="D890" i="1" s="1"/>
  <c r="D891" i="1"/>
  <c r="D892" i="1"/>
  <c r="D893" i="1"/>
  <c r="D894" i="1" s="1"/>
  <c r="D895" i="1" s="1"/>
  <c r="D896" i="1"/>
  <c r="D897" i="1" s="1"/>
  <c r="D898" i="1" s="1"/>
  <c r="D899" i="1" s="1"/>
  <c r="D900" i="1" s="1"/>
  <c r="D901" i="1" s="1"/>
  <c r="D902" i="1" s="1"/>
  <c r="D903" i="1" s="1"/>
  <c r="D904" i="1" s="1"/>
  <c r="D905" i="1" s="1"/>
  <c r="D906" i="1" s="1"/>
  <c r="D907" i="1" s="1"/>
  <c r="D908" i="1"/>
  <c r="D909" i="1"/>
  <c r="D910" i="1"/>
  <c r="D911" i="1" s="1"/>
  <c r="D912" i="1"/>
  <c r="D913" i="1"/>
  <c r="D914" i="1" s="1"/>
  <c r="D915" i="1" s="1"/>
  <c r="D916" i="1" s="1"/>
  <c r="D917" i="1" s="1"/>
  <c r="D918" i="1" s="1"/>
  <c r="D919" i="1" s="1"/>
  <c r="D920" i="1" s="1"/>
  <c r="D921" i="1" s="1"/>
  <c r="D922" i="1" s="1"/>
  <c r="D923" i="1" s="1"/>
  <c r="D924" i="1" s="1"/>
  <c r="D925" i="1" s="1"/>
  <c r="D926" i="1" s="1"/>
  <c r="D927" i="1" s="1"/>
  <c r="D928" i="1" s="1"/>
  <c r="D929" i="1" s="1"/>
  <c r="D930" i="1" s="1"/>
  <c r="D931" i="1" s="1"/>
  <c r="D932" i="1" s="1"/>
  <c r="D933" i="1" s="1"/>
  <c r="D934" i="1" s="1"/>
  <c r="D935" i="1"/>
  <c r="D936" i="1" s="1"/>
  <c r="D937" i="1" s="1"/>
  <c r="D938" i="1" s="1"/>
  <c r="D939" i="1" s="1"/>
  <c r="D940" i="1"/>
  <c r="D941" i="1" s="1"/>
  <c r="D942" i="1" s="1"/>
  <c r="D943" i="1" s="1"/>
  <c r="D944" i="1" s="1"/>
  <c r="D945" i="1" s="1"/>
  <c r="D946" i="1" s="1"/>
  <c r="D947" i="1" s="1"/>
  <c r="D948" i="1" s="1"/>
  <c r="D949" i="1" s="1"/>
  <c r="D950" i="1" s="1"/>
  <c r="D951" i="1" s="1"/>
  <c r="D952" i="1" s="1"/>
  <c r="D953" i="1" s="1"/>
  <c r="D954" i="1" s="1"/>
  <c r="D955" i="1" s="1"/>
  <c r="D956" i="1" s="1"/>
  <c r="D957" i="1" s="1"/>
  <c r="D958" i="1"/>
  <c r="D959" i="1" s="1"/>
  <c r="D960" i="1"/>
  <c r="D961" i="1"/>
  <c r="D962" i="1" s="1"/>
  <c r="D963" i="1" s="1"/>
  <c r="D964" i="1" s="1"/>
  <c r="D965" i="1" s="1"/>
  <c r="D966" i="1"/>
  <c r="D967" i="1" s="1"/>
  <c r="D968" i="1" s="1"/>
  <c r="D969" i="1" s="1"/>
  <c r="D970" i="1" s="1"/>
  <c r="D971" i="1" s="1"/>
  <c r="D972" i="1" s="1"/>
  <c r="D973" i="1" s="1"/>
  <c r="D974" i="1" s="1"/>
  <c r="D975" i="1" s="1"/>
  <c r="D976" i="1" s="1"/>
  <c r="D977" i="1" s="1"/>
  <c r="D978" i="1" s="1"/>
  <c r="D979" i="1" s="1"/>
  <c r="D980" i="1" s="1"/>
  <c r="D981" i="1"/>
  <c r="D982" i="1"/>
  <c r="D983" i="1" s="1"/>
  <c r="D984" i="1" s="1"/>
  <c r="D985" i="1"/>
  <c r="D986" i="1" s="1"/>
  <c r="D987" i="1" s="1"/>
  <c r="D988" i="1" s="1"/>
  <c r="D989" i="1"/>
  <c r="D990" i="1" s="1"/>
  <c r="D991" i="1" s="1"/>
  <c r="D992" i="1" s="1"/>
  <c r="D993" i="1" s="1"/>
  <c r="D994" i="1" s="1"/>
  <c r="D995" i="1" s="1"/>
  <c r="D996" i="1" s="1"/>
  <c r="D997" i="1" s="1"/>
  <c r="D998" i="1" s="1"/>
  <c r="D999" i="1" s="1"/>
  <c r="D1000" i="1" s="1"/>
  <c r="D1001" i="1" s="1"/>
  <c r="D1002" i="1" s="1"/>
  <c r="D1003" i="1" s="1"/>
  <c r="D1004" i="1"/>
  <c r="D1005" i="1"/>
  <c r="D1006" i="1" s="1"/>
  <c r="D1007" i="1" s="1"/>
  <c r="D1008" i="1" s="1"/>
  <c r="D1009" i="1" s="1"/>
  <c r="D1010" i="1" s="1"/>
  <c r="D1011" i="1" s="1"/>
  <c r="D1012" i="1" s="1"/>
  <c r="D1013" i="1" s="1"/>
  <c r="D1014" i="1" s="1"/>
  <c r="D1015" i="1" s="1"/>
  <c r="D1016" i="1" s="1"/>
  <c r="D1017" i="1"/>
  <c r="D1018" i="1" s="1"/>
  <c r="D1019" i="1" s="1"/>
  <c r="D1020" i="1" s="1"/>
  <c r="D1021" i="1" s="1"/>
  <c r="D1022" i="1" s="1"/>
  <c r="D1023" i="1" s="1"/>
  <c r="D1024" i="1" s="1"/>
  <c r="D1025" i="1" s="1"/>
  <c r="D1026" i="1" s="1"/>
  <c r="D1027" i="1"/>
  <c r="D1028" i="1" s="1"/>
  <c r="D1029" i="1" s="1"/>
  <c r="D1030" i="1"/>
  <c r="D1031" i="1" s="1"/>
  <c r="D1032" i="1" s="1"/>
  <c r="D1033" i="1"/>
  <c r="D1034" i="1"/>
  <c r="D1035" i="1" s="1"/>
  <c r="D1036" i="1" s="1"/>
  <c r="D1037" i="1" s="1"/>
  <c r="D1038" i="1" s="1"/>
  <c r="D1039" i="1" s="1"/>
  <c r="D1040" i="1" s="1"/>
  <c r="D1041" i="1" s="1"/>
  <c r="D1042" i="1" s="1"/>
  <c r="D1043" i="1" s="1"/>
  <c r="D1044" i="1" s="1"/>
  <c r="D1045" i="1" s="1"/>
  <c r="D1046" i="1" s="1"/>
  <c r="D1047" i="1" s="1"/>
  <c r="D1048" i="1" s="1"/>
  <c r="D1049" i="1" s="1"/>
  <c r="D1050" i="1"/>
  <c r="D1051" i="1"/>
  <c r="D1052" i="1" s="1"/>
  <c r="D1053" i="1" s="1"/>
  <c r="D1054" i="1" s="1"/>
  <c r="D1055" i="1" s="1"/>
  <c r="D1056" i="1" s="1"/>
  <c r="D1057" i="1" s="1"/>
  <c r="D1058" i="1" s="1"/>
  <c r="D1059" i="1" s="1"/>
  <c r="D1060" i="1" s="1"/>
  <c r="D1061" i="1" s="1"/>
  <c r="D1062" i="1" s="1"/>
  <c r="D1063" i="1" s="1"/>
  <c r="D1064" i="1" s="1"/>
  <c r="D1065" i="1" s="1"/>
  <c r="D1066" i="1" s="1"/>
  <c r="D1067" i="1" s="1"/>
  <c r="D1068" i="1" s="1"/>
  <c r="D1069" i="1" s="1"/>
  <c r="D1070" i="1" s="1"/>
  <c r="D1071" i="1" s="1"/>
  <c r="D1072" i="1"/>
  <c r="D1073" i="1"/>
  <c r="D1074" i="1" s="1"/>
  <c r="D1075" i="1" s="1"/>
  <c r="D1076" i="1" s="1"/>
  <c r="D1077" i="1" s="1"/>
  <c r="D1078" i="1" s="1"/>
  <c r="D1079" i="1" s="1"/>
  <c r="D1080" i="1" s="1"/>
  <c r="D1081" i="1" s="1"/>
  <c r="D1082" i="1" s="1"/>
  <c r="D1083" i="1" s="1"/>
  <c r="D1084" i="1" s="1"/>
  <c r="D1085" i="1" s="1"/>
  <c r="D1086" i="1" s="1"/>
  <c r="D1087" i="1" s="1"/>
  <c r="D1088" i="1" s="1"/>
  <c r="D1089" i="1" s="1"/>
  <c r="D1090" i="1" s="1"/>
  <c r="D1091" i="1" s="1"/>
  <c r="D1092" i="1" s="1"/>
  <c r="D1093" i="1" s="1"/>
  <c r="D1094" i="1" s="1"/>
  <c r="D1095" i="1"/>
  <c r="D1096" i="1" s="1"/>
  <c r="D1097" i="1" s="1"/>
  <c r="D1098" i="1" s="1"/>
  <c r="D1099" i="1" s="1"/>
  <c r="D1100" i="1" s="1"/>
  <c r="D1101" i="1" s="1"/>
  <c r="D1102" i="1" s="1"/>
  <c r="D1103" i="1" s="1"/>
  <c r="D1104" i="1" s="1"/>
  <c r="D1105" i="1" s="1"/>
  <c r="D1106" i="1" s="1"/>
  <c r="D1107" i="1" s="1"/>
  <c r="D1108" i="1" s="1"/>
  <c r="D1109" i="1" s="1"/>
  <c r="D1110" i="1" s="1"/>
  <c r="D1111" i="1" s="1"/>
  <c r="D1112" i="1" s="1"/>
  <c r="D1113" i="1" s="1"/>
  <c r="D1114" i="1" s="1"/>
  <c r="D1115" i="1" s="1"/>
  <c r="D1116" i="1" s="1"/>
  <c r="D1117" i="1" s="1"/>
  <c r="D1118" i="1"/>
  <c r="D1119" i="1" s="1"/>
  <c r="D1120" i="1" s="1"/>
  <c r="D1121" i="1" s="1"/>
  <c r="D1122" i="1" s="1"/>
  <c r="D1123" i="1"/>
  <c r="D1124" i="1" s="1"/>
  <c r="D1125" i="1" s="1"/>
  <c r="D1126" i="1" s="1"/>
  <c r="D1127" i="1" s="1"/>
  <c r="D1128" i="1" s="1"/>
  <c r="D1129" i="1"/>
  <c r="D1130" i="1"/>
  <c r="D1131" i="1" s="1"/>
  <c r="D1132" i="1" s="1"/>
  <c r="D1133" i="1" s="1"/>
  <c r="D1134" i="1" s="1"/>
  <c r="D1135" i="1" s="1"/>
  <c r="D1136" i="1" s="1"/>
  <c r="D1137" i="1" s="1"/>
  <c r="D1138" i="1" s="1"/>
  <c r="D1139" i="1" s="1"/>
  <c r="D1140" i="1"/>
  <c r="D1141" i="1"/>
  <c r="D1142" i="1"/>
  <c r="D1143" i="1" s="1"/>
  <c r="D1144" i="1" s="1"/>
  <c r="D1145" i="1" s="1"/>
  <c r="D1146" i="1" s="1"/>
  <c r="D1147" i="1" s="1"/>
  <c r="D1148" i="1" s="1"/>
  <c r="D1149" i="1" s="1"/>
  <c r="D1150" i="1" s="1"/>
  <c r="D1151" i="1" s="1"/>
  <c r="D1152" i="1" s="1"/>
  <c r="D1153" i="1" s="1"/>
  <c r="D1154" i="1" s="1"/>
  <c r="D1155" i="1" s="1"/>
  <c r="D1156" i="1" s="1"/>
  <c r="D1157" i="1" s="1"/>
  <c r="D1158" i="1" s="1"/>
  <c r="D1159" i="1" s="1"/>
  <c r="D1160" i="1" s="1"/>
  <c r="D1161" i="1" s="1"/>
  <c r="D1162" i="1" s="1"/>
  <c r="D1163" i="1"/>
  <c r="D1164" i="1" s="1"/>
  <c r="D1165" i="1" s="1"/>
  <c r="D1166" i="1" s="1"/>
  <c r="D1167" i="1" s="1"/>
  <c r="D1168" i="1"/>
  <c r="D1169" i="1"/>
  <c r="D1170" i="1" s="1"/>
  <c r="D1171" i="1" s="1"/>
  <c r="D1172" i="1" s="1"/>
  <c r="D1173" i="1" s="1"/>
  <c r="D1174" i="1" s="1"/>
  <c r="D1175" i="1" s="1"/>
  <c r="D1176" i="1" s="1"/>
  <c r="D1177" i="1" s="1"/>
  <c r="D1178" i="1" s="1"/>
  <c r="D1179" i="1" s="1"/>
  <c r="D1180" i="1" s="1"/>
  <c r="D1181" i="1" s="1"/>
  <c r="D1182" i="1" s="1"/>
  <c r="D1183" i="1" s="1"/>
  <c r="D1184" i="1" s="1"/>
  <c r="D1185" i="1" s="1"/>
  <c r="D1186" i="1"/>
  <c r="D1187" i="1"/>
  <c r="D1188" i="1" s="1"/>
  <c r="D1189" i="1" s="1"/>
  <c r="D1190" i="1" s="1"/>
  <c r="D1191" i="1" s="1"/>
  <c r="D1192" i="1" s="1"/>
  <c r="D1193" i="1" s="1"/>
  <c r="D1194" i="1" s="1"/>
  <c r="D1195" i="1" s="1"/>
  <c r="D1196" i="1" s="1"/>
  <c r="D1197" i="1" s="1"/>
  <c r="D1198" i="1" s="1"/>
  <c r="D1199" i="1" s="1"/>
  <c r="D1200" i="1" s="1"/>
  <c r="D1201" i="1" s="1"/>
  <c r="D1202" i="1" s="1"/>
  <c r="D1203" i="1" s="1"/>
  <c r="D1204" i="1" s="1"/>
  <c r="D1205" i="1" s="1"/>
  <c r="D1206" i="1" s="1"/>
  <c r="D1207" i="1" s="1"/>
  <c r="D1208" i="1" s="1"/>
  <c r="D1209" i="1"/>
  <c r="D1210" i="1" s="1"/>
  <c r="D1211" i="1" s="1"/>
  <c r="D1212" i="1" s="1"/>
  <c r="D1213" i="1" s="1"/>
  <c r="D1214" i="1" s="1"/>
  <c r="D1215" i="1" s="1"/>
  <c r="D1216" i="1" s="1"/>
  <c r="D1217" i="1" s="1"/>
  <c r="D1218" i="1" s="1"/>
  <c r="D1219" i="1" s="1"/>
  <c r="D1220" i="1" s="1"/>
  <c r="D1221" i="1" s="1"/>
  <c r="D1222" i="1" s="1"/>
  <c r="D1223" i="1" s="1"/>
  <c r="D1224" i="1" s="1"/>
  <c r="D1225" i="1" s="1"/>
  <c r="D1226" i="1" s="1"/>
  <c r="D1227" i="1" s="1"/>
  <c r="D1228" i="1" s="1"/>
  <c r="D1229" i="1" s="1"/>
  <c r="D1230" i="1" s="1"/>
  <c r="D1231" i="1" s="1"/>
  <c r="D1232" i="1"/>
  <c r="D1233" i="1" s="1"/>
  <c r="D1234" i="1" s="1"/>
  <c r="D1235" i="1" s="1"/>
  <c r="D1236" i="1" s="1"/>
  <c r="D1237" i="1" s="1"/>
  <c r="D1238" i="1" s="1"/>
  <c r="D1239" i="1" s="1"/>
  <c r="D1240" i="1" s="1"/>
  <c r="D1241" i="1" s="1"/>
  <c r="D1242" i="1"/>
  <c r="D1243" i="1" s="1"/>
  <c r="D1244" i="1" s="1"/>
  <c r="D1245" i="1" s="1"/>
  <c r="D1246" i="1"/>
  <c r="D1247" i="1" s="1"/>
  <c r="D1248" i="1" s="1"/>
  <c r="D1249" i="1" s="1"/>
  <c r="D1250" i="1" s="1"/>
  <c r="D1251" i="1" s="1"/>
  <c r="D1252" i="1" s="1"/>
  <c r="D1253" i="1" s="1"/>
  <c r="D1254" i="1" s="1"/>
  <c r="D1255" i="1"/>
  <c r="D1256" i="1" s="1"/>
  <c r="D1257" i="1" s="1"/>
  <c r="D1258" i="1" s="1"/>
  <c r="D1259" i="1" s="1"/>
  <c r="D1260" i="1"/>
  <c r="D1261" i="1" s="1"/>
  <c r="D1262" i="1" s="1"/>
  <c r="D1263" i="1" s="1"/>
  <c r="D1264" i="1" s="1"/>
  <c r="D1265" i="1"/>
  <c r="D1266" i="1" s="1"/>
  <c r="D1267" i="1" s="1"/>
  <c r="D1268" i="1" s="1"/>
  <c r="D1269" i="1" s="1"/>
  <c r="D1270" i="1" s="1"/>
  <c r="D1271" i="1" s="1"/>
  <c r="D1272" i="1" s="1"/>
  <c r="D1273" i="1" s="1"/>
  <c r="D1274" i="1" s="1"/>
  <c r="D1275" i="1" s="1"/>
  <c r="D1276" i="1" s="1"/>
  <c r="D1277" i="1"/>
  <c r="D1278" i="1"/>
  <c r="D1279" i="1" s="1"/>
  <c r="D1280" i="1"/>
  <c r="D1281" i="1"/>
  <c r="D1282" i="1" s="1"/>
  <c r="D1283" i="1" s="1"/>
  <c r="D1284" i="1"/>
  <c r="D1285" i="1"/>
  <c r="D1286" i="1" s="1"/>
  <c r="D1287" i="1" s="1"/>
  <c r="D1288" i="1" s="1"/>
  <c r="D1289" i="1" s="1"/>
  <c r="D1290" i="1" s="1"/>
  <c r="D1291" i="1" s="1"/>
  <c r="D1292" i="1" s="1"/>
  <c r="D1293" i="1" s="1"/>
  <c r="D1294" i="1" s="1"/>
  <c r="D1295" i="1" s="1"/>
  <c r="D1296" i="1" s="1"/>
  <c r="D1297" i="1" s="1"/>
  <c r="D1298" i="1"/>
  <c r="D1299" i="1"/>
  <c r="D1300" i="1" s="1"/>
  <c r="D1301" i="1" s="1"/>
  <c r="D1302" i="1" s="1"/>
  <c r="D1303" i="1" s="1"/>
  <c r="D1304" i="1" s="1"/>
  <c r="D1305" i="1" s="1"/>
  <c r="D1306" i="1" s="1"/>
  <c r="D1307" i="1" s="1"/>
  <c r="D1308" i="1" s="1"/>
  <c r="D1309" i="1" s="1"/>
  <c r="D1310" i="1" s="1"/>
  <c r="D1311" i="1" s="1"/>
  <c r="D1312" i="1" s="1"/>
  <c r="D1313" i="1" s="1"/>
  <c r="D1314" i="1" s="1"/>
  <c r="D1315" i="1" s="1"/>
  <c r="D1316" i="1" s="1"/>
  <c r="D1317" i="1" s="1"/>
  <c r="D1318" i="1" s="1"/>
  <c r="D1319" i="1" s="1"/>
  <c r="D1320" i="1" s="1"/>
  <c r="D1321" i="1"/>
  <c r="D1322" i="1" s="1"/>
  <c r="D1323" i="1" s="1"/>
  <c r="D1324" i="1" s="1"/>
  <c r="D1325" i="1" s="1"/>
  <c r="D1326" i="1" s="1"/>
  <c r="D1327" i="1" s="1"/>
  <c r="D1328" i="1" s="1"/>
  <c r="D1329" i="1"/>
  <c r="D1330" i="1" s="1"/>
  <c r="D1331" i="1" s="1"/>
  <c r="D1332" i="1" s="1"/>
  <c r="D1333" i="1" s="1"/>
  <c r="D1334" i="1" s="1"/>
  <c r="D1335" i="1" s="1"/>
  <c r="D1336" i="1" s="1"/>
  <c r="D1337" i="1" s="1"/>
  <c r="D1338" i="1" s="1"/>
  <c r="D1339" i="1" s="1"/>
  <c r="D1340" i="1" s="1"/>
  <c r="D1341" i="1" s="1"/>
  <c r="D1342" i="1" s="1"/>
  <c r="D1343" i="1" s="1"/>
  <c r="D1344" i="1"/>
  <c r="D1345" i="1"/>
  <c r="D1346" i="1" s="1"/>
  <c r="D1347" i="1" s="1"/>
  <c r="D1348" i="1"/>
  <c r="D1349" i="1" s="1"/>
  <c r="D1350" i="1" s="1"/>
  <c r="D1351" i="1" s="1"/>
  <c r="D1352" i="1" s="1"/>
  <c r="D1353" i="1" s="1"/>
  <c r="D1354" i="1" s="1"/>
  <c r="D1355" i="1" s="1"/>
  <c r="D1356" i="1" s="1"/>
  <c r="D1357" i="1" s="1"/>
  <c r="D1358" i="1" s="1"/>
  <c r="D1359" i="1" s="1"/>
  <c r="D1360" i="1" s="1"/>
  <c r="D1361" i="1" s="1"/>
  <c r="D1362" i="1" s="1"/>
  <c r="D1363" i="1" s="1"/>
  <c r="D1364" i="1" s="1"/>
  <c r="D1365" i="1" s="1"/>
  <c r="D1366" i="1" s="1"/>
  <c r="D1367" i="1"/>
  <c r="D1368" i="1" s="1"/>
  <c r="D1369" i="1" s="1"/>
  <c r="D1370" i="1" s="1"/>
  <c r="D1371" i="1" s="1"/>
  <c r="D1372" i="1"/>
  <c r="D1373" i="1" s="1"/>
  <c r="D1374" i="1" s="1"/>
  <c r="D1375" i="1" s="1"/>
  <c r="D1376" i="1" s="1"/>
  <c r="D1377" i="1" s="1"/>
  <c r="D1378" i="1" s="1"/>
  <c r="D1379" i="1" s="1"/>
  <c r="D1380" i="1"/>
  <c r="D1381" i="1"/>
  <c r="D1382" i="1"/>
  <c r="D1383" i="1" s="1"/>
  <c r="D1384" i="1" s="1"/>
  <c r="D1385" i="1" s="1"/>
  <c r="D1386" i="1" s="1"/>
  <c r="D1387" i="1" s="1"/>
  <c r="D1388" i="1" s="1"/>
  <c r="D1389" i="1" s="1"/>
  <c r="D1390" i="1"/>
  <c r="D1391" i="1" s="1"/>
  <c r="D1392" i="1"/>
  <c r="D1393" i="1" s="1"/>
  <c r="D1394" i="1" s="1"/>
  <c r="D1395" i="1" s="1"/>
  <c r="D1396" i="1" s="1"/>
  <c r="D1397" i="1" s="1"/>
  <c r="D1398" i="1" s="1"/>
  <c r="D1399" i="1" s="1"/>
  <c r="D1400" i="1" s="1"/>
  <c r="D1401" i="1" s="1"/>
  <c r="D1402" i="1" s="1"/>
  <c r="D1403" i="1" s="1"/>
  <c r="D1404" i="1" s="1"/>
  <c r="D1405" i="1" s="1"/>
  <c r="D1406" i="1" s="1"/>
  <c r="D1407" i="1" s="1"/>
  <c r="D1408" i="1" s="1"/>
  <c r="D1409" i="1" s="1"/>
  <c r="D1410" i="1" s="1"/>
  <c r="D1411" i="1" s="1"/>
  <c r="D1412" i="1" s="1"/>
  <c r="D1413" i="1"/>
  <c r="D1414" i="1"/>
  <c r="D1415" i="1" s="1"/>
  <c r="D1416" i="1" s="1"/>
  <c r="D1417" i="1" s="1"/>
  <c r="D1418" i="1"/>
  <c r="D1419" i="1" s="1"/>
  <c r="D1420" i="1" s="1"/>
  <c r="D1421" i="1" s="1"/>
  <c r="D1422" i="1" s="1"/>
  <c r="D1423" i="1" s="1"/>
  <c r="D1424" i="1" s="1"/>
  <c r="D1425" i="1" s="1"/>
  <c r="D1426" i="1" s="1"/>
  <c r="D1427" i="1" s="1"/>
  <c r="D1428" i="1" s="1"/>
  <c r="D1429" i="1" s="1"/>
  <c r="D1430" i="1" s="1"/>
  <c r="D1431" i="1" s="1"/>
  <c r="D1432" i="1" s="1"/>
  <c r="D1433" i="1" s="1"/>
  <c r="D1434" i="1" s="1"/>
  <c r="D1435" i="1" s="1"/>
  <c r="D1436" i="1"/>
  <c r="D1437" i="1" s="1"/>
  <c r="D1438" i="1" s="1"/>
  <c r="D1439" i="1" s="1"/>
  <c r="D1440" i="1" s="1"/>
  <c r="D1441" i="1" s="1"/>
  <c r="D1442" i="1" s="1"/>
  <c r="D1443" i="1" s="1"/>
  <c r="D1444" i="1" s="1"/>
  <c r="D1445" i="1" s="1"/>
  <c r="D1446" i="1" s="1"/>
  <c r="D1447" i="1" s="1"/>
  <c r="D1448" i="1" s="1"/>
  <c r="D1449" i="1" s="1"/>
  <c r="D1450" i="1" s="1"/>
  <c r="D1451" i="1" s="1"/>
  <c r="D1452" i="1" s="1"/>
  <c r="D1453" i="1" s="1"/>
  <c r="D1454" i="1" s="1"/>
  <c r="D1455" i="1" s="1"/>
  <c r="D1456" i="1" s="1"/>
  <c r="D1457" i="1" s="1"/>
  <c r="D1458" i="1" s="1"/>
  <c r="D1459" i="1"/>
  <c r="D1460" i="1"/>
  <c r="D1461" i="1"/>
  <c r="D1462" i="1" s="1"/>
  <c r="D1463" i="1" s="1"/>
  <c r="D1464" i="1" s="1"/>
  <c r="D1465" i="1" s="1"/>
  <c r="D1466" i="1" s="1"/>
  <c r="D1467" i="1" s="1"/>
  <c r="D1468" i="1"/>
  <c r="D1469" i="1" s="1"/>
  <c r="D1470" i="1" s="1"/>
  <c r="D1471" i="1" s="1"/>
  <c r="D1472" i="1" s="1"/>
  <c r="D1473" i="1" s="1"/>
  <c r="D1474" i="1" s="1"/>
  <c r="D1475" i="1" s="1"/>
  <c r="D1476" i="1" s="1"/>
  <c r="D1477" i="1" s="1"/>
  <c r="D1478" i="1" s="1"/>
  <c r="D1479" i="1" s="1"/>
  <c r="D1480" i="1" s="1"/>
  <c r="D1481" i="1" s="1"/>
  <c r="D1482" i="1"/>
  <c r="D1483" i="1" s="1"/>
  <c r="D1484" i="1"/>
  <c r="D1485" i="1" s="1"/>
  <c r="D1486" i="1" s="1"/>
  <c r="D1487" i="1" s="1"/>
  <c r="D1488" i="1" s="1"/>
  <c r="D1489" i="1" s="1"/>
  <c r="D1490" i="1" s="1"/>
  <c r="D1491" i="1" s="1"/>
  <c r="D1492" i="1" s="1"/>
  <c r="D1493" i="1" s="1"/>
  <c r="D1494" i="1" s="1"/>
  <c r="D1495" i="1" s="1"/>
  <c r="D1496" i="1" s="1"/>
  <c r="D1497" i="1" s="1"/>
  <c r="D1498" i="1" s="1"/>
  <c r="D1499" i="1" s="1"/>
  <c r="D1500" i="1" s="1"/>
  <c r="D1501" i="1" s="1"/>
  <c r="D1502" i="1" s="1"/>
  <c r="D1503" i="1" s="1"/>
  <c r="D1504" i="1" s="1"/>
  <c r="D1505" i="1"/>
  <c r="D1506" i="1"/>
  <c r="D1507" i="1" s="1"/>
  <c r="D1508" i="1" s="1"/>
  <c r="D1509" i="1" s="1"/>
  <c r="D1510" i="1" s="1"/>
  <c r="D1511" i="1" s="1"/>
  <c r="D1512" i="1" s="1"/>
  <c r="D1513" i="1" s="1"/>
  <c r="D1514" i="1" s="1"/>
  <c r="D1515" i="1" s="1"/>
  <c r="D1516" i="1" s="1"/>
  <c r="D1517" i="1" s="1"/>
  <c r="D1518" i="1" s="1"/>
  <c r="D1519" i="1" s="1"/>
  <c r="D1520" i="1" s="1"/>
  <c r="D1521" i="1" s="1"/>
  <c r="D1522" i="1" s="1"/>
  <c r="D1523" i="1" s="1"/>
  <c r="D1524" i="1" s="1"/>
  <c r="D1525" i="1" s="1"/>
  <c r="D1526" i="1" s="1"/>
  <c r="D1527" i="1" s="1"/>
  <c r="D1528" i="1"/>
  <c r="D1529" i="1"/>
  <c r="D1530" i="1" s="1"/>
  <c r="D1531" i="1" s="1"/>
  <c r="D1532" i="1"/>
  <c r="D1533" i="1" s="1"/>
  <c r="D1534" i="1"/>
  <c r="D1535" i="1" s="1"/>
  <c r="D1536" i="1" s="1"/>
  <c r="D1537" i="1" s="1"/>
  <c r="D1538" i="1" s="1"/>
  <c r="D1539" i="1" s="1"/>
  <c r="D1540" i="1" s="1"/>
  <c r="D1541" i="1" s="1"/>
  <c r="D1542" i="1" s="1"/>
  <c r="D1543" i="1" s="1"/>
  <c r="D1544" i="1" s="1"/>
  <c r="D1545" i="1" s="1"/>
  <c r="D1546" i="1" s="1"/>
  <c r="D1547" i="1" s="1"/>
  <c r="D1548" i="1" s="1"/>
  <c r="D1549" i="1" s="1"/>
  <c r="D1550" i="1" s="1"/>
  <c r="D1551" i="1"/>
  <c r="D1552" i="1" s="1"/>
  <c r="D1553" i="1" s="1"/>
  <c r="D1554" i="1" s="1"/>
  <c r="D1555" i="1" s="1"/>
  <c r="D1556" i="1" s="1"/>
  <c r="D1557" i="1" s="1"/>
  <c r="D1558" i="1" s="1"/>
  <c r="D1559" i="1" s="1"/>
  <c r="D1560" i="1" s="1"/>
  <c r="D1561" i="1" s="1"/>
  <c r="D1562" i="1" s="1"/>
  <c r="D1563" i="1" s="1"/>
  <c r="D1564" i="1" s="1"/>
  <c r="D1565" i="1" s="1"/>
  <c r="D1566" i="1" s="1"/>
  <c r="D1567" i="1" s="1"/>
  <c r="D1568" i="1" s="1"/>
  <c r="D1569" i="1" s="1"/>
  <c r="D1570" i="1" s="1"/>
  <c r="D1571" i="1" s="1"/>
  <c r="D1572" i="1" s="1"/>
  <c r="D1573" i="1" s="1"/>
  <c r="D1574" i="1"/>
  <c r="D1575" i="1" s="1"/>
  <c r="D1576" i="1" s="1"/>
  <c r="D1577" i="1" s="1"/>
  <c r="D1578" i="1"/>
  <c r="D1579" i="1" s="1"/>
  <c r="D1580" i="1" s="1"/>
  <c r="D1581" i="1" s="1"/>
  <c r="D1582" i="1" s="1"/>
  <c r="D1583" i="1" s="1"/>
  <c r="D1584" i="1" s="1"/>
  <c r="D1585" i="1" s="1"/>
  <c r="D1586" i="1" s="1"/>
  <c r="D1587" i="1" s="1"/>
  <c r="D1588" i="1" s="1"/>
  <c r="D1589" i="1" s="1"/>
  <c r="D1590" i="1" s="1"/>
  <c r="D1591" i="1" s="1"/>
  <c r="D1592" i="1" s="1"/>
  <c r="D1593" i="1" s="1"/>
  <c r="D1594" i="1" s="1"/>
  <c r="D1595" i="1" s="1"/>
  <c r="D1596" i="1" s="1"/>
  <c r="D1597" i="1"/>
  <c r="D1598" i="1"/>
  <c r="D1599" i="1"/>
  <c r="D1600" i="1" s="1"/>
  <c r="D1601" i="1" s="1"/>
  <c r="D1602" i="1"/>
  <c r="D1603" i="1" s="1"/>
  <c r="D1604" i="1" s="1"/>
  <c r="D1605" i="1"/>
  <c r="D1606" i="1" s="1"/>
  <c r="D1607" i="1" s="1"/>
  <c r="D1608" i="1" s="1"/>
  <c r="D1609" i="1" s="1"/>
  <c r="D1610" i="1" s="1"/>
  <c r="D1611" i="1" s="1"/>
  <c r="D1612" i="1" s="1"/>
  <c r="D1613" i="1" s="1"/>
  <c r="D1614" i="1" s="1"/>
  <c r="D1615" i="1" s="1"/>
  <c r="D1616" i="1" s="1"/>
  <c r="D1617" i="1" s="1"/>
  <c r="D1618" i="1" s="1"/>
  <c r="D1619" i="1" s="1"/>
  <c r="D1620" i="1"/>
  <c r="D1621" i="1"/>
  <c r="D1622" i="1"/>
  <c r="D1623" i="1" s="1"/>
  <c r="D1624" i="1" s="1"/>
  <c r="D1625" i="1" s="1"/>
  <c r="D1626" i="1"/>
  <c r="D1627" i="1" s="1"/>
  <c r="D1628" i="1" s="1"/>
  <c r="D1629" i="1" s="1"/>
  <c r="D1630" i="1" s="1"/>
  <c r="D1631" i="1" s="1"/>
  <c r="D1632" i="1" s="1"/>
  <c r="D1633" i="1" s="1"/>
  <c r="D1634" i="1" s="1"/>
  <c r="D1635" i="1" s="1"/>
  <c r="D1636" i="1" s="1"/>
  <c r="D1637" i="1" s="1"/>
  <c r="D1638" i="1" s="1"/>
  <c r="D1639" i="1" s="1"/>
  <c r="D1640" i="1" s="1"/>
  <c r="D1641" i="1" s="1"/>
  <c r="D1642" i="1"/>
  <c r="D1643" i="1" s="1"/>
  <c r="D1644" i="1" s="1"/>
  <c r="D1645" i="1" s="1"/>
  <c r="D1646" i="1" s="1"/>
  <c r="D1647" i="1" s="1"/>
  <c r="D1648" i="1" s="1"/>
  <c r="D1649" i="1" s="1"/>
  <c r="D1650" i="1" s="1"/>
  <c r="D1651" i="1" s="1"/>
  <c r="D1652" i="1" s="1"/>
  <c r="D1653" i="1"/>
  <c r="D1654" i="1" s="1"/>
  <c r="D1655" i="1" s="1"/>
  <c r="D1656" i="1" s="1"/>
  <c r="D1657" i="1" s="1"/>
  <c r="D1658" i="1" s="1"/>
  <c r="D1659" i="1" s="1"/>
  <c r="D1660" i="1" s="1"/>
  <c r="D1661" i="1" s="1"/>
  <c r="D1662" i="1" s="1"/>
  <c r="D1663" i="1"/>
  <c r="D1664" i="1" s="1"/>
  <c r="D1665" i="1"/>
  <c r="D1666" i="1"/>
  <c r="D1667" i="1" s="1"/>
  <c r="D1668" i="1" s="1"/>
  <c r="D1669" i="1" s="1"/>
  <c r="D1670" i="1" s="1"/>
  <c r="D1671" i="1" s="1"/>
  <c r="D1672" i="1" s="1"/>
  <c r="D1673" i="1" s="1"/>
  <c r="D1674" i="1" s="1"/>
  <c r="D1675" i="1"/>
  <c r="D1676" i="1"/>
  <c r="D1677" i="1" s="1"/>
  <c r="D1678" i="1" s="1"/>
  <c r="D1679" i="1" s="1"/>
  <c r="D1680" i="1" s="1"/>
  <c r="D1681" i="1" s="1"/>
  <c r="D1682" i="1" s="1"/>
  <c r="D1683" i="1" s="1"/>
  <c r="D1684" i="1" s="1"/>
  <c r="D1685" i="1" s="1"/>
  <c r="D1686" i="1" s="1"/>
  <c r="D1687" i="1" s="1"/>
  <c r="D1688" i="1"/>
  <c r="D1689" i="1"/>
  <c r="D1690" i="1"/>
  <c r="D1691" i="1" s="1"/>
  <c r="D1692" i="1" s="1"/>
  <c r="D1693" i="1" s="1"/>
  <c r="D1694" i="1"/>
  <c r="D1695" i="1" s="1"/>
  <c r="D1696" i="1" s="1"/>
  <c r="D1697" i="1" s="1"/>
  <c r="D1698" i="1" s="1"/>
  <c r="D1699" i="1" s="1"/>
  <c r="D1700" i="1" s="1"/>
  <c r="D1701" i="1" s="1"/>
  <c r="D1702" i="1" s="1"/>
  <c r="D1703" i="1" s="1"/>
  <c r="D1704" i="1" s="1"/>
  <c r="D1705" i="1" s="1"/>
  <c r="D1706" i="1" s="1"/>
  <c r="D1707" i="1" s="1"/>
  <c r="D1708" i="1" s="1"/>
  <c r="D1709" i="1" s="1"/>
  <c r="D1710" i="1"/>
  <c r="D1711" i="1"/>
  <c r="D1712" i="1" s="1"/>
  <c r="D1713" i="1" s="1"/>
  <c r="D1714" i="1" s="1"/>
  <c r="D1715" i="1" s="1"/>
  <c r="D1716" i="1" s="1"/>
  <c r="D1717" i="1"/>
  <c r="D1718" i="1" s="1"/>
  <c r="D1719" i="1" s="1"/>
  <c r="D1720" i="1" s="1"/>
  <c r="D1721" i="1"/>
  <c r="D1722" i="1" s="1"/>
  <c r="D1723" i="1" s="1"/>
  <c r="D1724" i="1" s="1"/>
  <c r="D1725" i="1" s="1"/>
  <c r="D1726" i="1" s="1"/>
  <c r="D1727" i="1" s="1"/>
  <c r="D1728" i="1" s="1"/>
  <c r="D1729" i="1" s="1"/>
  <c r="D1730" i="1" s="1"/>
  <c r="D1731" i="1" s="1"/>
  <c r="D1732" i="1" s="1"/>
  <c r="D1733" i="1"/>
  <c r="D1734" i="1"/>
  <c r="D1735" i="1" s="1"/>
  <c r="D1736" i="1" s="1"/>
  <c r="D1737" i="1" s="1"/>
  <c r="D1738" i="1" s="1"/>
  <c r="D1739" i="1" s="1"/>
  <c r="D1740" i="1"/>
  <c r="D1741" i="1" s="1"/>
  <c r="D1742" i="1" s="1"/>
  <c r="D1743" i="1" s="1"/>
  <c r="D1744" i="1" s="1"/>
  <c r="D1745" i="1" s="1"/>
  <c r="D1746" i="1" s="1"/>
  <c r="D1747" i="1" s="1"/>
  <c r="D1748" i="1" s="1"/>
  <c r="D1749" i="1" s="1"/>
  <c r="D1750" i="1" s="1"/>
  <c r="D1751" i="1" s="1"/>
  <c r="D1752" i="1" s="1"/>
  <c r="D1753" i="1" s="1"/>
  <c r="D1754" i="1" s="1"/>
  <c r="D1755" i="1" s="1"/>
  <c r="D1756" i="1"/>
  <c r="D1757" i="1" s="1"/>
  <c r="D1758" i="1"/>
  <c r="D1759" i="1"/>
  <c r="D1760" i="1" s="1"/>
  <c r="D1761" i="1" s="1"/>
  <c r="D1762" i="1" s="1"/>
  <c r="D1763" i="1" s="1"/>
  <c r="D1764" i="1" s="1"/>
  <c r="D1765" i="1" s="1"/>
  <c r="D1766" i="1" s="1"/>
  <c r="D1767" i="1" s="1"/>
  <c r="D1768" i="1" s="1"/>
  <c r="D1769" i="1" s="1"/>
  <c r="D1770" i="1" s="1"/>
  <c r="D1771" i="1"/>
  <c r="D1772" i="1" s="1"/>
  <c r="D1773" i="1" s="1"/>
  <c r="D1774" i="1" s="1"/>
  <c r="D1775" i="1" s="1"/>
  <c r="D1776" i="1" s="1"/>
  <c r="D1777" i="1" s="1"/>
  <c r="D1778" i="1" s="1"/>
  <c r="D1779" i="1"/>
  <c r="D1780" i="1" s="1"/>
  <c r="D1781" i="1" s="1"/>
  <c r="D1782" i="1"/>
  <c r="D1783" i="1" s="1"/>
  <c r="D1784" i="1" s="1"/>
  <c r="D1785" i="1" s="1"/>
  <c r="D1786" i="1" s="1"/>
  <c r="D1787" i="1"/>
  <c r="D1788" i="1" s="1"/>
  <c r="D1789" i="1" s="1"/>
  <c r="D1790" i="1" s="1"/>
  <c r="D1791" i="1" s="1"/>
  <c r="D1792" i="1" s="1"/>
  <c r="D1793" i="1" s="1"/>
  <c r="D1794" i="1" s="1"/>
  <c r="D1795" i="1" s="1"/>
  <c r="D1796" i="1" s="1"/>
  <c r="D1797" i="1" s="1"/>
  <c r="D1798" i="1" s="1"/>
  <c r="D1799" i="1" s="1"/>
  <c r="D1800" i="1" s="1"/>
  <c r="D1801" i="1" s="1"/>
  <c r="D1802" i="1"/>
  <c r="D1803" i="1" s="1"/>
  <c r="D1804" i="1" s="1"/>
  <c r="D1805" i="1" s="1"/>
  <c r="D1806" i="1" s="1"/>
  <c r="D1807" i="1" s="1"/>
  <c r="D1808" i="1" s="1"/>
  <c r="D1809" i="1" s="1"/>
  <c r="D1810" i="1" s="1"/>
  <c r="D1811" i="1" s="1"/>
  <c r="D1812" i="1" s="1"/>
  <c r="D1813" i="1" s="1"/>
  <c r="D1814" i="1" s="1"/>
  <c r="D1815" i="1" s="1"/>
  <c r="D1816" i="1" s="1"/>
  <c r="D1817" i="1" s="1"/>
  <c r="D1818" i="1" s="1"/>
  <c r="D1819" i="1" s="1"/>
  <c r="D1820" i="1" s="1"/>
  <c r="D1821" i="1" s="1"/>
  <c r="D1822" i="1" s="1"/>
  <c r="D1823" i="1" s="1"/>
  <c r="D1824" i="1" s="1"/>
  <c r="D1825" i="1"/>
  <c r="D1826" i="1"/>
  <c r="D1827" i="1" s="1"/>
  <c r="D1828" i="1" s="1"/>
  <c r="D1829" i="1"/>
  <c r="D1830" i="1" s="1"/>
  <c r="D1831" i="1" s="1"/>
  <c r="D1832" i="1" s="1"/>
  <c r="D1833" i="1" s="1"/>
  <c r="D1834" i="1" s="1"/>
  <c r="D1835" i="1" s="1"/>
  <c r="D1836" i="1" s="1"/>
  <c r="D1837" i="1" s="1"/>
  <c r="D1838" i="1" s="1"/>
  <c r="D1839" i="1" s="1"/>
  <c r="D1840" i="1" s="1"/>
  <c r="D1841" i="1" s="1"/>
  <c r="D1842" i="1" s="1"/>
  <c r="D1843" i="1" s="1"/>
  <c r="D1844" i="1" s="1"/>
  <c r="D1845" i="1" s="1"/>
  <c r="D1846" i="1" s="1"/>
  <c r="D1847" i="1" s="1"/>
  <c r="D1848" i="1"/>
  <c r="D1849" i="1"/>
  <c r="D1850" i="1" s="1"/>
  <c r="D1851" i="1" s="1"/>
  <c r="D1852" i="1" s="1"/>
  <c r="D1853" i="1" s="1"/>
  <c r="D1854" i="1" s="1"/>
  <c r="D1855" i="1" s="1"/>
  <c r="D1856" i="1" s="1"/>
  <c r="D1857" i="1" s="1"/>
  <c r="D1858" i="1" s="1"/>
  <c r="D1859" i="1" s="1"/>
  <c r="D1860" i="1" s="1"/>
  <c r="D1861" i="1" s="1"/>
  <c r="D1862" i="1" s="1"/>
  <c r="D1863" i="1" s="1"/>
  <c r="D1864" i="1" s="1"/>
  <c r="D1865" i="1" s="1"/>
  <c r="D1866" i="1" s="1"/>
  <c r="D1867" i="1" s="1"/>
  <c r="D1868" i="1" s="1"/>
  <c r="D1869" i="1" s="1"/>
  <c r="D1870" i="1" s="1"/>
  <c r="D1871" i="1"/>
  <c r="D1872" i="1" s="1"/>
  <c r="D1873" i="1" s="1"/>
  <c r="D1874" i="1"/>
  <c r="D1875" i="1" s="1"/>
  <c r="D1876" i="1" s="1"/>
  <c r="D1877" i="1"/>
  <c r="D1878" i="1" s="1"/>
  <c r="D1879" i="1" s="1"/>
  <c r="D1880" i="1" s="1"/>
  <c r="D1881" i="1" s="1"/>
  <c r="D1882" i="1" s="1"/>
  <c r="D1883" i="1" s="1"/>
  <c r="D1884" i="1" s="1"/>
  <c r="D1885" i="1" s="1"/>
  <c r="D1886" i="1" s="1"/>
  <c r="D1887" i="1" s="1"/>
  <c r="D1888" i="1" s="1"/>
  <c r="D1889" i="1" s="1"/>
  <c r="D1890" i="1" s="1"/>
  <c r="D1891" i="1" s="1"/>
  <c r="D1892" i="1" s="1"/>
  <c r="D1893" i="1" s="1"/>
  <c r="D1894" i="1"/>
  <c r="D1895" i="1"/>
  <c r="D1896" i="1" s="1"/>
  <c r="D1897" i="1" s="1"/>
  <c r="D1898" i="1" s="1"/>
  <c r="D1899" i="1"/>
  <c r="D1900" i="1"/>
  <c r="D1901" i="1" s="1"/>
  <c r="D1902" i="1" s="1"/>
  <c r="D1903" i="1" s="1"/>
  <c r="D1904" i="1" s="1"/>
  <c r="D1905" i="1" s="1"/>
  <c r="D1906" i="1" s="1"/>
  <c r="D1907" i="1" s="1"/>
  <c r="D1908" i="1" s="1"/>
  <c r="D1909" i="1" s="1"/>
  <c r="D1910" i="1" s="1"/>
  <c r="D1911" i="1" s="1"/>
  <c r="D1912" i="1" s="1"/>
  <c r="D1913" i="1"/>
  <c r="D1914" i="1"/>
  <c r="D1915" i="1" s="1"/>
  <c r="D1916" i="1" s="1"/>
  <c r="D1917" i="1"/>
  <c r="D1918" i="1"/>
  <c r="D1919" i="1" s="1"/>
  <c r="D1920" i="1" s="1"/>
  <c r="D1921" i="1" s="1"/>
  <c r="D1922" i="1" s="1"/>
  <c r="D1923" i="1" s="1"/>
  <c r="D1924" i="1" s="1"/>
  <c r="D1925" i="1" s="1"/>
  <c r="D1926" i="1" s="1"/>
  <c r="D1927" i="1" s="1"/>
  <c r="D1928" i="1" s="1"/>
  <c r="D1929" i="1" s="1"/>
  <c r="D1930" i="1" s="1"/>
  <c r="D1931" i="1" s="1"/>
  <c r="D1932" i="1" s="1"/>
  <c r="D1933" i="1" s="1"/>
  <c r="D1934" i="1" s="1"/>
  <c r="D1935" i="1"/>
  <c r="D1936" i="1" s="1"/>
  <c r="D1937" i="1" s="1"/>
  <c r="D1938" i="1" s="1"/>
  <c r="D1939" i="1" s="1"/>
  <c r="D1940" i="1"/>
  <c r="D1941" i="1"/>
  <c r="D1942" i="1"/>
  <c r="D1943" i="1"/>
  <c r="D1944" i="1" s="1"/>
  <c r="D1945" i="1" s="1"/>
  <c r="D1946" i="1" s="1"/>
  <c r="D1947" i="1" s="1"/>
  <c r="D1948" i="1" s="1"/>
  <c r="D1949" i="1" s="1"/>
  <c r="D1950" i="1" s="1"/>
  <c r="D1951" i="1" s="1"/>
  <c r="D1952" i="1" s="1"/>
  <c r="D1953" i="1" s="1"/>
  <c r="D1954" i="1" s="1"/>
  <c r="D1955" i="1" s="1"/>
  <c r="D1956" i="1" s="1"/>
  <c r="D1957" i="1" s="1"/>
  <c r="D1958" i="1" s="1"/>
  <c r="D1959" i="1" s="1"/>
  <c r="D1960" i="1" s="1"/>
  <c r="D1961" i="1" s="1"/>
  <c r="D1962" i="1" s="1"/>
  <c r="D1963" i="1"/>
  <c r="D1964" i="1" s="1"/>
  <c r="D1965" i="1" s="1"/>
  <c r="D1966" i="1" s="1"/>
  <c r="D1967" i="1"/>
  <c r="D1968" i="1" s="1"/>
  <c r="D1969" i="1" s="1"/>
  <c r="D1970" i="1" s="1"/>
  <c r="D1971" i="1" s="1"/>
  <c r="D1972" i="1" s="1"/>
  <c r="D1973" i="1" s="1"/>
  <c r="D1974" i="1"/>
  <c r="D1975" i="1" s="1"/>
  <c r="D1976" i="1" s="1"/>
  <c r="D1977" i="1" s="1"/>
  <c r="D1978" i="1" s="1"/>
  <c r="D1979" i="1" s="1"/>
  <c r="D1980" i="1" s="1"/>
  <c r="D1981" i="1" s="1"/>
  <c r="D1982" i="1" s="1"/>
  <c r="D1983" i="1" s="1"/>
  <c r="D1984" i="1" s="1"/>
  <c r="D1985" i="1" s="1"/>
  <c r="D1986" i="1"/>
  <c r="D1987" i="1" s="1"/>
  <c r="D1988" i="1" s="1"/>
  <c r="D1989" i="1" s="1"/>
  <c r="D1990" i="1" s="1"/>
  <c r="D1991" i="1" s="1"/>
  <c r="D1992" i="1" s="1"/>
  <c r="D1993" i="1" s="1"/>
  <c r="D1994" i="1"/>
  <c r="D1995" i="1" s="1"/>
  <c r="D1996" i="1" s="1"/>
  <c r="D1997" i="1" s="1"/>
  <c r="D1998" i="1" s="1"/>
  <c r="D1999" i="1" s="1"/>
  <c r="D2000" i="1" s="1"/>
  <c r="D2001" i="1" s="1"/>
  <c r="D2002" i="1" s="1"/>
  <c r="D2003" i="1" s="1"/>
  <c r="D2004" i="1" s="1"/>
  <c r="D2005" i="1" s="1"/>
  <c r="D2006" i="1" s="1"/>
  <c r="D2007" i="1" s="1"/>
  <c r="D2008" i="1" s="1"/>
  <c r="D2009" i="1"/>
  <c r="D2010" i="1" s="1"/>
  <c r="D2011" i="1"/>
  <c r="D2012" i="1"/>
  <c r="D2013" i="1" s="1"/>
  <c r="D2014" i="1" s="1"/>
  <c r="D2015" i="1" s="1"/>
  <c r="D2016" i="1" s="1"/>
  <c r="D2017" i="1" s="1"/>
  <c r="D2018" i="1" s="1"/>
  <c r="D2019" i="1" s="1"/>
  <c r="D2020" i="1" s="1"/>
  <c r="D2021" i="1" s="1"/>
  <c r="D2022" i="1" s="1"/>
  <c r="D2023" i="1" s="1"/>
  <c r="D2024" i="1" s="1"/>
  <c r="D2025" i="1" s="1"/>
  <c r="D2026" i="1" s="1"/>
  <c r="D2027" i="1" s="1"/>
  <c r="D2028" i="1" s="1"/>
  <c r="D2029" i="1" s="1"/>
  <c r="D2030" i="1" s="1"/>
  <c r="D2031" i="1" s="1"/>
  <c r="D2032" i="1"/>
  <c r="D2033" i="1"/>
  <c r="D2034" i="1"/>
  <c r="D2035" i="1" s="1"/>
  <c r="D2036" i="1" s="1"/>
  <c r="D2037" i="1"/>
  <c r="D2038" i="1"/>
  <c r="D2039" i="1" s="1"/>
  <c r="D2040" i="1" s="1"/>
  <c r="D2041" i="1" s="1"/>
  <c r="D2042" i="1" s="1"/>
  <c r="D2043" i="1" s="1"/>
  <c r="D2044" i="1" s="1"/>
  <c r="D2045" i="1" s="1"/>
  <c r="D2046" i="1" s="1"/>
  <c r="D2047" i="1"/>
  <c r="D2048" i="1" s="1"/>
  <c r="D2049" i="1" s="1"/>
  <c r="D2050" i="1"/>
  <c r="D2051" i="1" s="1"/>
  <c r="D2052" i="1" s="1"/>
  <c r="D2053" i="1" s="1"/>
  <c r="D2054" i="1"/>
  <c r="D2055" i="1"/>
  <c r="D2056" i="1" s="1"/>
  <c r="D2057" i="1"/>
  <c r="D2058" i="1" s="1"/>
  <c r="D2059" i="1"/>
  <c r="D2060" i="1" s="1"/>
  <c r="D2061" i="1" s="1"/>
  <c r="D2062" i="1" s="1"/>
  <c r="D2063" i="1" s="1"/>
  <c r="D2064" i="1" s="1"/>
  <c r="D2065" i="1" s="1"/>
  <c r="D2066" i="1" s="1"/>
  <c r="D2067" i="1" s="1"/>
  <c r="D2068" i="1" s="1"/>
  <c r="D2069" i="1" s="1"/>
  <c r="D2070" i="1" s="1"/>
  <c r="D2071" i="1" s="1"/>
  <c r="D2072" i="1" s="1"/>
  <c r="D2073" i="1" s="1"/>
  <c r="D2074" i="1" s="1"/>
  <c r="D2075" i="1" s="1"/>
  <c r="D2076" i="1" s="1"/>
  <c r="D2077" i="1"/>
  <c r="D2078" i="1"/>
  <c r="D2079" i="1" s="1"/>
  <c r="D2080" i="1" s="1"/>
  <c r="D2081" i="1" s="1"/>
  <c r="D2082" i="1" s="1"/>
  <c r="D2083" i="1" s="1"/>
  <c r="D2084" i="1" s="1"/>
  <c r="D2085" i="1" s="1"/>
  <c r="D2086" i="1" s="1"/>
  <c r="D2087" i="1" s="1"/>
  <c r="D2088" i="1" s="1"/>
  <c r="D2089" i="1" s="1"/>
  <c r="D2090" i="1" s="1"/>
  <c r="D2091" i="1" s="1"/>
  <c r="D2092" i="1" s="1"/>
  <c r="D2093" i="1" s="1"/>
  <c r="D2094" i="1" s="1"/>
  <c r="D2095" i="1" s="1"/>
  <c r="D2096" i="1" s="1"/>
  <c r="D2097" i="1" s="1"/>
  <c r="D2098" i="1" s="1"/>
  <c r="D2099" i="1" s="1"/>
  <c r="D2100" i="1"/>
  <c r="D2101" i="1"/>
  <c r="D2102" i="1"/>
  <c r="D2103" i="1"/>
  <c r="D2104" i="1" s="1"/>
  <c r="D2105" i="1" s="1"/>
  <c r="D2106" i="1" s="1"/>
  <c r="D2107" i="1" s="1"/>
  <c r="D2108" i="1" s="1"/>
  <c r="D2109" i="1" s="1"/>
  <c r="D2110" i="1" s="1"/>
  <c r="D2111" i="1" s="1"/>
  <c r="D2112" i="1" s="1"/>
  <c r="D2113" i="1" s="1"/>
  <c r="D2114" i="1" s="1"/>
  <c r="D2115" i="1" s="1"/>
  <c r="D2116" i="1" s="1"/>
  <c r="D2117" i="1" s="1"/>
  <c r="D2118" i="1" s="1"/>
  <c r="D2119" i="1" s="1"/>
  <c r="D2120" i="1" s="1"/>
  <c r="D2121" i="1"/>
  <c r="D2122" i="1" s="1"/>
  <c r="D2123" i="1"/>
  <c r="D2124" i="1" s="1"/>
  <c r="D2125" i="1" s="1"/>
  <c r="D2126" i="1" s="1"/>
  <c r="D2127" i="1" s="1"/>
  <c r="D2128" i="1" s="1"/>
  <c r="D2129" i="1" s="1"/>
  <c r="D2130" i="1" s="1"/>
  <c r="D2131" i="1" s="1"/>
  <c r="D2132" i="1" s="1"/>
  <c r="D2133" i="1" s="1"/>
  <c r="D2134" i="1" s="1"/>
  <c r="D2135" i="1" s="1"/>
  <c r="D2136" i="1" s="1"/>
  <c r="D2137" i="1" s="1"/>
  <c r="D2138" i="1" s="1"/>
  <c r="D2139" i="1" s="1"/>
  <c r="D2140" i="1" s="1"/>
  <c r="D2141" i="1" s="1"/>
  <c r="D2142" i="1" s="1"/>
  <c r="D2143" i="1" s="1"/>
  <c r="D2144" i="1" s="1"/>
  <c r="D2145" i="1" s="1"/>
  <c r="D2146" i="1"/>
  <c r="D2147" i="1" s="1"/>
  <c r="D2148" i="1" s="1"/>
  <c r="D2149" i="1"/>
  <c r="D2150" i="1"/>
  <c r="D2151" i="1" s="1"/>
  <c r="D2152" i="1" s="1"/>
  <c r="D2153" i="1" s="1"/>
  <c r="D2154" i="1" s="1"/>
  <c r="D2155" i="1" s="1"/>
  <c r="D2156" i="1" s="1"/>
  <c r="D2157" i="1" s="1"/>
  <c r="D2158" i="1" s="1"/>
  <c r="D2159" i="1" s="1"/>
  <c r="D2160" i="1" s="1"/>
  <c r="D2161" i="1" s="1"/>
  <c r="D2162" i="1" s="1"/>
  <c r="D2163" i="1" s="1"/>
  <c r="D2164" i="1" s="1"/>
  <c r="D2165" i="1" s="1"/>
  <c r="D2166" i="1" s="1"/>
  <c r="D2167" i="1" s="1"/>
  <c r="D2168" i="1" s="1"/>
  <c r="D2169" i="1"/>
  <c r="D2170" i="1"/>
  <c r="D2171" i="1" s="1"/>
  <c r="D2172" i="1" s="1"/>
  <c r="D2173" i="1" s="1"/>
  <c r="D2174" i="1" s="1"/>
  <c r="D2175" i="1" s="1"/>
  <c r="D2176" i="1" s="1"/>
  <c r="D2177" i="1" s="1"/>
  <c r="D2178" i="1" s="1"/>
  <c r="D2179" i="1" s="1"/>
  <c r="D2180" i="1" s="1"/>
  <c r="D2181" i="1" s="1"/>
  <c r="D2182" i="1" s="1"/>
  <c r="D2183" i="1" s="1"/>
  <c r="D2184" i="1" s="1"/>
  <c r="D2185" i="1" s="1"/>
  <c r="D2186" i="1" s="1"/>
  <c r="D2187" i="1" s="1"/>
  <c r="D2188" i="1" s="1"/>
  <c r="D2189" i="1" s="1"/>
  <c r="D2190" i="1" s="1"/>
  <c r="D2191" i="1" s="1"/>
  <c r="D2192" i="1"/>
  <c r="D2193" i="1"/>
  <c r="D2194" i="1" s="1"/>
  <c r="D2195" i="1" s="1"/>
  <c r="D2196" i="1" s="1"/>
  <c r="D2197" i="1" s="1"/>
  <c r="D2198" i="1" s="1"/>
  <c r="D2199" i="1" s="1"/>
  <c r="D2200" i="1" s="1"/>
  <c r="D2201" i="1"/>
  <c r="D2202" i="1" s="1"/>
  <c r="D2203" i="1" s="1"/>
  <c r="D2204" i="1" s="1"/>
  <c r="D2205" i="1" s="1"/>
  <c r="D2206" i="1" s="1"/>
  <c r="D2207" i="1" s="1"/>
  <c r="D2208" i="1" s="1"/>
  <c r="D2209" i="1" s="1"/>
  <c r="D2210" i="1" s="1"/>
  <c r="D2211" i="1" s="1"/>
  <c r="D2212" i="1" s="1"/>
  <c r="D2213" i="1" s="1"/>
  <c r="D2214" i="1" s="1"/>
  <c r="D2215" i="1"/>
  <c r="D2216" i="1" s="1"/>
  <c r="D2217" i="1" s="1"/>
  <c r="D2218" i="1" s="1"/>
  <c r="D2219" i="1" s="1"/>
  <c r="D2220" i="1" s="1"/>
  <c r="D2221" i="1" s="1"/>
  <c r="D2222" i="1" s="1"/>
  <c r="D2223" i="1" s="1"/>
  <c r="D2224" i="1" s="1"/>
  <c r="D2225" i="1" s="1"/>
  <c r="D2226" i="1" s="1"/>
  <c r="D2227" i="1" s="1"/>
  <c r="D2228" i="1" s="1"/>
  <c r="D2229" i="1"/>
  <c r="D2230" i="1" s="1"/>
  <c r="D2231" i="1" s="1"/>
  <c r="D2232" i="1" s="1"/>
  <c r="D2233" i="1"/>
  <c r="D2234" i="1" s="1"/>
  <c r="D2235" i="1" s="1"/>
  <c r="D2236" i="1" s="1"/>
  <c r="D2237" i="1" s="1"/>
  <c r="D2238" i="1"/>
  <c r="D2239" i="1"/>
  <c r="D2240" i="1" s="1"/>
  <c r="D2241" i="1"/>
  <c r="D2242" i="1" s="1"/>
  <c r="D2243" i="1" s="1"/>
  <c r="D2244" i="1" s="1"/>
  <c r="D2245" i="1" s="1"/>
  <c r="D2246" i="1" s="1"/>
  <c r="D2247" i="1" s="1"/>
  <c r="D2248" i="1" s="1"/>
  <c r="D2249" i="1" s="1"/>
  <c r="D2250" i="1" s="1"/>
  <c r="D2251" i="1" s="1"/>
  <c r="D2252" i="1" s="1"/>
  <c r="D2253" i="1" s="1"/>
  <c r="D2254" i="1" s="1"/>
  <c r="D2255" i="1" s="1"/>
  <c r="D2256" i="1" s="1"/>
  <c r="D2257" i="1" s="1"/>
  <c r="D2258" i="1" s="1"/>
  <c r="D2259" i="1" s="1"/>
  <c r="D2260" i="1" s="1"/>
  <c r="D2261" i="1"/>
  <c r="D2262" i="1"/>
  <c r="D2263" i="1"/>
  <c r="D2264" i="1" s="1"/>
  <c r="D2265" i="1" s="1"/>
  <c r="D2266" i="1" s="1"/>
  <c r="D2267" i="1" s="1"/>
  <c r="D2268" i="1" s="1"/>
  <c r="D2269" i="1" s="1"/>
  <c r="D2270" i="1" s="1"/>
  <c r="D2271" i="1" s="1"/>
  <c r="D2272" i="1" s="1"/>
  <c r="D2273" i="1" s="1"/>
  <c r="D2274" i="1" s="1"/>
  <c r="D2275" i="1"/>
  <c r="D2276" i="1" s="1"/>
  <c r="D2277" i="1" s="1"/>
  <c r="D2278" i="1" s="1"/>
  <c r="D2279" i="1"/>
  <c r="D2280" i="1" s="1"/>
  <c r="D2281" i="1" s="1"/>
  <c r="D2282" i="1" s="1"/>
  <c r="D2283" i="1" s="1"/>
  <c r="D2284" i="1"/>
  <c r="D2285" i="1" s="1"/>
  <c r="D2286" i="1" s="1"/>
  <c r="D2287" i="1" s="1"/>
  <c r="D2288" i="1" s="1"/>
  <c r="D2289" i="1" s="1"/>
  <c r="D2290" i="1" s="1"/>
  <c r="D2291" i="1"/>
  <c r="D2292" i="1"/>
  <c r="D2293" i="1" s="1"/>
  <c r="D2294" i="1" s="1"/>
  <c r="D2295" i="1" s="1"/>
  <c r="D2296" i="1" s="1"/>
  <c r="D2297" i="1" s="1"/>
  <c r="D2298" i="1" s="1"/>
  <c r="D2299" i="1" s="1"/>
  <c r="D2300" i="1" s="1"/>
  <c r="D2301" i="1" s="1"/>
  <c r="D2302" i="1" s="1"/>
  <c r="D2303" i="1" s="1"/>
  <c r="D2304" i="1" s="1"/>
  <c r="D2305" i="1" s="1"/>
  <c r="D2306" i="1" s="1"/>
  <c r="D2307" i="1"/>
  <c r="D2308" i="1" s="1"/>
  <c r="D2309" i="1" s="1"/>
  <c r="D2310" i="1" s="1"/>
  <c r="D2311" i="1" s="1"/>
  <c r="D2312" i="1" s="1"/>
  <c r="D2313" i="1" s="1"/>
  <c r="D2314" i="1" s="1"/>
  <c r="D2315" i="1" s="1"/>
  <c r="D2316" i="1" s="1"/>
  <c r="D2317" i="1" s="1"/>
  <c r="D2318" i="1" s="1"/>
  <c r="D2319" i="1" s="1"/>
  <c r="D2320" i="1" s="1"/>
  <c r="D2321" i="1" s="1"/>
  <c r="D2322" i="1" s="1"/>
  <c r="D2323" i="1" s="1"/>
  <c r="D2324" i="1" s="1"/>
  <c r="D2325" i="1" s="1"/>
  <c r="D2326" i="1" s="1"/>
  <c r="D2327" i="1" s="1"/>
  <c r="D2328" i="1" s="1"/>
  <c r="D2329" i="1" s="1"/>
  <c r="D2330" i="1"/>
  <c r="D2331" i="1"/>
  <c r="D2332" i="1"/>
  <c r="D2333" i="1"/>
  <c r="D2334" i="1" s="1"/>
  <c r="D2335" i="1" s="1"/>
  <c r="D2336" i="1" s="1"/>
  <c r="D2337" i="1" s="1"/>
  <c r="D2338" i="1" s="1"/>
  <c r="D2339" i="1" s="1"/>
  <c r="D2340" i="1"/>
  <c r="D2341" i="1"/>
  <c r="D2342" i="1" s="1"/>
  <c r="D2343" i="1" s="1"/>
  <c r="D2344" i="1" s="1"/>
  <c r="D2345" i="1" s="1"/>
  <c r="D2346" i="1" s="1"/>
  <c r="D2347" i="1"/>
  <c r="D2348" i="1" s="1"/>
  <c r="D2349" i="1" s="1"/>
  <c r="D2350" i="1" s="1"/>
  <c r="D2351" i="1" s="1"/>
  <c r="D2352" i="1" s="1"/>
  <c r="D2353" i="1"/>
  <c r="D2354" i="1"/>
  <c r="D2355" i="1"/>
  <c r="D2356" i="1"/>
  <c r="D2357" i="1"/>
  <c r="D2358" i="1" s="1"/>
  <c r="D2359" i="1" s="1"/>
  <c r="D2360" i="1" s="1"/>
  <c r="D2361" i="1"/>
  <c r="D2362" i="1" s="1"/>
  <c r="D2363" i="1" s="1"/>
  <c r="D2364" i="1" s="1"/>
  <c r="D2365" i="1" s="1"/>
  <c r="D2366" i="1" s="1"/>
  <c r="D2367" i="1" s="1"/>
  <c r="D2368" i="1" s="1"/>
  <c r="D2369" i="1" s="1"/>
  <c r="D2370" i="1" s="1"/>
  <c r="D2371" i="1" s="1"/>
  <c r="D2372" i="1" s="1"/>
  <c r="D2373" i="1" s="1"/>
  <c r="D2374" i="1" s="1"/>
  <c r="D2375" i="1"/>
  <c r="D2376" i="1"/>
  <c r="D2377" i="1" s="1"/>
  <c r="D2378" i="1" s="1"/>
  <c r="D2379" i="1" s="1"/>
  <c r="D2380" i="1" s="1"/>
  <c r="D2381" i="1" s="1"/>
  <c r="D2382" i="1" s="1"/>
  <c r="D2383" i="1" s="1"/>
  <c r="D2384" i="1" s="1"/>
  <c r="D2385" i="1" s="1"/>
  <c r="D2386" i="1" s="1"/>
  <c r="D2387" i="1" s="1"/>
  <c r="D2388" i="1" s="1"/>
  <c r="D2389" i="1" s="1"/>
  <c r="D2390" i="1" s="1"/>
  <c r="D2391" i="1" s="1"/>
  <c r="D2392" i="1" s="1"/>
  <c r="D2393" i="1" s="1"/>
  <c r="D2394" i="1" s="1"/>
  <c r="D2395" i="1" s="1"/>
  <c r="D2396" i="1" s="1"/>
  <c r="D2397" i="1" s="1"/>
  <c r="D2398" i="1"/>
  <c r="D2399" i="1"/>
  <c r="D2400" i="1" s="1"/>
  <c r="D2401" i="1" s="1"/>
  <c r="D2402" i="1" s="1"/>
  <c r="D2403" i="1" s="1"/>
  <c r="D2404" i="1" s="1"/>
  <c r="D2405" i="1" s="1"/>
  <c r="D2406" i="1" s="1"/>
  <c r="D2407" i="1" s="1"/>
  <c r="D2408" i="1" s="1"/>
  <c r="D2409" i="1" s="1"/>
  <c r="D2410" i="1" s="1"/>
  <c r="D2411" i="1" s="1"/>
  <c r="D2412" i="1" s="1"/>
  <c r="D2413" i="1" s="1"/>
  <c r="D2414" i="1" s="1"/>
  <c r="D2415" i="1" s="1"/>
  <c r="D2416" i="1" s="1"/>
  <c r="D2417" i="1" s="1"/>
  <c r="D2418" i="1" s="1"/>
  <c r="D2419" i="1" s="1"/>
  <c r="D2420" i="1" s="1"/>
  <c r="D2421" i="1"/>
  <c r="D2422" i="1" s="1"/>
  <c r="D2423" i="1" s="1"/>
  <c r="D2424" i="1" s="1"/>
  <c r="D2425" i="1" s="1"/>
  <c r="D2426" i="1" s="1"/>
  <c r="D2427" i="1" s="1"/>
  <c r="D2428" i="1" s="1"/>
  <c r="D2429" i="1" s="1"/>
  <c r="D2430" i="1" s="1"/>
  <c r="D2431" i="1" s="1"/>
  <c r="D2432" i="1" s="1"/>
  <c r="D2433" i="1" s="1"/>
  <c r="D2434" i="1" s="1"/>
  <c r="D2435" i="1" s="1"/>
  <c r="D2436" i="1" s="1"/>
  <c r="D2437" i="1" s="1"/>
  <c r="D2438" i="1" s="1"/>
  <c r="D2439" i="1" s="1"/>
  <c r="D2440" i="1" s="1"/>
  <c r="D2441" i="1"/>
  <c r="D2442" i="1" s="1"/>
  <c r="D2443" i="1"/>
  <c r="D2444" i="1"/>
  <c r="D2445" i="1" s="1"/>
  <c r="D2446" i="1" s="1"/>
  <c r="D2447" i="1" s="1"/>
  <c r="D2448" i="1" s="1"/>
  <c r="D2449" i="1" s="1"/>
  <c r="D2450" i="1" s="1"/>
  <c r="D2451" i="1" s="1"/>
  <c r="D2452" i="1" s="1"/>
  <c r="D2453" i="1" s="1"/>
  <c r="D2454" i="1" s="1"/>
  <c r="D2455" i="1" s="1"/>
  <c r="D2456" i="1" s="1"/>
  <c r="D2457" i="1" s="1"/>
  <c r="D2458" i="1" s="1"/>
  <c r="D2459" i="1" s="1"/>
  <c r="D2460" i="1" s="1"/>
  <c r="D2461" i="1" s="1"/>
  <c r="D2462" i="1" s="1"/>
  <c r="D2463" i="1" s="1"/>
  <c r="D2464" i="1"/>
  <c r="D2465" i="1" s="1"/>
  <c r="D2466" i="1"/>
  <c r="D2467" i="1" s="1"/>
  <c r="D2468" i="1" s="1"/>
  <c r="D2469" i="1" s="1"/>
  <c r="D2470" i="1" s="1"/>
  <c r="D2471" i="1" s="1"/>
  <c r="D2472" i="1" s="1"/>
  <c r="D2473" i="1"/>
  <c r="D2474" i="1" s="1"/>
  <c r="D2475" i="1" s="1"/>
  <c r="D2476" i="1" s="1"/>
  <c r="D2477" i="1" s="1"/>
  <c r="D2478" i="1" s="1"/>
  <c r="D2479" i="1" s="1"/>
  <c r="D2480" i="1" s="1"/>
  <c r="D2481" i="1" s="1"/>
  <c r="D2482" i="1" s="1"/>
  <c r="D2483" i="1" s="1"/>
  <c r="D2484" i="1" s="1"/>
  <c r="D2485" i="1" s="1"/>
  <c r="D2486" i="1" s="1"/>
  <c r="D2487" i="1"/>
  <c r="D2488" i="1" s="1"/>
  <c r="D2489" i="1" s="1"/>
  <c r="D2490" i="1" s="1"/>
  <c r="D2491" i="1" s="1"/>
  <c r="D2492" i="1" s="1"/>
  <c r="D2493" i="1" s="1"/>
  <c r="D2494" i="1" s="1"/>
  <c r="D2495" i="1" s="1"/>
  <c r="D2496" i="1" s="1"/>
  <c r="D2497" i="1" s="1"/>
  <c r="D2498" i="1" s="1"/>
  <c r="D2499" i="1" s="1"/>
  <c r="D2500" i="1" s="1"/>
  <c r="D2501" i="1" s="1"/>
  <c r="D2502" i="1" s="1"/>
  <c r="D2503" i="1" s="1"/>
  <c r="D2504" i="1" s="1"/>
  <c r="D2505" i="1" s="1"/>
  <c r="D2506" i="1" s="1"/>
  <c r="D2507" i="1" s="1"/>
  <c r="D2508" i="1" s="1"/>
  <c r="D2509" i="1" s="1"/>
  <c r="D2510" i="1"/>
  <c r="D2511" i="1"/>
  <c r="D2512" i="1" s="1"/>
  <c r="D2513" i="1" s="1"/>
  <c r="D2514" i="1" s="1"/>
  <c r="D2515" i="1" s="1"/>
  <c r="D2516" i="1" s="1"/>
  <c r="D2517" i="1" s="1"/>
  <c r="D2518" i="1" s="1"/>
  <c r="D2519" i="1" s="1"/>
  <c r="D2520" i="1" s="1"/>
  <c r="D2521" i="1"/>
  <c r="D2522" i="1" s="1"/>
  <c r="D2523" i="1" s="1"/>
  <c r="D2524" i="1" s="1"/>
  <c r="D2525" i="1" s="1"/>
  <c r="D2526" i="1" s="1"/>
  <c r="D2527" i="1" s="1"/>
  <c r="D2528" i="1" s="1"/>
  <c r="D2529" i="1" s="1"/>
  <c r="D2530" i="1" s="1"/>
  <c r="D2531" i="1"/>
  <c r="D2532" i="1"/>
  <c r="D2533" i="1" s="1"/>
  <c r="D2534" i="1" s="1"/>
  <c r="D2535" i="1" s="1"/>
  <c r="D2536" i="1" s="1"/>
  <c r="D2537" i="1" s="1"/>
  <c r="D2538" i="1" s="1"/>
  <c r="D2539" i="1" s="1"/>
  <c r="D2540" i="1" s="1"/>
  <c r="D2541" i="1" s="1"/>
  <c r="D2542" i="1" s="1"/>
  <c r="D2543" i="1" s="1"/>
  <c r="D2544" i="1" s="1"/>
  <c r="D2545" i="1" s="1"/>
  <c r="D2546" i="1" s="1"/>
  <c r="D2547" i="1" s="1"/>
  <c r="D2548" i="1" s="1"/>
  <c r="D2549" i="1" s="1"/>
  <c r="D2550" i="1" s="1"/>
  <c r="D2551" i="1"/>
  <c r="D2552" i="1"/>
  <c r="D2553" i="1"/>
  <c r="D2554" i="1" s="1"/>
  <c r="D2555" i="1" s="1"/>
  <c r="D2556" i="1" s="1"/>
  <c r="D2557" i="1"/>
  <c r="D2558" i="1" s="1"/>
  <c r="D2559" i="1"/>
  <c r="D2560" i="1" s="1"/>
  <c r="D2561" i="1" s="1"/>
  <c r="D2562" i="1" s="1"/>
  <c r="D2563" i="1" s="1"/>
  <c r="D2564" i="1" s="1"/>
  <c r="D2565" i="1" s="1"/>
  <c r="D2566" i="1" s="1"/>
  <c r="D2567" i="1" s="1"/>
  <c r="D2568" i="1" s="1"/>
  <c r="D2569" i="1" s="1"/>
  <c r="D2570" i="1" s="1"/>
  <c r="D2571" i="1" s="1"/>
  <c r="D2572" i="1" s="1"/>
  <c r="D2573" i="1" s="1"/>
  <c r="D2574" i="1"/>
  <c r="D2575" i="1"/>
  <c r="D2576" i="1"/>
  <c r="D2577" i="1" s="1"/>
  <c r="D2578" i="1"/>
  <c r="D2579" i="1" s="1"/>
  <c r="D2580" i="1" s="1"/>
  <c r="D2581" i="1" s="1"/>
  <c r="D2582" i="1" s="1"/>
  <c r="D2583" i="1" s="1"/>
  <c r="D2584" i="1" s="1"/>
  <c r="D2585" i="1" s="1"/>
  <c r="D2586" i="1" s="1"/>
  <c r="D2587" i="1" s="1"/>
  <c r="D2588" i="1" s="1"/>
  <c r="D2589" i="1"/>
  <c r="D2590" i="1" s="1"/>
  <c r="D2591" i="1" s="1"/>
  <c r="D2592" i="1" s="1"/>
  <c r="D2593" i="1" s="1"/>
  <c r="D2594" i="1" s="1"/>
  <c r="D2595" i="1" s="1"/>
  <c r="D2596" i="1" s="1"/>
  <c r="D2597" i="1" s="1"/>
  <c r="D2598" i="1" s="1"/>
  <c r="D2599" i="1" s="1"/>
  <c r="D2600" i="1" s="1"/>
  <c r="D2601" i="1" s="1"/>
  <c r="D2602" i="1" s="1"/>
  <c r="D2603" i="1" s="1"/>
  <c r="D2604" i="1" s="1"/>
  <c r="D2605" i="1" s="1"/>
  <c r="D2606" i="1" s="1"/>
  <c r="D2607" i="1" s="1"/>
  <c r="D2608" i="1" s="1"/>
  <c r="D2609" i="1" s="1"/>
  <c r="D2610" i="1" s="1"/>
  <c r="D2611" i="1" s="1"/>
  <c r="D2612" i="1"/>
  <c r="D2613" i="1" s="1"/>
  <c r="D2614" i="1" s="1"/>
  <c r="D2615" i="1" s="1"/>
  <c r="D2616" i="1" s="1"/>
  <c r="D2617" i="1" s="1"/>
  <c r="D2618" i="1" s="1"/>
  <c r="D2619" i="1" s="1"/>
  <c r="D2620" i="1" s="1"/>
  <c r="D2621" i="1" s="1"/>
  <c r="D2622" i="1" s="1"/>
  <c r="D2623" i="1" s="1"/>
  <c r="D2624" i="1" s="1"/>
  <c r="D2625" i="1" s="1"/>
  <c r="D2626" i="1" s="1"/>
  <c r="D2627" i="1" s="1"/>
  <c r="D2628" i="1"/>
  <c r="D2629" i="1" s="1"/>
  <c r="D2630" i="1" s="1"/>
  <c r="D2631" i="1"/>
  <c r="D2632" i="1" s="1"/>
  <c r="D2633" i="1" s="1"/>
  <c r="D2634" i="1" s="1"/>
  <c r="D2635" i="1"/>
  <c r="D2636" i="1"/>
  <c r="D2637" i="1"/>
  <c r="D2638" i="1" s="1"/>
  <c r="D2639" i="1" s="1"/>
  <c r="D2640" i="1" s="1"/>
  <c r="D2641" i="1" s="1"/>
  <c r="D2642" i="1"/>
  <c r="D2643" i="1"/>
  <c r="D2644" i="1" s="1"/>
  <c r="D2645" i="1" s="1"/>
  <c r="D2646" i="1" s="1"/>
  <c r="D2647" i="1" s="1"/>
  <c r="D2648" i="1" s="1"/>
  <c r="D2649" i="1" s="1"/>
  <c r="D2650" i="1" s="1"/>
  <c r="D2651" i="1" s="1"/>
  <c r="D2652" i="1" s="1"/>
  <c r="D2653" i="1" s="1"/>
  <c r="D2654" i="1" s="1"/>
  <c r="D2655" i="1" s="1"/>
  <c r="D2656" i="1" s="1"/>
  <c r="D2657" i="1" s="1"/>
  <c r="D2658" i="1"/>
  <c r="D2659" i="1"/>
  <c r="D2660" i="1" s="1"/>
  <c r="D2661" i="1" s="1"/>
  <c r="D2662" i="1" s="1"/>
  <c r="D2663" i="1" s="1"/>
  <c r="D2664" i="1" s="1"/>
  <c r="D2665" i="1" s="1"/>
  <c r="D2666" i="1" s="1"/>
  <c r="D2667" i="1" s="1"/>
  <c r="D2668" i="1" s="1"/>
  <c r="D2669" i="1" s="1"/>
  <c r="D2670" i="1" s="1"/>
  <c r="D2671" i="1" s="1"/>
  <c r="D2672" i="1" s="1"/>
  <c r="D2673" i="1" s="1"/>
  <c r="D2674" i="1" s="1"/>
  <c r="D2675" i="1" s="1"/>
  <c r="D2676" i="1" s="1"/>
  <c r="D2677" i="1" s="1"/>
  <c r="D2678" i="1" s="1"/>
  <c r="D2679" i="1" s="1"/>
  <c r="D2680" i="1" s="1"/>
  <c r="D2681" i="1"/>
  <c r="D2682" i="1" s="1"/>
  <c r="D2683" i="1"/>
  <c r="D2684" i="1"/>
  <c r="D2685" i="1" s="1"/>
  <c r="D2686" i="1" s="1"/>
  <c r="D2687" i="1" s="1"/>
  <c r="D2688" i="1" s="1"/>
  <c r="D2689" i="1" s="1"/>
  <c r="D2690" i="1" s="1"/>
  <c r="D2691" i="1" s="1"/>
  <c r="D2692" i="1" s="1"/>
  <c r="D2693" i="1" s="1"/>
  <c r="D2694" i="1" s="1"/>
  <c r="D2695" i="1"/>
  <c r="D2696" i="1" s="1"/>
  <c r="D2697" i="1" s="1"/>
  <c r="D2698" i="1" s="1"/>
  <c r="D2699" i="1" s="1"/>
  <c r="D2700" i="1" s="1"/>
  <c r="D2701" i="1" s="1"/>
  <c r="D2702" i="1"/>
  <c r="D2703" i="1"/>
  <c r="D2704" i="1"/>
  <c r="D2705" i="1" s="1"/>
  <c r="D2706" i="1"/>
  <c r="D2707" i="1" s="1"/>
  <c r="D2708" i="1" s="1"/>
  <c r="D2709" i="1" s="1"/>
  <c r="D2710" i="1" s="1"/>
  <c r="D2711" i="1" s="1"/>
  <c r="D2712" i="1" s="1"/>
  <c r="D2713" i="1" s="1"/>
  <c r="D2714" i="1" s="1"/>
  <c r="D2715" i="1" s="1"/>
  <c r="D2716" i="1" s="1"/>
  <c r="D2717" i="1" s="1"/>
  <c r="D2718" i="1" s="1"/>
  <c r="D2719" i="1" s="1"/>
  <c r="D2720" i="1" s="1"/>
  <c r="D2721" i="1" s="1"/>
  <c r="D2722" i="1" s="1"/>
  <c r="D2723" i="1" s="1"/>
  <c r="D2724" i="1" s="1"/>
  <c r="D2725" i="1"/>
  <c r="D2726" i="1" s="1"/>
  <c r="D2727" i="1" s="1"/>
  <c r="D2728" i="1" s="1"/>
  <c r="D2729" i="1" s="1"/>
  <c r="D2730" i="1" s="1"/>
  <c r="D2731" i="1" s="1"/>
  <c r="D2732" i="1" s="1"/>
  <c r="D2733" i="1" s="1"/>
  <c r="D2734" i="1" s="1"/>
  <c r="D2735" i="1" s="1"/>
  <c r="D2736" i="1" s="1"/>
  <c r="D2737" i="1" s="1"/>
  <c r="D2738" i="1" s="1"/>
  <c r="D2739" i="1" s="1"/>
  <c r="D2740" i="1" s="1"/>
  <c r="D2741" i="1" s="1"/>
  <c r="D2742" i="1" s="1"/>
  <c r="D2743" i="1" s="1"/>
  <c r="D2744" i="1" s="1"/>
  <c r="D2745" i="1" s="1"/>
  <c r="D2746" i="1" s="1"/>
  <c r="D2747" i="1" s="1"/>
  <c r="D2748" i="1"/>
  <c r="D2749" i="1" s="1"/>
  <c r="D2750" i="1" s="1"/>
  <c r="D2751" i="1" s="1"/>
  <c r="D2752" i="1"/>
  <c r="D2753" i="1" s="1"/>
  <c r="D2754" i="1" s="1"/>
  <c r="D2755" i="1"/>
  <c r="D2756" i="1" s="1"/>
  <c r="D2757" i="1" s="1"/>
  <c r="D2758" i="1" s="1"/>
  <c r="D2759" i="1" s="1"/>
  <c r="D2760" i="1" s="1"/>
  <c r="D2761" i="1" s="1"/>
  <c r="D2762" i="1" s="1"/>
  <c r="D2763" i="1" s="1"/>
  <c r="D2764" i="1" s="1"/>
  <c r="D2765" i="1" s="1"/>
  <c r="D2766" i="1" s="1"/>
  <c r="D2767" i="1" s="1"/>
  <c r="D2768" i="1" s="1"/>
  <c r="D2769" i="1" s="1"/>
  <c r="D2770" i="1" s="1"/>
  <c r="D2771" i="1"/>
  <c r="D2772" i="1" s="1"/>
  <c r="D2773" i="1" s="1"/>
  <c r="D2774" i="1" s="1"/>
  <c r="D2775" i="1" s="1"/>
  <c r="D2776" i="1" s="1"/>
  <c r="D2777" i="1" s="1"/>
  <c r="D2778" i="1" s="1"/>
  <c r="D2779" i="1"/>
  <c r="D2780" i="1" s="1"/>
  <c r="D2781" i="1" s="1"/>
  <c r="D2782" i="1" s="1"/>
  <c r="D2783" i="1" s="1"/>
  <c r="D2784" i="1" s="1"/>
  <c r="D2785" i="1" s="1"/>
  <c r="D2786" i="1"/>
  <c r="D2787" i="1" s="1"/>
  <c r="D2788" i="1" s="1"/>
  <c r="D2789" i="1" s="1"/>
  <c r="D2790" i="1" s="1"/>
  <c r="D2791" i="1" s="1"/>
  <c r="D2792" i="1" s="1"/>
  <c r="D2793" i="1" s="1"/>
  <c r="D2794" i="1"/>
  <c r="D2795" i="1"/>
  <c r="D2796" i="1" s="1"/>
  <c r="D2797" i="1" s="1"/>
  <c r="D2798" i="1" s="1"/>
  <c r="D2799" i="1" s="1"/>
  <c r="D2800" i="1" s="1"/>
  <c r="D2801" i="1" s="1"/>
  <c r="D2802" i="1" s="1"/>
  <c r="D2803" i="1" s="1"/>
  <c r="D2804" i="1" s="1"/>
  <c r="D2805" i="1" s="1"/>
  <c r="D2806" i="1" s="1"/>
  <c r="D2807" i="1" s="1"/>
  <c r="D2808" i="1" s="1"/>
  <c r="D2809" i="1" s="1"/>
  <c r="D2810" i="1" s="1"/>
  <c r="D2811" i="1" s="1"/>
  <c r="D2812" i="1" s="1"/>
  <c r="D2813" i="1" s="1"/>
  <c r="D2814" i="1" s="1"/>
  <c r="D2815" i="1" s="1"/>
  <c r="D2816" i="1" s="1"/>
  <c r="D2817" i="1"/>
  <c r="D2818" i="1"/>
  <c r="D2819" i="1"/>
  <c r="D2820" i="1" s="1"/>
  <c r="D2821" i="1" s="1"/>
  <c r="D2822" i="1" s="1"/>
  <c r="D2823" i="1" s="1"/>
  <c r="D2824" i="1" s="1"/>
  <c r="D2825" i="1"/>
  <c r="D2826" i="1" s="1"/>
  <c r="D2827" i="1" s="1"/>
  <c r="D2828" i="1" s="1"/>
  <c r="D2829" i="1" s="1"/>
  <c r="D2830" i="1" s="1"/>
  <c r="D2831" i="1" s="1"/>
  <c r="D2832" i="1" s="1"/>
  <c r="D2833" i="1" s="1"/>
  <c r="D2834" i="1" s="1"/>
  <c r="D2835" i="1" s="1"/>
  <c r="D2836" i="1" s="1"/>
  <c r="D2837" i="1" s="1"/>
  <c r="D2838" i="1" s="1"/>
  <c r="D2839" i="1" s="1"/>
  <c r="D2840" i="1"/>
  <c r="D2841" i="1"/>
  <c r="D2842" i="1" s="1"/>
  <c r="D2843" i="1" s="1"/>
  <c r="D2844" i="1" s="1"/>
  <c r="D2845" i="1" s="1"/>
  <c r="D2846" i="1" s="1"/>
  <c r="D2847" i="1" s="1"/>
  <c r="D2848" i="1" s="1"/>
  <c r="D2849" i="1" s="1"/>
  <c r="D2850" i="1" s="1"/>
  <c r="D2851" i="1" s="1"/>
  <c r="D2852" i="1" s="1"/>
  <c r="D2853" i="1" s="1"/>
  <c r="D2854" i="1" s="1"/>
  <c r="D2855" i="1" s="1"/>
  <c r="D2856" i="1" s="1"/>
  <c r="D2857" i="1" s="1"/>
  <c r="D2858" i="1" s="1"/>
  <c r="D2859" i="1" s="1"/>
  <c r="D2860" i="1" s="1"/>
  <c r="D2861" i="1"/>
  <c r="D2862" i="1" s="1"/>
  <c r="D2863" i="1" s="1"/>
  <c r="D2864" i="1" s="1"/>
  <c r="D2865" i="1" s="1"/>
  <c r="D2866" i="1" s="1"/>
  <c r="D2867" i="1" s="1"/>
  <c r="D2868" i="1" s="1"/>
  <c r="D2869" i="1" s="1"/>
  <c r="D2870" i="1" s="1"/>
  <c r="D2871" i="1" s="1"/>
  <c r="D2872" i="1" s="1"/>
  <c r="D2873" i="1" s="1"/>
  <c r="D2874" i="1" s="1"/>
  <c r="D2875" i="1" s="1"/>
  <c r="D2876" i="1" s="1"/>
  <c r="D2877" i="1" s="1"/>
  <c r="D2878" i="1" s="1"/>
  <c r="D2879" i="1" s="1"/>
  <c r="D2880" i="1" s="1"/>
  <c r="D2881" i="1" s="1"/>
  <c r="D2882" i="1" s="1"/>
  <c r="D2883" i="1" s="1"/>
  <c r="D2884" i="1"/>
  <c r="D2885" i="1" s="1"/>
  <c r="D2886" i="1" s="1"/>
  <c r="D2887" i="1" s="1"/>
  <c r="D2888" i="1" s="1"/>
  <c r="D2889" i="1" s="1"/>
  <c r="D2890" i="1" s="1"/>
  <c r="D2891" i="1" s="1"/>
  <c r="D2892" i="1" s="1"/>
  <c r="D2893" i="1"/>
  <c r="D2894" i="1" s="1"/>
  <c r="D2895" i="1" s="1"/>
  <c r="D2896" i="1" s="1"/>
  <c r="D2897" i="1" s="1"/>
  <c r="D2898" i="1" s="1"/>
  <c r="D2899" i="1" s="1"/>
  <c r="D2900" i="1" s="1"/>
  <c r="D2901" i="1" s="1"/>
  <c r="D2902" i="1" s="1"/>
  <c r="D2903" i="1" s="1"/>
  <c r="D2904" i="1" s="1"/>
  <c r="D2905" i="1" s="1"/>
  <c r="D2906" i="1"/>
  <c r="D2907" i="1"/>
  <c r="D2908" i="1"/>
  <c r="D2909" i="1"/>
  <c r="D2910" i="1" s="1"/>
  <c r="D2911" i="1" s="1"/>
  <c r="D2912" i="1" s="1"/>
  <c r="D2913" i="1" s="1"/>
  <c r="D2914" i="1" s="1"/>
  <c r="D2915" i="1" s="1"/>
  <c r="D2916" i="1" s="1"/>
  <c r="D2917" i="1" s="1"/>
  <c r="D2918" i="1" s="1"/>
  <c r="D2919" i="1" s="1"/>
  <c r="D2920" i="1" s="1"/>
  <c r="D2921" i="1" s="1"/>
  <c r="D2922" i="1" s="1"/>
  <c r="D2923" i="1" s="1"/>
  <c r="D2924" i="1" s="1"/>
  <c r="D2925" i="1" s="1"/>
  <c r="D2926" i="1" s="1"/>
  <c r="D2927" i="1" s="1"/>
  <c r="D2928" i="1" s="1"/>
  <c r="D2929" i="1"/>
  <c r="D2930" i="1"/>
  <c r="D2931" i="1" s="1"/>
  <c r="D2932" i="1" s="1"/>
  <c r="D2933" i="1" s="1"/>
  <c r="D2934" i="1" s="1"/>
  <c r="D2935" i="1"/>
  <c r="D2936" i="1" s="1"/>
  <c r="D2937" i="1" s="1"/>
  <c r="D2938" i="1" s="1"/>
  <c r="D2939" i="1" s="1"/>
  <c r="D2940" i="1" s="1"/>
  <c r="D2941" i="1" s="1"/>
  <c r="D2942" i="1" s="1"/>
  <c r="D2943" i="1" s="1"/>
  <c r="D2944" i="1" s="1"/>
  <c r="D2945" i="1" s="1"/>
  <c r="D2946" i="1" s="1"/>
  <c r="D2947" i="1" s="1"/>
  <c r="D2948" i="1" s="1"/>
  <c r="D2949" i="1" s="1"/>
  <c r="D2950" i="1"/>
  <c r="D2951" i="1" s="1"/>
  <c r="D2952" i="1" s="1"/>
  <c r="D2953" i="1" s="1"/>
  <c r="D2954" i="1" s="1"/>
  <c r="D2955" i="1" s="1"/>
  <c r="D2956" i="1" s="1"/>
  <c r="D2957" i="1" s="1"/>
  <c r="D2958" i="1" s="1"/>
  <c r="D2959" i="1" s="1"/>
  <c r="D2960" i="1" s="1"/>
  <c r="D2961" i="1" s="1"/>
  <c r="D2962" i="1" s="1"/>
  <c r="D2963" i="1" s="1"/>
  <c r="D2964" i="1" s="1"/>
  <c r="D2965" i="1" s="1"/>
  <c r="D2966" i="1" s="1"/>
  <c r="D2967" i="1" s="1"/>
  <c r="D2968" i="1" s="1"/>
  <c r="D2969" i="1" s="1"/>
  <c r="D2970" i="1" s="1"/>
  <c r="D2971" i="1" s="1"/>
  <c r="D2972" i="1" s="1"/>
  <c r="D2973" i="1"/>
  <c r="D2974" i="1" s="1"/>
  <c r="D2975" i="1" s="1"/>
  <c r="D2976" i="1"/>
  <c r="D2977" i="1"/>
  <c r="D2978" i="1" s="1"/>
  <c r="D2979" i="1" s="1"/>
  <c r="D2980" i="1" s="1"/>
  <c r="D2981" i="1" s="1"/>
  <c r="D2982" i="1"/>
  <c r="D2983" i="1" s="1"/>
  <c r="D2984" i="1"/>
  <c r="D2985" i="1" s="1"/>
  <c r="D2986" i="1" s="1"/>
  <c r="D2987" i="1" s="1"/>
  <c r="D2988" i="1" s="1"/>
  <c r="D2989" i="1" s="1"/>
  <c r="D2990" i="1" s="1"/>
  <c r="D2991" i="1" s="1"/>
  <c r="D2992" i="1" s="1"/>
  <c r="D2993" i="1" s="1"/>
  <c r="D2994" i="1" s="1"/>
  <c r="D2995" i="1" s="1"/>
  <c r="D2996" i="1"/>
  <c r="D2997" i="1" s="1"/>
  <c r="D2998" i="1" s="1"/>
  <c r="D2999" i="1" s="1"/>
  <c r="D3000" i="1" s="1"/>
  <c r="D3001" i="1" s="1"/>
  <c r="D3002" i="1" s="1"/>
  <c r="D3003" i="1" s="1"/>
  <c r="D3004" i="1" s="1"/>
  <c r="D3005" i="1" s="1"/>
  <c r="D3006" i="1" s="1"/>
  <c r="D3007" i="1" s="1"/>
  <c r="D3008" i="1" s="1"/>
  <c r="D3009" i="1" s="1"/>
  <c r="D3010" i="1" s="1"/>
  <c r="D3011" i="1" s="1"/>
  <c r="D3012" i="1" s="1"/>
  <c r="D3013" i="1" s="1"/>
  <c r="D3014" i="1" s="1"/>
  <c r="D3015" i="1" s="1"/>
  <c r="D3016" i="1" s="1"/>
  <c r="D3017" i="1" s="1"/>
  <c r="D3018" i="1" s="1"/>
  <c r="D3019" i="1"/>
  <c r="D3020" i="1"/>
  <c r="D3021" i="1"/>
  <c r="D3022" i="1" s="1"/>
  <c r="D3023" i="1" s="1"/>
  <c r="D3024" i="1"/>
  <c r="D3025" i="1"/>
  <c r="D3026" i="1" s="1"/>
  <c r="D3027" i="1" s="1"/>
  <c r="D3028" i="1" s="1"/>
  <c r="D3029" i="1" s="1"/>
  <c r="D3030" i="1" s="1"/>
  <c r="D3031" i="1" s="1"/>
  <c r="D3032" i="1" s="1"/>
  <c r="D3033" i="1" s="1"/>
  <c r="D3034" i="1" s="1"/>
  <c r="D3035" i="1" s="1"/>
  <c r="D3036" i="1" s="1"/>
  <c r="D3037" i="1" s="1"/>
  <c r="D3038" i="1" s="1"/>
  <c r="D3039" i="1" s="1"/>
  <c r="D3040" i="1" s="1"/>
  <c r="D3041" i="1" s="1"/>
  <c r="D3042" i="1"/>
  <c r="D3043" i="1" s="1"/>
  <c r="D3044" i="1"/>
  <c r="D3045" i="1" s="1"/>
  <c r="D3046" i="1" s="1"/>
  <c r="D3047" i="1" s="1"/>
  <c r="D3048" i="1" s="1"/>
  <c r="D3049" i="1" s="1"/>
  <c r="D3050" i="1" s="1"/>
  <c r="D3051" i="1" s="1"/>
  <c r="D3052" i="1" s="1"/>
  <c r="D3053" i="1" s="1"/>
  <c r="D3054" i="1" s="1"/>
  <c r="D3055" i="1" s="1"/>
  <c r="D3056" i="1" s="1"/>
  <c r="D3057" i="1" s="1"/>
  <c r="D3058" i="1" s="1"/>
  <c r="D3059" i="1" s="1"/>
  <c r="D3060" i="1" s="1"/>
  <c r="D3061" i="1" s="1"/>
  <c r="D3062" i="1" s="1"/>
  <c r="D3063" i="1" s="1"/>
  <c r="D3064" i="1" s="1"/>
  <c r="D3065" i="1"/>
  <c r="D3066" i="1" s="1"/>
  <c r="D3067" i="1" s="1"/>
  <c r="D3068" i="1" s="1"/>
  <c r="D3069" i="1"/>
  <c r="D3070" i="1" s="1"/>
  <c r="D3071" i="1" s="1"/>
  <c r="D3072" i="1" s="1"/>
  <c r="D3073" i="1" s="1"/>
  <c r="D3074" i="1" s="1"/>
  <c r="D3075" i="1" s="1"/>
  <c r="D3076" i="1" s="1"/>
  <c r="D3077" i="1" s="1"/>
  <c r="D3078" i="1" s="1"/>
  <c r="D3079" i="1" s="1"/>
  <c r="D3080" i="1" s="1"/>
  <c r="D3081" i="1" s="1"/>
  <c r="D3082" i="1" s="1"/>
  <c r="D3083" i="1" s="1"/>
  <c r="D3084" i="1" s="1"/>
  <c r="D3085" i="1" s="1"/>
  <c r="D3086" i="1" s="1"/>
  <c r="D3087" i="1" s="1"/>
  <c r="D3088" i="1"/>
  <c r="D3089" i="1" s="1"/>
  <c r="D3090" i="1" s="1"/>
  <c r="D3091" i="1" s="1"/>
  <c r="D3092" i="1" s="1"/>
  <c r="D3093" i="1" s="1"/>
  <c r="D3094" i="1" s="1"/>
  <c r="D3095" i="1" s="1"/>
  <c r="D3096" i="1" s="1"/>
  <c r="D3097" i="1" s="1"/>
  <c r="D3098" i="1" s="1"/>
  <c r="D3099" i="1" s="1"/>
  <c r="D3100" i="1" s="1"/>
  <c r="D3101" i="1" s="1"/>
  <c r="D3102" i="1" s="1"/>
  <c r="D3103" i="1" s="1"/>
  <c r="D3104" i="1" s="1"/>
  <c r="D3105" i="1"/>
  <c r="D3106" i="1" s="1"/>
  <c r="D3107" i="1" s="1"/>
  <c r="D3108" i="1" s="1"/>
  <c r="D3109" i="1" s="1"/>
  <c r="D3110" i="1" s="1"/>
  <c r="D3111" i="1"/>
  <c r="D3112" i="1"/>
  <c r="D3113" i="1"/>
  <c r="D3114" i="1" s="1"/>
  <c r="D3115" i="1" s="1"/>
  <c r="D3116" i="1" s="1"/>
  <c r="D3117" i="1" s="1"/>
  <c r="D3118" i="1" s="1"/>
  <c r="D3119" i="1" s="1"/>
  <c r="D3120" i="1" s="1"/>
  <c r="D3121" i="1" s="1"/>
  <c r="D3122" i="1" s="1"/>
  <c r="D3123" i="1" s="1"/>
  <c r="D3124" i="1" s="1"/>
  <c r="D3125" i="1" s="1"/>
  <c r="D3126" i="1" s="1"/>
  <c r="D3127" i="1" s="1"/>
  <c r="D3128" i="1" s="1"/>
  <c r="D3129" i="1" s="1"/>
  <c r="D3130" i="1" s="1"/>
  <c r="D3131" i="1" s="1"/>
  <c r="D3132" i="1" s="1"/>
  <c r="D3133" i="1" s="1"/>
  <c r="D3134" i="1"/>
  <c r="D3135" i="1"/>
  <c r="D3136" i="1"/>
  <c r="D3137" i="1"/>
  <c r="D3138" i="1" s="1"/>
  <c r="D3139" i="1" s="1"/>
  <c r="D3140" i="1" s="1"/>
  <c r="D3141" i="1" s="1"/>
  <c r="D3142" i="1" s="1"/>
  <c r="D3143" i="1" s="1"/>
  <c r="D3144" i="1" s="1"/>
  <c r="D3145" i="1" s="1"/>
  <c r="D3146" i="1" s="1"/>
  <c r="D3147" i="1" s="1"/>
  <c r="D3148" i="1" s="1"/>
  <c r="D3149" i="1"/>
  <c r="D3150" i="1" s="1"/>
  <c r="D3151" i="1" s="1"/>
  <c r="D3152" i="1" s="1"/>
  <c r="D3153" i="1" s="1"/>
  <c r="D3154" i="1" s="1"/>
  <c r="D3155" i="1" s="1"/>
  <c r="D3156" i="1" s="1"/>
  <c r="D3157" i="1"/>
  <c r="D3158" i="1"/>
  <c r="D3159" i="1" s="1"/>
  <c r="D3160" i="1" s="1"/>
  <c r="D3161" i="1" s="1"/>
  <c r="D3162" i="1" s="1"/>
  <c r="D3163" i="1" s="1"/>
  <c r="D3164" i="1" s="1"/>
  <c r="D3165" i="1" s="1"/>
  <c r="D3166" i="1" s="1"/>
  <c r="D3167" i="1" s="1"/>
  <c r="D3168" i="1" s="1"/>
  <c r="D3169" i="1" s="1"/>
  <c r="D3170" i="1" s="1"/>
  <c r="D3171" i="1" s="1"/>
  <c r="D3172" i="1" s="1"/>
  <c r="D3173" i="1" s="1"/>
  <c r="D3174" i="1" s="1"/>
  <c r="D3175" i="1" s="1"/>
  <c r="D3176" i="1" s="1"/>
  <c r="D3177" i="1"/>
  <c r="D3178" i="1" s="1"/>
  <c r="D3179" i="1" s="1"/>
  <c r="D3180" i="1"/>
  <c r="D3181" i="1"/>
  <c r="D3182" i="1" s="1"/>
  <c r="D3183" i="1"/>
  <c r="D3184" i="1" s="1"/>
  <c r="D3185" i="1" s="1"/>
  <c r="D3186" i="1"/>
  <c r="D3187" i="1" s="1"/>
  <c r="D3188" i="1" s="1"/>
  <c r="D3189" i="1" s="1"/>
  <c r="D3190" i="1" s="1"/>
  <c r="D3191" i="1" s="1"/>
  <c r="D3192" i="1" s="1"/>
  <c r="D3193" i="1" s="1"/>
  <c r="D3194" i="1" s="1"/>
  <c r="D3195" i="1" s="1"/>
  <c r="D3196" i="1" s="1"/>
  <c r="D3197" i="1" s="1"/>
  <c r="D3198" i="1" s="1"/>
  <c r="D3199" i="1" s="1"/>
  <c r="D3200" i="1" s="1"/>
  <c r="D3201" i="1" s="1"/>
  <c r="D3202" i="1" s="1"/>
  <c r="D3203" i="1"/>
  <c r="D3204" i="1"/>
  <c r="D3205" i="1" s="1"/>
  <c r="D3206" i="1" s="1"/>
  <c r="D3207" i="1" s="1"/>
  <c r="D3208" i="1" s="1"/>
  <c r="D3209" i="1" s="1"/>
  <c r="D3210" i="1" s="1"/>
  <c r="D3211" i="1" s="1"/>
  <c r="D3212" i="1" s="1"/>
  <c r="D3213" i="1" s="1"/>
  <c r="D3214" i="1" s="1"/>
  <c r="D3215" i="1" s="1"/>
  <c r="D3216" i="1" s="1"/>
  <c r="D3217" i="1" s="1"/>
  <c r="D3218" i="1" s="1"/>
  <c r="D3219" i="1"/>
  <c r="D3220" i="1"/>
  <c r="D3221" i="1" s="1"/>
  <c r="D3222" i="1" s="1"/>
  <c r="D3223" i="1" s="1"/>
  <c r="D3224" i="1" s="1"/>
  <c r="D3225" i="1" s="1"/>
  <c r="D3226" i="1"/>
  <c r="D3227" i="1" s="1"/>
  <c r="D3228" i="1" s="1"/>
  <c r="D3229" i="1"/>
  <c r="D3230" i="1" s="1"/>
  <c r="D3231" i="1"/>
  <c r="D3232" i="1" s="1"/>
  <c r="D3233" i="1" s="1"/>
  <c r="D3234" i="1" s="1"/>
  <c r="D3235" i="1" s="1"/>
  <c r="D3236" i="1" s="1"/>
  <c r="D3237" i="1" s="1"/>
  <c r="D3238" i="1" s="1"/>
  <c r="D3239" i="1" s="1"/>
  <c r="D3240" i="1" s="1"/>
  <c r="D3241" i="1"/>
  <c r="D3242" i="1" s="1"/>
  <c r="D3243" i="1" s="1"/>
  <c r="D3244" i="1" s="1"/>
  <c r="D3245" i="1" s="1"/>
  <c r="D3246" i="1" s="1"/>
  <c r="D3247" i="1" s="1"/>
  <c r="D3248" i="1" s="1"/>
  <c r="D3249" i="1"/>
  <c r="D3250" i="1"/>
  <c r="D3251" i="1"/>
  <c r="D3252" i="1" s="1"/>
  <c r="D3253" i="1" s="1"/>
  <c r="D3254" i="1" s="1"/>
  <c r="D3255" i="1" s="1"/>
  <c r="D3256" i="1"/>
  <c r="D3257" i="1" s="1"/>
  <c r="D3258" i="1" s="1"/>
  <c r="D3259" i="1" s="1"/>
  <c r="D3260" i="1" s="1"/>
  <c r="D3261" i="1" s="1"/>
  <c r="D3262" i="1" s="1"/>
  <c r="D3263" i="1" s="1"/>
  <c r="D3264" i="1" s="1"/>
  <c r="D3265" i="1" s="1"/>
  <c r="D3266" i="1" s="1"/>
  <c r="D3267" i="1" s="1"/>
  <c r="D3268" i="1" s="1"/>
  <c r="D3269" i="1" s="1"/>
  <c r="D3270" i="1"/>
  <c r="D3271" i="1" s="1"/>
  <c r="D3272" i="1"/>
  <c r="D3273" i="1" s="1"/>
  <c r="D3274" i="1" s="1"/>
  <c r="D3275" i="1" s="1"/>
  <c r="D3276" i="1" s="1"/>
  <c r="D3277" i="1" s="1"/>
  <c r="D3278" i="1" s="1"/>
  <c r="D3279" i="1"/>
  <c r="D3280" i="1" s="1"/>
  <c r="D3281" i="1" s="1"/>
  <c r="D3282" i="1" s="1"/>
  <c r="D3283" i="1" s="1"/>
  <c r="D3284" i="1" s="1"/>
  <c r="D3285" i="1" s="1"/>
  <c r="D3286" i="1" s="1"/>
  <c r="D3287" i="1" s="1"/>
  <c r="D3288" i="1" s="1"/>
  <c r="D3289" i="1" s="1"/>
  <c r="D3290" i="1" s="1"/>
  <c r="D3291" i="1" s="1"/>
  <c r="D3292" i="1"/>
  <c r="D3293" i="1"/>
  <c r="D3294" i="1" s="1"/>
  <c r="D3295" i="1" s="1"/>
  <c r="D3296" i="1" s="1"/>
  <c r="D3297" i="1"/>
  <c r="D3298" i="1" s="1"/>
  <c r="D3299" i="1" s="1"/>
  <c r="D3300" i="1" s="1"/>
  <c r="D3301" i="1" s="1"/>
  <c r="D3302" i="1" s="1"/>
  <c r="D3303" i="1" s="1"/>
  <c r="D3304" i="1" s="1"/>
  <c r="D3305" i="1" s="1"/>
  <c r="D3306" i="1" s="1"/>
  <c r="D3307" i="1" s="1"/>
  <c r="D3308" i="1" s="1"/>
  <c r="D3309" i="1" s="1"/>
  <c r="D3310" i="1" s="1"/>
  <c r="D3311" i="1" s="1"/>
  <c r="D3312" i="1" s="1"/>
  <c r="D3313" i="1" s="1"/>
  <c r="D3314" i="1"/>
  <c r="D3315" i="1" s="1"/>
  <c r="D3316" i="1" s="1"/>
  <c r="D3317" i="1" s="1"/>
  <c r="D3318" i="1" s="1"/>
  <c r="D3319" i="1" s="1"/>
  <c r="D3320" i="1" s="1"/>
  <c r="D3321" i="1" s="1"/>
  <c r="D3322" i="1"/>
  <c r="D3323" i="1" s="1"/>
  <c r="D3324" i="1" s="1"/>
  <c r="D3325" i="1"/>
  <c r="D3326" i="1" s="1"/>
  <c r="D3327" i="1" s="1"/>
  <c r="D3328" i="1" s="1"/>
  <c r="D3329" i="1" s="1"/>
  <c r="D3330" i="1" s="1"/>
  <c r="D3331" i="1"/>
  <c r="D3332" i="1" s="1"/>
  <c r="D3333" i="1" s="1"/>
  <c r="D3334" i="1" s="1"/>
  <c r="D3335" i="1" s="1"/>
  <c r="D3336" i="1" s="1"/>
  <c r="D3337" i="1"/>
  <c r="D3338" i="1"/>
  <c r="D3339" i="1" s="1"/>
  <c r="D3340" i="1" s="1"/>
  <c r="D3341" i="1"/>
  <c r="D3342" i="1" s="1"/>
  <c r="D3343" i="1" s="1"/>
  <c r="D3344" i="1" s="1"/>
  <c r="D3345" i="1" s="1"/>
  <c r="D3346" i="1" s="1"/>
  <c r="D3347" i="1" s="1"/>
  <c r="D3348" i="1" s="1"/>
  <c r="D3349" i="1" s="1"/>
  <c r="D3350" i="1" s="1"/>
  <c r="D3351" i="1" s="1"/>
  <c r="D3352" i="1" s="1"/>
  <c r="D3353" i="1" s="1"/>
  <c r="D3354" i="1" s="1"/>
  <c r="D3355" i="1" s="1"/>
  <c r="D3356" i="1" s="1"/>
  <c r="D3357" i="1" s="1"/>
  <c r="D3358" i="1" s="1"/>
  <c r="D3359" i="1"/>
  <c r="D3360" i="1" s="1"/>
  <c r="D3361" i="1"/>
  <c r="D3362" i="1" s="1"/>
  <c r="D3363" i="1" s="1"/>
  <c r="D3364" i="1" s="1"/>
  <c r="D3365" i="1"/>
  <c r="D3366" i="1" s="1"/>
  <c r="D3367" i="1" s="1"/>
  <c r="D3368" i="1" s="1"/>
  <c r="D3369" i="1" s="1"/>
  <c r="D3370" i="1" s="1"/>
  <c r="D3371" i="1" s="1"/>
  <c r="D3372" i="1" s="1"/>
  <c r="D3373" i="1" s="1"/>
  <c r="D3374" i="1" s="1"/>
  <c r="D3375" i="1" s="1"/>
  <c r="D3376" i="1" s="1"/>
  <c r="D3377" i="1" s="1"/>
  <c r="D3378" i="1" s="1"/>
  <c r="D3379" i="1" s="1"/>
  <c r="D3380" i="1" s="1"/>
  <c r="D3381" i="1"/>
  <c r="D3382" i="1" s="1"/>
  <c r="D3383" i="1" s="1"/>
  <c r="D3384" i="1" s="1"/>
  <c r="D3385" i="1" s="1"/>
  <c r="D3386" i="1" s="1"/>
  <c r="D3387" i="1" s="1"/>
  <c r="D3388" i="1" s="1"/>
  <c r="D3389" i="1" s="1"/>
  <c r="D3390" i="1" s="1"/>
  <c r="D3391" i="1" s="1"/>
  <c r="D3392" i="1" s="1"/>
  <c r="D3393" i="1" s="1"/>
  <c r="D3394" i="1" s="1"/>
  <c r="D3395" i="1" s="1"/>
  <c r="D3396" i="1" s="1"/>
  <c r="D3397" i="1" s="1"/>
  <c r="D3398" i="1" s="1"/>
  <c r="D3399" i="1" s="1"/>
  <c r="D3400" i="1" s="1"/>
  <c r="D3401" i="1" s="1"/>
  <c r="D3402" i="1" s="1"/>
  <c r="D3403" i="1" s="1"/>
  <c r="D3404" i="1"/>
  <c r="D3405" i="1"/>
  <c r="D3406" i="1"/>
  <c r="D3407" i="1" s="1"/>
  <c r="D3408" i="1" s="1"/>
  <c r="D3409" i="1" s="1"/>
  <c r="D3410" i="1" s="1"/>
  <c r="D3411" i="1" s="1"/>
  <c r="D3412" i="1" s="1"/>
  <c r="D3413" i="1" s="1"/>
  <c r="D3414" i="1" s="1"/>
  <c r="D3415" i="1" s="1"/>
  <c r="D3416" i="1" s="1"/>
  <c r="D3417" i="1" s="1"/>
  <c r="D3418" i="1" s="1"/>
  <c r="D3419" i="1" s="1"/>
  <c r="D3420" i="1" s="1"/>
  <c r="D3421" i="1" s="1"/>
  <c r="D3422" i="1" s="1"/>
  <c r="D3423" i="1" s="1"/>
  <c r="D3424" i="1" s="1"/>
  <c r="D3425" i="1" s="1"/>
  <c r="D3426" i="1" s="1"/>
  <c r="D3427" i="1"/>
  <c r="D3428" i="1" s="1"/>
  <c r="D3429" i="1"/>
  <c r="D3430" i="1" s="1"/>
  <c r="D3431" i="1" s="1"/>
  <c r="D3432" i="1" s="1"/>
  <c r="D3433" i="1" s="1"/>
  <c r="D3434" i="1" s="1"/>
  <c r="D3435" i="1" s="1"/>
  <c r="D3436" i="1" s="1"/>
  <c r="D3437" i="1" s="1"/>
  <c r="D3438" i="1" s="1"/>
  <c r="D3439" i="1" s="1"/>
  <c r="D3440" i="1" s="1"/>
  <c r="D3441" i="1" s="1"/>
  <c r="D3442" i="1" s="1"/>
  <c r="D3443" i="1" s="1"/>
  <c r="D3444" i="1"/>
  <c r="D3445" i="1" s="1"/>
  <c r="D3446" i="1" s="1"/>
  <c r="D3447" i="1" s="1"/>
  <c r="D3448" i="1" s="1"/>
  <c r="D3449" i="1" s="1"/>
  <c r="D3450" i="1"/>
  <c r="D3451" i="1" s="1"/>
  <c r="D3452" i="1" s="1"/>
  <c r="D3453" i="1" s="1"/>
  <c r="D3454" i="1" s="1"/>
  <c r="D3455" i="1"/>
  <c r="D3456" i="1" s="1"/>
  <c r="D3457" i="1" s="1"/>
  <c r="D3458" i="1"/>
  <c r="D3459" i="1"/>
  <c r="D3460" i="1" s="1"/>
  <c r="D3461" i="1" s="1"/>
  <c r="D3462" i="1" s="1"/>
  <c r="D3463" i="1" s="1"/>
  <c r="D3464" i="1" s="1"/>
  <c r="D3465" i="1" s="1"/>
  <c r="D3466" i="1" s="1"/>
  <c r="D3467" i="1" s="1"/>
  <c r="D3468" i="1" s="1"/>
  <c r="D3469" i="1" s="1"/>
  <c r="D3470" i="1" s="1"/>
  <c r="D3471" i="1" s="1"/>
  <c r="D3472" i="1" s="1"/>
  <c r="D3473" i="1"/>
  <c r="D3474" i="1"/>
  <c r="D3475" i="1" s="1"/>
  <c r="D3476" i="1" s="1"/>
  <c r="D3477" i="1" s="1"/>
  <c r="D3478" i="1"/>
  <c r="D3479" i="1" s="1"/>
  <c r="D3480" i="1" s="1"/>
  <c r="D3481" i="1" s="1"/>
  <c r="D3482" i="1" s="1"/>
  <c r="D3483" i="1" s="1"/>
  <c r="D3484" i="1" s="1"/>
  <c r="D3485" i="1" s="1"/>
  <c r="D3486" i="1" s="1"/>
  <c r="D3487" i="1" s="1"/>
  <c r="D3488" i="1" s="1"/>
  <c r="D3489" i="1"/>
  <c r="D3490" i="1" s="1"/>
  <c r="D3491" i="1" s="1"/>
  <c r="D3492" i="1" s="1"/>
  <c r="D3493" i="1" s="1"/>
  <c r="D3494" i="1" s="1"/>
  <c r="D3495" i="1" s="1"/>
  <c r="D3496" i="1"/>
  <c r="D3497" i="1"/>
  <c r="D3498" i="1" s="1"/>
  <c r="D3499" i="1" s="1"/>
  <c r="D3500" i="1" s="1"/>
  <c r="D3501" i="1" s="1"/>
  <c r="D3502" i="1" s="1"/>
  <c r="D3503" i="1" s="1"/>
  <c r="D3504" i="1" s="1"/>
  <c r="D3505" i="1" s="1"/>
  <c r="D3506" i="1" s="1"/>
  <c r="D3507" i="1" s="1"/>
  <c r="D3508" i="1"/>
  <c r="D3509" i="1" s="1"/>
  <c r="D3510" i="1" s="1"/>
  <c r="D3511" i="1" s="1"/>
  <c r="D3512" i="1" s="1"/>
  <c r="D3513" i="1" s="1"/>
  <c r="D3514" i="1" s="1"/>
  <c r="D3515" i="1" s="1"/>
  <c r="D3516" i="1" s="1"/>
  <c r="D3517" i="1" s="1"/>
  <c r="D3518" i="1" s="1"/>
  <c r="D3519" i="1"/>
  <c r="D3520" i="1"/>
  <c r="D3521" i="1"/>
  <c r="D3522" i="1"/>
  <c r="D3523" i="1" s="1"/>
  <c r="D3524" i="1" s="1"/>
  <c r="D3525" i="1" s="1"/>
  <c r="D3526" i="1" s="1"/>
  <c r="D3527" i="1" s="1"/>
  <c r="D3528" i="1" s="1"/>
  <c r="D3529" i="1" s="1"/>
  <c r="D3530" i="1" s="1"/>
  <c r="D3531" i="1" s="1"/>
  <c r="D3532" i="1" s="1"/>
  <c r="D3533" i="1" s="1"/>
  <c r="D3534" i="1" s="1"/>
  <c r="D3535" i="1" s="1"/>
  <c r="D3536" i="1"/>
  <c r="D3537" i="1" s="1"/>
  <c r="D3538" i="1" s="1"/>
  <c r="D3539" i="1" s="1"/>
  <c r="D3540" i="1" s="1"/>
  <c r="D3541" i="1" s="1"/>
  <c r="D3542" i="1"/>
  <c r="D3543" i="1" s="1"/>
  <c r="D3544" i="1"/>
  <c r="D3545" i="1" s="1"/>
  <c r="D3546" i="1" s="1"/>
  <c r="D3547" i="1" s="1"/>
  <c r="D3548" i="1" s="1"/>
  <c r="D3549" i="1" s="1"/>
  <c r="D3550" i="1" s="1"/>
  <c r="D3551" i="1" s="1"/>
  <c r="D3552" i="1" s="1"/>
  <c r="D3553" i="1" s="1"/>
  <c r="D3554" i="1" s="1"/>
  <c r="D3555" i="1" s="1"/>
  <c r="D3556" i="1" s="1"/>
  <c r="D3557" i="1" s="1"/>
  <c r="D3558" i="1" s="1"/>
  <c r="D3559" i="1" s="1"/>
  <c r="D3560" i="1" s="1"/>
  <c r="D3561" i="1" s="1"/>
  <c r="D3562" i="1" s="1"/>
  <c r="D3563" i="1" s="1"/>
  <c r="D3564" i="1" s="1"/>
  <c r="D3565" i="1"/>
  <c r="D3566" i="1" s="1"/>
  <c r="D3567" i="1" s="1"/>
  <c r="D3568" i="1" s="1"/>
  <c r="D3569" i="1" s="1"/>
  <c r="D3570" i="1" s="1"/>
  <c r="D3571" i="1" s="1"/>
  <c r="D3572" i="1" s="1"/>
  <c r="D3573" i="1" s="1"/>
  <c r="D3574" i="1" s="1"/>
  <c r="D3575" i="1" s="1"/>
  <c r="D3576" i="1" s="1"/>
  <c r="D3577" i="1" s="1"/>
  <c r="D3578" i="1" s="1"/>
  <c r="D3579" i="1" s="1"/>
  <c r="D3580" i="1" s="1"/>
  <c r="D3581" i="1" s="1"/>
  <c r="D3582" i="1" s="1"/>
  <c r="D3583" i="1" s="1"/>
  <c r="D3584" i="1" s="1"/>
  <c r="D3585" i="1" s="1"/>
  <c r="D3586" i="1" s="1"/>
  <c r="D3587" i="1"/>
  <c r="D3588" i="1" s="1"/>
  <c r="D3589" i="1"/>
  <c r="D3590" i="1" s="1"/>
  <c r="D3591" i="1" s="1"/>
  <c r="D3592" i="1" s="1"/>
  <c r="D3593" i="1" s="1"/>
  <c r="D3594" i="1" s="1"/>
  <c r="D3595" i="1" s="1"/>
  <c r="D3596" i="1" s="1"/>
  <c r="D3597" i="1"/>
  <c r="D3598" i="1"/>
  <c r="D3599" i="1" s="1"/>
  <c r="D3600" i="1" s="1"/>
  <c r="D3601" i="1" s="1"/>
  <c r="D3602" i="1" s="1"/>
  <c r="D3603" i="1" s="1"/>
  <c r="D3604" i="1" s="1"/>
  <c r="D3605" i="1" s="1"/>
  <c r="D3606" i="1" s="1"/>
  <c r="D3607" i="1" s="1"/>
  <c r="D3608" i="1" s="1"/>
  <c r="D3609" i="1" s="1"/>
  <c r="D3610" i="1"/>
  <c r="D3611" i="1" s="1"/>
  <c r="D3612" i="1" s="1"/>
  <c r="D3613" i="1" s="1"/>
  <c r="D3614" i="1"/>
  <c r="D3615" i="1" s="1"/>
  <c r="D3616" i="1" s="1"/>
  <c r="D3617" i="1" s="1"/>
  <c r="D3618" i="1" s="1"/>
  <c r="D3619" i="1" s="1"/>
  <c r="D3620" i="1" s="1"/>
  <c r="D3621" i="1" s="1"/>
  <c r="D3622" i="1"/>
  <c r="D3623" i="1" s="1"/>
  <c r="D3624" i="1" s="1"/>
  <c r="D3625" i="1" s="1"/>
  <c r="D3626" i="1" s="1"/>
  <c r="D3627" i="1" s="1"/>
  <c r="D3628" i="1" s="1"/>
  <c r="D3629" i="1" s="1"/>
  <c r="D3630" i="1" s="1"/>
  <c r="D3631" i="1" s="1"/>
  <c r="D3632" i="1" s="1"/>
  <c r="D3633" i="1"/>
  <c r="D3634" i="1" s="1"/>
  <c r="D3635" i="1" s="1"/>
  <c r="D3636" i="1" s="1"/>
  <c r="D3637" i="1" s="1"/>
  <c r="D3638" i="1" s="1"/>
  <c r="D3639" i="1"/>
  <c r="D3640" i="1" s="1"/>
  <c r="D3641" i="1" s="1"/>
  <c r="D3642" i="1" s="1"/>
  <c r="D3643" i="1" s="1"/>
  <c r="D3644" i="1" s="1"/>
  <c r="D3645" i="1" s="1"/>
  <c r="D3646" i="1" s="1"/>
  <c r="D3647" i="1" s="1"/>
  <c r="D3648" i="1" s="1"/>
  <c r="D3649" i="1"/>
  <c r="D3650" i="1" s="1"/>
  <c r="D3651" i="1" s="1"/>
  <c r="D3652" i="1" s="1"/>
  <c r="D3653" i="1" s="1"/>
  <c r="D3654" i="1" s="1"/>
  <c r="D3655" i="1" s="1"/>
  <c r="D3656" i="1"/>
  <c r="D3657" i="1" s="1"/>
  <c r="D3658" i="1" s="1"/>
  <c r="D3659" i="1" s="1"/>
  <c r="D3660" i="1" s="1"/>
  <c r="D3661" i="1" s="1"/>
  <c r="D3662" i="1" s="1"/>
  <c r="D3663" i="1" s="1"/>
  <c r="D3664" i="1" s="1"/>
  <c r="D3665" i="1"/>
  <c r="D3666" i="1" s="1"/>
  <c r="D3667" i="1" s="1"/>
  <c r="D3668" i="1" s="1"/>
  <c r="D3669" i="1" s="1"/>
  <c r="D3670" i="1" s="1"/>
  <c r="D3671" i="1" s="1"/>
  <c r="D3672" i="1" s="1"/>
  <c r="D3673" i="1" s="1"/>
  <c r="D3674" i="1" s="1"/>
  <c r="D3675" i="1" s="1"/>
  <c r="D3676" i="1" s="1"/>
  <c r="D3677" i="1" s="1"/>
  <c r="D3678" i="1" s="1"/>
  <c r="D3679" i="1"/>
  <c r="D3680" i="1" s="1"/>
  <c r="D3681" i="1" s="1"/>
  <c r="D3682" i="1" s="1"/>
  <c r="D3683" i="1" s="1"/>
  <c r="D3684" i="1" s="1"/>
  <c r="D3685" i="1" s="1"/>
  <c r="D3686" i="1" s="1"/>
  <c r="D3687" i="1"/>
  <c r="D3688" i="1" s="1"/>
  <c r="D3689" i="1" s="1"/>
  <c r="D3690" i="1" s="1"/>
  <c r="D3691" i="1" s="1"/>
  <c r="D3692" i="1" s="1"/>
  <c r="D3693" i="1" s="1"/>
  <c r="D3694" i="1" s="1"/>
  <c r="D3695" i="1" s="1"/>
  <c r="D3696" i="1" s="1"/>
  <c r="D3697" i="1"/>
  <c r="D3698" i="1"/>
  <c r="D3699" i="1" s="1"/>
  <c r="D3700" i="1" s="1"/>
  <c r="D3701" i="1" s="1"/>
  <c r="D3702" i="1"/>
  <c r="D3703" i="1" s="1"/>
  <c r="D3704" i="1" s="1"/>
  <c r="D3705" i="1" s="1"/>
  <c r="D3706" i="1" s="1"/>
  <c r="D3707" i="1" s="1"/>
  <c r="D3708" i="1" s="1"/>
  <c r="D3709" i="1" s="1"/>
  <c r="D3710" i="1" s="1"/>
  <c r="D3711" i="1" s="1"/>
  <c r="D3712" i="1" s="1"/>
  <c r="D3713" i="1" s="1"/>
  <c r="D3714" i="1" s="1"/>
  <c r="D3715" i="1" s="1"/>
  <c r="D3716" i="1" s="1"/>
  <c r="D3717" i="1" s="1"/>
  <c r="D3718" i="1" s="1"/>
  <c r="D3719" i="1" s="1"/>
  <c r="D3720" i="1" s="1"/>
  <c r="D3721" i="1" s="1"/>
  <c r="D3722" i="1" s="1"/>
  <c r="D3723" i="1" s="1"/>
  <c r="D3724" i="1" s="1"/>
  <c r="D3725" i="1"/>
  <c r="D3726" i="1" s="1"/>
  <c r="D3727" i="1" s="1"/>
  <c r="D3728" i="1" s="1"/>
  <c r="D3729" i="1" s="1"/>
  <c r="D3730" i="1" s="1"/>
  <c r="D3731" i="1" s="1"/>
  <c r="D3732" i="1" s="1"/>
  <c r="D3733" i="1" s="1"/>
  <c r="D3734" i="1" s="1"/>
  <c r="D3735" i="1" s="1"/>
  <c r="D3736" i="1" s="1"/>
  <c r="D3737" i="1" s="1"/>
  <c r="D3738" i="1" s="1"/>
  <c r="D3739" i="1" s="1"/>
  <c r="D3740" i="1" s="1"/>
  <c r="D3741" i="1" s="1"/>
  <c r="D3742" i="1" s="1"/>
  <c r="D3743" i="1" s="1"/>
  <c r="D3744" i="1" s="1"/>
  <c r="D3745" i="1" s="1"/>
  <c r="D3746" i="1" s="1"/>
  <c r="D3747" i="1" s="1"/>
  <c r="D3748" i="1"/>
  <c r="D3749" i="1"/>
  <c r="D3750" i="1" s="1"/>
  <c r="D3751" i="1" s="1"/>
  <c r="D3752" i="1" s="1"/>
  <c r="D3753" i="1" s="1"/>
  <c r="D3754" i="1" s="1"/>
  <c r="D3755" i="1" s="1"/>
  <c r="D3756" i="1" s="1"/>
  <c r="D3757" i="1"/>
  <c r="D3758" i="1" s="1"/>
  <c r="D3759" i="1" s="1"/>
  <c r="D3760" i="1" s="1"/>
  <c r="D3761" i="1" s="1"/>
  <c r="D3762" i="1" s="1"/>
  <c r="D3763" i="1" s="1"/>
  <c r="D3764" i="1" s="1"/>
  <c r="D3765" i="1"/>
  <c r="D3766" i="1" s="1"/>
  <c r="D3767" i="1" s="1"/>
  <c r="D3768" i="1" s="1"/>
  <c r="D3769" i="1" s="1"/>
  <c r="D3770" i="1" s="1"/>
  <c r="D3771" i="1"/>
  <c r="D3772" i="1" s="1"/>
  <c r="D3773" i="1" s="1"/>
  <c r="D3774" i="1" s="1"/>
  <c r="D3775" i="1" s="1"/>
  <c r="D3776" i="1" s="1"/>
  <c r="D3777" i="1" s="1"/>
  <c r="D3778" i="1" s="1"/>
  <c r="D3779" i="1" s="1"/>
  <c r="D3780" i="1" s="1"/>
  <c r="D3781" i="1"/>
  <c r="D3782" i="1" s="1"/>
  <c r="D3783" i="1" s="1"/>
  <c r="D3784" i="1" s="1"/>
  <c r="D3785" i="1" s="1"/>
  <c r="D3786" i="1" s="1"/>
  <c r="D3787" i="1" s="1"/>
  <c r="D3788" i="1" s="1"/>
  <c r="D3789" i="1" s="1"/>
  <c r="D3790" i="1" s="1"/>
  <c r="D3791" i="1" s="1"/>
  <c r="D3792" i="1" s="1"/>
  <c r="D3793" i="1" s="1"/>
  <c r="D3794" i="1"/>
  <c r="D3795" i="1" s="1"/>
  <c r="D3796" i="1" s="1"/>
  <c r="D3797" i="1" s="1"/>
  <c r="D3798" i="1" s="1"/>
  <c r="D3799" i="1" s="1"/>
  <c r="D3800" i="1" s="1"/>
  <c r="D3801" i="1" s="1"/>
  <c r="D3802" i="1" s="1"/>
  <c r="D3803" i="1"/>
  <c r="D3804" i="1" s="1"/>
  <c r="D3805" i="1" s="1"/>
  <c r="D3806" i="1" s="1"/>
  <c r="D3807" i="1" s="1"/>
  <c r="D3808" i="1" s="1"/>
  <c r="D3809" i="1" s="1"/>
  <c r="D3810" i="1" s="1"/>
  <c r="D3811" i="1"/>
  <c r="D3812" i="1" s="1"/>
  <c r="D3813" i="1" s="1"/>
  <c r="D3814" i="1" s="1"/>
  <c r="D3815" i="1" s="1"/>
  <c r="D3816" i="1" s="1"/>
  <c r="D3817" i="1"/>
  <c r="D3818" i="1"/>
  <c r="D3819" i="1" s="1"/>
  <c r="D3820" i="1" s="1"/>
  <c r="D3821" i="1" s="1"/>
  <c r="D3822" i="1" s="1"/>
  <c r="D3823" i="1" s="1"/>
  <c r="D3824" i="1" s="1"/>
  <c r="D3825" i="1" s="1"/>
  <c r="D3826" i="1" s="1"/>
  <c r="D3827" i="1" s="1"/>
  <c r="D3828" i="1" s="1"/>
  <c r="D3829" i="1" s="1"/>
  <c r="D3830" i="1" s="1"/>
  <c r="D3831" i="1" s="1"/>
  <c r="D3832" i="1" s="1"/>
  <c r="D3833" i="1" s="1"/>
  <c r="D3834" i="1" s="1"/>
  <c r="D3835" i="1" s="1"/>
  <c r="D3836" i="1" s="1"/>
  <c r="D3837" i="1" s="1"/>
  <c r="D3838" i="1" s="1"/>
  <c r="D3839" i="1" s="1"/>
  <c r="D3840" i="1"/>
  <c r="D3841" i="1"/>
  <c r="D3842" i="1" s="1"/>
  <c r="D3843" i="1" s="1"/>
  <c r="D3844" i="1" s="1"/>
  <c r="D3845" i="1" s="1"/>
  <c r="D3846" i="1" s="1"/>
  <c r="D3847" i="1"/>
  <c r="D3848" i="1" s="1"/>
  <c r="D3849" i="1" s="1"/>
  <c r="D3850" i="1" s="1"/>
  <c r="D3851" i="1" s="1"/>
  <c r="D3852" i="1" s="1"/>
  <c r="D3853" i="1" s="1"/>
  <c r="D3854" i="1" s="1"/>
  <c r="D3855" i="1" s="1"/>
  <c r="D3856" i="1" s="1"/>
  <c r="D3857" i="1" s="1"/>
  <c r="D3858" i="1" s="1"/>
  <c r="D3859" i="1" s="1"/>
  <c r="D3860" i="1" s="1"/>
  <c r="D3861" i="1" s="1"/>
  <c r="D3862" i="1" s="1"/>
  <c r="D3863" i="1"/>
  <c r="D3864" i="1" s="1"/>
  <c r="D3865" i="1" s="1"/>
  <c r="D3866" i="1" s="1"/>
  <c r="D3867" i="1" s="1"/>
  <c r="D3868" i="1" s="1"/>
  <c r="D3869" i="1" s="1"/>
  <c r="D3870" i="1"/>
  <c r="D3871" i="1" s="1"/>
  <c r="D3872" i="1" s="1"/>
  <c r="D3873" i="1" s="1"/>
  <c r="D3874" i="1" s="1"/>
  <c r="D3875" i="1" s="1"/>
  <c r="D3876" i="1" s="1"/>
  <c r="D3877" i="1" s="1"/>
  <c r="D3878" i="1" s="1"/>
  <c r="D3879" i="1" s="1"/>
  <c r="D3880" i="1" s="1"/>
  <c r="D3881" i="1" s="1"/>
  <c r="D3882" i="1" s="1"/>
  <c r="D3883" i="1" s="1"/>
  <c r="D3884" i="1" s="1"/>
  <c r="D3885" i="1" s="1"/>
  <c r="D3886" i="1"/>
  <c r="D3887" i="1" s="1"/>
  <c r="D3888" i="1" s="1"/>
  <c r="D3889" i="1" s="1"/>
  <c r="D3890" i="1" s="1"/>
  <c r="D3891" i="1" s="1"/>
  <c r="D3892" i="1" s="1"/>
  <c r="D3893" i="1" s="1"/>
  <c r="D3894" i="1" s="1"/>
  <c r="D3895" i="1" s="1"/>
  <c r="D3896" i="1" s="1"/>
  <c r="D3897" i="1" s="1"/>
  <c r="D3898" i="1" s="1"/>
  <c r="D3899" i="1" s="1"/>
  <c r="D3900" i="1" s="1"/>
  <c r="D3901" i="1" s="1"/>
  <c r="D3902" i="1" s="1"/>
  <c r="D3903" i="1" s="1"/>
  <c r="D3904" i="1" s="1"/>
  <c r="D3905" i="1" s="1"/>
  <c r="D3906" i="1" s="1"/>
  <c r="D3907" i="1" s="1"/>
  <c r="D3908" i="1"/>
  <c r="D3909" i="1"/>
  <c r="D3910" i="1" s="1"/>
  <c r="D3911" i="1" s="1"/>
  <c r="D3912" i="1" s="1"/>
  <c r="D3913" i="1" s="1"/>
  <c r="D3914" i="1" s="1"/>
  <c r="D3915" i="1"/>
  <c r="D3916" i="1" s="1"/>
  <c r="D3917" i="1" s="1"/>
  <c r="D3918" i="1" s="1"/>
  <c r="D3919" i="1" s="1"/>
  <c r="D3920" i="1" s="1"/>
  <c r="D3921" i="1" s="1"/>
  <c r="D3922" i="1" s="1"/>
  <c r="D3923" i="1" s="1"/>
  <c r="D3924" i="1" s="1"/>
  <c r="D3925" i="1" s="1"/>
  <c r="D3926" i="1" s="1"/>
  <c r="D3927" i="1" s="1"/>
  <c r="D3928" i="1" s="1"/>
  <c r="D3929" i="1" s="1"/>
  <c r="D3930" i="1" s="1"/>
  <c r="D3931" i="1"/>
  <c r="D3932" i="1" s="1"/>
  <c r="D3933" i="1" s="1"/>
  <c r="D3934" i="1" s="1"/>
  <c r="D3935" i="1" s="1"/>
  <c r="D3936" i="1" s="1"/>
  <c r="D3937" i="1" s="1"/>
  <c r="D3938" i="1" s="1"/>
  <c r="D3939" i="1"/>
  <c r="D3940" i="1" s="1"/>
  <c r="D3941" i="1" s="1"/>
  <c r="D3942" i="1" s="1"/>
  <c r="D3943" i="1" s="1"/>
  <c r="D3944" i="1" s="1"/>
  <c r="D3945" i="1" s="1"/>
  <c r="D3946" i="1" s="1"/>
  <c r="D3947" i="1" s="1"/>
  <c r="D3948" i="1" s="1"/>
  <c r="D3949" i="1" s="1"/>
  <c r="D3950" i="1" s="1"/>
  <c r="D3951" i="1" s="1"/>
  <c r="D3952" i="1" s="1"/>
  <c r="D3953" i="1"/>
  <c r="D3954" i="1" s="1"/>
  <c r="D3955" i="1" s="1"/>
  <c r="D3956" i="1" s="1"/>
  <c r="D3957" i="1" s="1"/>
  <c r="D3958" i="1" s="1"/>
  <c r="D3959" i="1" s="1"/>
  <c r="D3960" i="1" s="1"/>
  <c r="D3961" i="1" s="1"/>
  <c r="D3962" i="1"/>
  <c r="D3963" i="1" s="1"/>
  <c r="D3964" i="1" s="1"/>
  <c r="D3965" i="1" s="1"/>
  <c r="D3966" i="1" s="1"/>
  <c r="D3967" i="1" s="1"/>
  <c r="D3968" i="1" s="1"/>
  <c r="D3969" i="1" s="1"/>
  <c r="D3970" i="1" s="1"/>
  <c r="D3971" i="1" s="1"/>
  <c r="D3972" i="1" s="1"/>
  <c r="D3973" i="1" s="1"/>
  <c r="D3974" i="1" s="1"/>
  <c r="D3975" i="1" s="1"/>
  <c r="D3976" i="1"/>
  <c r="D3977" i="1" s="1"/>
  <c r="D3978" i="1" s="1"/>
  <c r="D3979" i="1" s="1"/>
  <c r="D3980" i="1" s="1"/>
  <c r="D3981" i="1" s="1"/>
  <c r="D3982" i="1" s="1"/>
  <c r="D3983" i="1" s="1"/>
  <c r="D3984" i="1" s="1"/>
  <c r="D3985" i="1" s="1"/>
  <c r="D3986" i="1"/>
  <c r="D3987" i="1" s="1"/>
  <c r="D3988" i="1" s="1"/>
  <c r="D3989" i="1" s="1"/>
  <c r="D3990" i="1" s="1"/>
  <c r="D3991" i="1" s="1"/>
  <c r="D3992" i="1"/>
  <c r="D3993" i="1" s="1"/>
  <c r="D3994" i="1"/>
  <c r="D3995" i="1" s="1"/>
  <c r="D3996" i="1" s="1"/>
  <c r="D3997" i="1" s="1"/>
  <c r="D3998" i="1" s="1"/>
  <c r="D3999" i="1"/>
  <c r="D4000" i="1" s="1"/>
  <c r="D4001" i="1" s="1"/>
  <c r="D4002" i="1" s="1"/>
  <c r="D4003" i="1" s="1"/>
  <c r="D4004" i="1" s="1"/>
  <c r="D4005" i="1" s="1"/>
  <c r="D4006" i="1" s="1"/>
  <c r="D4007" i="1"/>
  <c r="D4008" i="1" s="1"/>
  <c r="D4009" i="1" s="1"/>
  <c r="D4010" i="1" s="1"/>
  <c r="D4011" i="1" s="1"/>
  <c r="D4012" i="1" s="1"/>
  <c r="D4013" i="1" s="1"/>
  <c r="D4014" i="1"/>
  <c r="D4015" i="1" s="1"/>
  <c r="D4016" i="1" s="1"/>
  <c r="D4017" i="1"/>
  <c r="D4018" i="1" s="1"/>
  <c r="D4019" i="1" s="1"/>
  <c r="D4020" i="1" s="1"/>
  <c r="D4021" i="1" s="1"/>
  <c r="D4022" i="1"/>
  <c r="D4023" i="1" s="1"/>
  <c r="D4024" i="1" s="1"/>
  <c r="D4025" i="1" s="1"/>
  <c r="D4026" i="1" s="1"/>
  <c r="D4027" i="1" s="1"/>
  <c r="D4028" i="1" s="1"/>
  <c r="D4029" i="1" s="1"/>
  <c r="D4030" i="1"/>
  <c r="D4031" i="1" s="1"/>
  <c r="D4032" i="1" s="1"/>
  <c r="D4033" i="1" s="1"/>
  <c r="D4034" i="1" s="1"/>
  <c r="D4035" i="1" s="1"/>
  <c r="D4036" i="1" s="1"/>
  <c r="D4037" i="1" s="1"/>
  <c r="D4038" i="1"/>
  <c r="D4039" i="1" s="1"/>
  <c r="D4040" i="1" s="1"/>
  <c r="D4041" i="1" s="1"/>
  <c r="D4042" i="1" s="1"/>
  <c r="D4043" i="1" s="1"/>
  <c r="D4044" i="1" s="1"/>
  <c r="D4045" i="1"/>
  <c r="D4046" i="1" s="1"/>
  <c r="D4047" i="1" s="1"/>
  <c r="D4048" i="1" s="1"/>
  <c r="D4049" i="1" s="1"/>
  <c r="D4050" i="1" s="1"/>
  <c r="D4051" i="1" s="1"/>
  <c r="D4052" i="1" s="1"/>
  <c r="D4053" i="1" s="1"/>
  <c r="D4054" i="1" s="1"/>
  <c r="D4055" i="1" s="1"/>
  <c r="D4056" i="1" s="1"/>
  <c r="D4057" i="1" s="1"/>
  <c r="D4058" i="1" s="1"/>
  <c r="D4059" i="1" s="1"/>
  <c r="D4060" i="1" s="1"/>
  <c r="D4061" i="1" s="1"/>
  <c r="D4062" i="1" s="1"/>
  <c r="D4063" i="1" s="1"/>
  <c r="D4064" i="1" s="1"/>
  <c r="D4065" i="1" s="1"/>
  <c r="D4066" i="1" s="1"/>
  <c r="D4067" i="1"/>
  <c r="D4068" i="1" s="1"/>
  <c r="D4069" i="1" s="1"/>
  <c r="D4070" i="1" s="1"/>
  <c r="D4071" i="1" s="1"/>
  <c r="D4072" i="1" s="1"/>
  <c r="D4073" i="1" s="1"/>
  <c r="D4074" i="1" s="1"/>
  <c r="D4075" i="1" s="1"/>
  <c r="D4076" i="1" s="1"/>
  <c r="D4077" i="1" s="1"/>
  <c r="D4078" i="1" s="1"/>
  <c r="D4079" i="1" s="1"/>
  <c r="D4080" i="1" s="1"/>
  <c r="D4081" i="1" s="1"/>
  <c r="D4082" i="1" s="1"/>
  <c r="D4083" i="1" s="1"/>
  <c r="D4084" i="1" s="1"/>
  <c r="D4085" i="1" s="1"/>
  <c r="D4086" i="1" s="1"/>
  <c r="D4087" i="1" s="1"/>
  <c r="D4088" i="1" s="1"/>
  <c r="D4089" i="1" s="1"/>
  <c r="D4090" i="1"/>
  <c r="D4091" i="1" s="1"/>
  <c r="D4092" i="1" s="1"/>
  <c r="D4093" i="1" s="1"/>
  <c r="D4094" i="1" s="1"/>
  <c r="D4095" i="1" s="1"/>
  <c r="D4096" i="1" s="1"/>
  <c r="D4097" i="1" s="1"/>
  <c r="D4098" i="1" s="1"/>
  <c r="D4099" i="1" s="1"/>
  <c r="D4100" i="1" s="1"/>
  <c r="D4101" i="1" s="1"/>
  <c r="D4102" i="1" s="1"/>
  <c r="D4103" i="1" s="1"/>
  <c r="D4104" i="1" s="1"/>
  <c r="D4105" i="1" s="1"/>
  <c r="D4106" i="1" s="1"/>
  <c r="D4107" i="1" s="1"/>
  <c r="D4108" i="1" s="1"/>
  <c r="D4109" i="1" s="1"/>
  <c r="D4110" i="1" s="1"/>
  <c r="D4111" i="1" s="1"/>
  <c r="D4112" i="1" s="1"/>
  <c r="D4113" i="1"/>
  <c r="D4114" i="1"/>
  <c r="D4115" i="1" s="1"/>
  <c r="D4116" i="1" s="1"/>
  <c r="D4117" i="1" s="1"/>
  <c r="D4118" i="1" s="1"/>
  <c r="D4119" i="1" s="1"/>
  <c r="D4120" i="1" s="1"/>
  <c r="D4121" i="1" s="1"/>
  <c r="D4122" i="1" s="1"/>
  <c r="D4123" i="1"/>
  <c r="D4124" i="1" s="1"/>
  <c r="D4125" i="1" s="1"/>
  <c r="D4126" i="1" s="1"/>
  <c r="D4127" i="1" s="1"/>
  <c r="D4128" i="1" s="1"/>
  <c r="D4129" i="1" s="1"/>
  <c r="D4130" i="1" s="1"/>
  <c r="D4131" i="1" s="1"/>
  <c r="D4132" i="1" s="1"/>
  <c r="D4133" i="1" s="1"/>
  <c r="D4134" i="1" s="1"/>
  <c r="D4135" i="1"/>
  <c r="D4136" i="1"/>
  <c r="D4137" i="1" s="1"/>
  <c r="D4138" i="1" s="1"/>
  <c r="D4139" i="1" s="1"/>
  <c r="D4140" i="1" s="1"/>
  <c r="D4141" i="1" s="1"/>
  <c r="D4142" i="1" s="1"/>
  <c r="D4143" i="1" s="1"/>
  <c r="D4144" i="1" s="1"/>
  <c r="D4145" i="1" s="1"/>
  <c r="D4146" i="1" s="1"/>
  <c r="D4147" i="1" s="1"/>
  <c r="D4148" i="1" s="1"/>
  <c r="D4149" i="1" s="1"/>
  <c r="D4150" i="1" s="1"/>
  <c r="D4151" i="1" s="1"/>
  <c r="D4152" i="1" s="1"/>
  <c r="D4153" i="1" s="1"/>
  <c r="D4154" i="1" s="1"/>
  <c r="D4155" i="1" s="1"/>
  <c r="D4156" i="1" s="1"/>
  <c r="D4157" i="1" s="1"/>
  <c r="D4158" i="1"/>
  <c r="D4159" i="1" s="1"/>
  <c r="D4160" i="1" s="1"/>
  <c r="D4161" i="1"/>
  <c r="D4162" i="1" s="1"/>
  <c r="D4163" i="1" s="1"/>
  <c r="D4164" i="1" s="1"/>
  <c r="D4165" i="1" s="1"/>
  <c r="D4166" i="1" s="1"/>
  <c r="D4167" i="1" s="1"/>
  <c r="D4168" i="1" s="1"/>
  <c r="D4169" i="1" s="1"/>
  <c r="D4170" i="1"/>
  <c r="D4171" i="1"/>
  <c r="D4172" i="1" s="1"/>
  <c r="D4173" i="1" s="1"/>
  <c r="D4174" i="1" s="1"/>
  <c r="D4175" i="1" s="1"/>
  <c r="D4176" i="1" s="1"/>
  <c r="D4177" i="1" s="1"/>
  <c r="D4178" i="1" s="1"/>
  <c r="D4179" i="1" s="1"/>
  <c r="D4180" i="1" s="1"/>
  <c r="D4181" i="1"/>
  <c r="D4182" i="1"/>
  <c r="D4183" i="1"/>
  <c r="D4184" i="1" s="1"/>
  <c r="D4185" i="1" s="1"/>
  <c r="D4186" i="1" s="1"/>
  <c r="D4187" i="1" s="1"/>
  <c r="D4188" i="1" s="1"/>
  <c r="D4189" i="1" s="1"/>
  <c r="D4190" i="1" s="1"/>
  <c r="D4191" i="1" s="1"/>
  <c r="D4192" i="1" s="1"/>
  <c r="D4193" i="1" s="1"/>
  <c r="D4194" i="1"/>
  <c r="D4195" i="1"/>
  <c r="D4196" i="1" s="1"/>
  <c r="D4197" i="1" s="1"/>
  <c r="D4198" i="1" s="1"/>
  <c r="D4199" i="1"/>
  <c r="D4200" i="1" s="1"/>
  <c r="D4201" i="1" s="1"/>
  <c r="D4202" i="1" s="1"/>
  <c r="D4203" i="1" s="1"/>
  <c r="D4204" i="1"/>
  <c r="D4205" i="1" s="1"/>
  <c r="D4206" i="1" s="1"/>
  <c r="D4207" i="1" s="1"/>
  <c r="D4208" i="1" s="1"/>
  <c r="D4209" i="1" s="1"/>
  <c r="D4210" i="1"/>
  <c r="D4211" i="1" s="1"/>
  <c r="D4212" i="1" s="1"/>
  <c r="D4213" i="1" s="1"/>
  <c r="D4214" i="1" s="1"/>
  <c r="D4215" i="1" s="1"/>
  <c r="D4216" i="1" s="1"/>
  <c r="D4217" i="1" s="1"/>
  <c r="D4218" i="1" s="1"/>
  <c r="D4219" i="1" s="1"/>
  <c r="D4220" i="1" s="1"/>
  <c r="D4221" i="1" s="1"/>
  <c r="D4222" i="1" s="1"/>
  <c r="D4223" i="1" s="1"/>
  <c r="D4224" i="1" s="1"/>
  <c r="D4225" i="1" s="1"/>
  <c r="D4226" i="1" s="1"/>
  <c r="D4227" i="1"/>
  <c r="D4228" i="1" s="1"/>
  <c r="D4229" i="1" s="1"/>
  <c r="D4230" i="1" s="1"/>
  <c r="D4231" i="1"/>
  <c r="D4232" i="1" s="1"/>
  <c r="D4233" i="1" s="1"/>
  <c r="D4234" i="1" s="1"/>
  <c r="D4235" i="1" s="1"/>
  <c r="D4236" i="1" s="1"/>
  <c r="D4237" i="1" s="1"/>
  <c r="D4238" i="1" s="1"/>
  <c r="D4239" i="1" s="1"/>
  <c r="D4240" i="1" s="1"/>
  <c r="D4241" i="1" s="1"/>
  <c r="D4242" i="1" s="1"/>
  <c r="D4243" i="1" s="1"/>
  <c r="D4244" i="1" s="1"/>
  <c r="D4245" i="1" s="1"/>
  <c r="D4246" i="1" s="1"/>
  <c r="D4247" i="1" s="1"/>
  <c r="D4248" i="1" s="1"/>
  <c r="D4249" i="1" s="1"/>
  <c r="D4250" i="1"/>
  <c r="D4251" i="1"/>
  <c r="D4252" i="1" s="1"/>
  <c r="D4253" i="1" s="1"/>
  <c r="D4254" i="1" s="1"/>
  <c r="D4255" i="1" s="1"/>
  <c r="D4256" i="1" s="1"/>
  <c r="D4257" i="1" s="1"/>
  <c r="D4258" i="1"/>
  <c r="D4259" i="1" s="1"/>
  <c r="D4260" i="1" s="1"/>
  <c r="D4261" i="1" s="1"/>
  <c r="D4262" i="1" s="1"/>
  <c r="D4263" i="1" s="1"/>
  <c r="D4264" i="1" s="1"/>
  <c r="D4265" i="1" s="1"/>
  <c r="D4266" i="1" s="1"/>
  <c r="D4267" i="1" s="1"/>
  <c r="D4268" i="1" s="1"/>
  <c r="D4269" i="1" s="1"/>
  <c r="D4270" i="1" s="1"/>
  <c r="D4271" i="1" s="1"/>
  <c r="D4272" i="1"/>
  <c r="D4273" i="1" s="1"/>
  <c r="D4274" i="1"/>
  <c r="D4275" i="1"/>
  <c r="D4276" i="1" s="1"/>
  <c r="D4277" i="1" s="1"/>
  <c r="D4278" i="1" s="1"/>
  <c r="D4279" i="1" s="1"/>
  <c r="D4280" i="1" s="1"/>
  <c r="D4281" i="1" s="1"/>
  <c r="D4282" i="1" s="1"/>
  <c r="D4283" i="1" s="1"/>
  <c r="D4284" i="1" s="1"/>
  <c r="D4285" i="1" s="1"/>
  <c r="D4286" i="1" s="1"/>
  <c r="D4287" i="1" s="1"/>
  <c r="D4288" i="1" s="1"/>
  <c r="D4289" i="1" s="1"/>
  <c r="D4290" i="1" s="1"/>
  <c r="D4291" i="1" s="1"/>
  <c r="D4292" i="1" s="1"/>
  <c r="D4293" i="1" s="1"/>
  <c r="D4294" i="1" s="1"/>
  <c r="D4295" i="1"/>
  <c r="D4296" i="1"/>
  <c r="D4297" i="1" s="1"/>
  <c r="D4298" i="1" s="1"/>
  <c r="D4299" i="1"/>
  <c r="D4300" i="1" s="1"/>
  <c r="D4301" i="1" s="1"/>
  <c r="D4302" i="1" s="1"/>
  <c r="D4303" i="1" s="1"/>
  <c r="D4304" i="1" s="1"/>
  <c r="D4305" i="1" s="1"/>
  <c r="D4306" i="1"/>
  <c r="D4307" i="1" s="1"/>
  <c r="D4308" i="1" s="1"/>
  <c r="D4309" i="1" s="1"/>
  <c r="D4310" i="1" s="1"/>
  <c r="D4311" i="1" s="1"/>
  <c r="D4312" i="1" s="1"/>
  <c r="D4313" i="1" s="1"/>
  <c r="D4314" i="1" s="1"/>
  <c r="D4315" i="1" s="1"/>
  <c r="D4316" i="1" s="1"/>
  <c r="D4317" i="1" s="1"/>
  <c r="D4318" i="1"/>
  <c r="D4319" i="1"/>
  <c r="D4320" i="1" s="1"/>
  <c r="D4321" i="1" s="1"/>
  <c r="D4322" i="1"/>
  <c r="D4323" i="1" s="1"/>
  <c r="D4324" i="1" s="1"/>
  <c r="D4325" i="1" s="1"/>
  <c r="D4326" i="1" s="1"/>
  <c r="D4327" i="1" s="1"/>
  <c r="D4328" i="1" s="1"/>
  <c r="D4329" i="1" s="1"/>
  <c r="D4330" i="1" s="1"/>
  <c r="D4331" i="1" s="1"/>
  <c r="D4332" i="1" s="1"/>
  <c r="D4333" i="1" s="1"/>
  <c r="D4334" i="1" s="1"/>
  <c r="D4335" i="1" s="1"/>
  <c r="D4336" i="1" s="1"/>
  <c r="D4337" i="1" s="1"/>
  <c r="D4338" i="1" s="1"/>
  <c r="D4339" i="1" s="1"/>
  <c r="D4340" i="1" s="1"/>
  <c r="D4341" i="1"/>
  <c r="D4342" i="1"/>
  <c r="D4343" i="1"/>
  <c r="D4344" i="1" s="1"/>
  <c r="D4345" i="1" s="1"/>
  <c r="D4346" i="1" s="1"/>
  <c r="D4347" i="1" s="1"/>
  <c r="D4348" i="1" s="1"/>
  <c r="D4349" i="1" s="1"/>
  <c r="D4350" i="1" s="1"/>
  <c r="D4351" i="1" s="1"/>
  <c r="D4352" i="1" s="1"/>
  <c r="D4353" i="1" s="1"/>
  <c r="D4354" i="1" s="1"/>
  <c r="D4355" i="1" s="1"/>
  <c r="D4356" i="1" s="1"/>
  <c r="D4357" i="1" s="1"/>
  <c r="D4358" i="1" s="1"/>
  <c r="D4359" i="1" s="1"/>
  <c r="D4360" i="1" s="1"/>
  <c r="D4361" i="1" s="1"/>
  <c r="D4362" i="1" s="1"/>
  <c r="D4363" i="1" s="1"/>
  <c r="D4364" i="1"/>
  <c r="D4365" i="1" s="1"/>
  <c r="D4366" i="1" s="1"/>
  <c r="D4367" i="1" s="1"/>
  <c r="D4368" i="1" s="1"/>
  <c r="D4369" i="1" s="1"/>
  <c r="D4370" i="1"/>
  <c r="D4371" i="1"/>
  <c r="D4372" i="1" s="1"/>
  <c r="D4373" i="1" s="1"/>
  <c r="D4374" i="1"/>
  <c r="D4375" i="1" s="1"/>
  <c r="D4376" i="1" s="1"/>
  <c r="D4377" i="1" s="1"/>
  <c r="D4378" i="1" s="1"/>
  <c r="D4379" i="1" s="1"/>
  <c r="D4380" i="1" s="1"/>
  <c r="D4381" i="1" s="1"/>
  <c r="D4382" i="1" s="1"/>
  <c r="D4383" i="1" s="1"/>
  <c r="D4384" i="1" s="1"/>
  <c r="D4385" i="1" s="1"/>
  <c r="D4386" i="1" s="1"/>
  <c r="D4387" i="1"/>
  <c r="D4388" i="1" s="1"/>
  <c r="D4389" i="1" s="1"/>
  <c r="D4390" i="1" s="1"/>
  <c r="D4391" i="1" s="1"/>
  <c r="D4392" i="1" s="1"/>
  <c r="D4393" i="1" s="1"/>
  <c r="D4394" i="1" s="1"/>
  <c r="D4395" i="1" s="1"/>
  <c r="D4396" i="1" s="1"/>
  <c r="D4397" i="1" s="1"/>
  <c r="D4398" i="1" s="1"/>
  <c r="D4399" i="1" s="1"/>
  <c r="D4400" i="1" s="1"/>
  <c r="D4401" i="1" s="1"/>
  <c r="D4402" i="1"/>
  <c r="D4403" i="1"/>
  <c r="D4404" i="1" s="1"/>
  <c r="D4405" i="1" s="1"/>
  <c r="D4406" i="1" s="1"/>
  <c r="D4407" i="1" s="1"/>
  <c r="D4408" i="1"/>
  <c r="D4409" i="1" s="1"/>
  <c r="D4410" i="1" s="1"/>
  <c r="D4411" i="1"/>
  <c r="D4412" i="1" s="1"/>
  <c r="D4413" i="1" s="1"/>
  <c r="D4414" i="1"/>
  <c r="D4415" i="1"/>
  <c r="D4416" i="1" s="1"/>
  <c r="D4417" i="1" s="1"/>
  <c r="D4418" i="1"/>
  <c r="D4419" i="1"/>
  <c r="D4420" i="1" s="1"/>
  <c r="D4421" i="1" s="1"/>
  <c r="D4422" i="1"/>
  <c r="D4423" i="1" s="1"/>
  <c r="D4424" i="1"/>
  <c r="D4425" i="1" s="1"/>
  <c r="D4426" i="1" s="1"/>
  <c r="D4427" i="1"/>
  <c r="D4428" i="1"/>
  <c r="D4429" i="1" s="1"/>
  <c r="D4430" i="1" s="1"/>
  <c r="D4431" i="1" s="1"/>
  <c r="D4432" i="1"/>
  <c r="D4433" i="1" s="1"/>
  <c r="D4434" i="1"/>
  <c r="D4435" i="1"/>
  <c r="D4436" i="1" s="1"/>
  <c r="D4437" i="1" s="1"/>
  <c r="D4438" i="1" s="1"/>
  <c r="D4439" i="1" s="1"/>
  <c r="D4440" i="1"/>
  <c r="D4441" i="1" s="1"/>
  <c r="D4442" i="1" s="1"/>
  <c r="D4443" i="1"/>
  <c r="D4444" i="1"/>
  <c r="D4445" i="1" s="1"/>
  <c r="D4446" i="1" s="1"/>
  <c r="D4447" i="1" s="1"/>
  <c r="D4448" i="1"/>
  <c r="D4449" i="1" s="1"/>
  <c r="D4450" i="1"/>
  <c r="D4451" i="1"/>
  <c r="D4452" i="1" s="1"/>
  <c r="D4453" i="1" s="1"/>
  <c r="D4454" i="1"/>
  <c r="D4455" i="1" s="1"/>
  <c r="D4456" i="1"/>
  <c r="D4457" i="1" s="1"/>
  <c r="D4458" i="1" s="1"/>
  <c r="D4459" i="1"/>
  <c r="D4460" i="1"/>
  <c r="D4461" i="1" s="1"/>
  <c r="D4462" i="1"/>
  <c r="D4463" i="1"/>
  <c r="D4464" i="1" s="1"/>
  <c r="D4465" i="1" s="1"/>
  <c r="D4466" i="1"/>
  <c r="D4467" i="1" s="1"/>
  <c r="D4468" i="1"/>
  <c r="D4469" i="1" s="1"/>
  <c r="D4470" i="1"/>
  <c r="D4471" i="1"/>
  <c r="D4472" i="1"/>
  <c r="D4473" i="1" s="1"/>
  <c r="D4474" i="1"/>
  <c r="D4475" i="1"/>
  <c r="D4476" i="1"/>
  <c r="D4477" i="1" s="1"/>
  <c r="D4478" i="1" s="1"/>
  <c r="D4479" i="1" s="1"/>
  <c r="D4480" i="1"/>
  <c r="D4481" i="1" s="1"/>
  <c r="D4482" i="1" s="1"/>
  <c r="D4483" i="1" s="1"/>
  <c r="D4484" i="1" s="1"/>
  <c r="D4485" i="1" s="1"/>
  <c r="D4486" i="1"/>
  <c r="D4487" i="1"/>
  <c r="D4488" i="1" s="1"/>
  <c r="D4489" i="1" s="1"/>
  <c r="D4490" i="1" s="1"/>
  <c r="D4491" i="1" s="1"/>
  <c r="D4492" i="1" s="1"/>
  <c r="D4493" i="1" s="1"/>
  <c r="D4494" i="1" s="1"/>
  <c r="D4495" i="1"/>
  <c r="D4496" i="1" s="1"/>
  <c r="D4497" i="1" s="1"/>
  <c r="D4498" i="1"/>
  <c r="D4499" i="1"/>
  <c r="D4500" i="1" s="1"/>
  <c r="D4501" i="1"/>
  <c r="D4502" i="1"/>
  <c r="D4503" i="1" s="1"/>
  <c r="D4504" i="1" s="1"/>
  <c r="D4505" i="1" s="1"/>
  <c r="D4506" i="1" s="1"/>
  <c r="D4507" i="1" s="1"/>
  <c r="D4508" i="1" s="1"/>
  <c r="D4509" i="1"/>
  <c r="D4510" i="1" s="1"/>
  <c r="D4511" i="1" s="1"/>
  <c r="D4512" i="1" s="1"/>
  <c r="D4513" i="1" s="1"/>
  <c r="D4514" i="1" s="1"/>
  <c r="D4515" i="1" s="1"/>
  <c r="D4516" i="1" s="1"/>
  <c r="D4517" i="1"/>
  <c r="D4518" i="1"/>
  <c r="D4519" i="1"/>
  <c r="D4520" i="1"/>
  <c r="D4521" i="1" s="1"/>
  <c r="D4522" i="1" s="1"/>
  <c r="D4523" i="1"/>
  <c r="D4524" i="1"/>
  <c r="D4525" i="1" s="1"/>
  <c r="D4526" i="1" s="1"/>
  <c r="D4527" i="1" s="1"/>
  <c r="D4528" i="1" s="1"/>
  <c r="D4529" i="1" s="1"/>
  <c r="D4530" i="1"/>
  <c r="D4531" i="1"/>
  <c r="D4532" i="1"/>
  <c r="D4533" i="1" s="1"/>
  <c r="D4534" i="1" s="1"/>
  <c r="D4535" i="1" s="1"/>
  <c r="D4536" i="1" s="1"/>
  <c r="D4537" i="1" s="1"/>
  <c r="D4538" i="1" s="1"/>
  <c r="D4539" i="1"/>
  <c r="D4540" i="1" s="1"/>
  <c r="D4541" i="1" s="1"/>
  <c r="D4542" i="1" s="1"/>
  <c r="D4543" i="1" s="1"/>
  <c r="D4544" i="1" s="1"/>
  <c r="D4545" i="1"/>
  <c r="D4546" i="1"/>
  <c r="D4547" i="1"/>
  <c r="D4548" i="1" s="1"/>
  <c r="D4549" i="1" s="1"/>
  <c r="D4550" i="1" s="1"/>
  <c r="D4551" i="1"/>
  <c r="D4552" i="1" s="1"/>
  <c r="D4553" i="1" s="1"/>
  <c r="D4554" i="1" s="1"/>
  <c r="D4555" i="1" s="1"/>
  <c r="D4556" i="1" s="1"/>
  <c r="D4557" i="1"/>
  <c r="D4558" i="1" s="1"/>
  <c r="D4559" i="1" s="1"/>
  <c r="D4560" i="1" s="1"/>
  <c r="D4561" i="1" s="1"/>
  <c r="D4562" i="1"/>
  <c r="D4563" i="1"/>
  <c r="D4564" i="1"/>
  <c r="D4565" i="1" s="1"/>
  <c r="D4566" i="1"/>
  <c r="D4567" i="1"/>
  <c r="D4568" i="1" s="1"/>
  <c r="D4569" i="1"/>
  <c r="D4570" i="1"/>
  <c r="D4571" i="1"/>
  <c r="D4572" i="1" s="1"/>
  <c r="D4573" i="1" s="1"/>
  <c r="D4574" i="1" s="1"/>
  <c r="D4575" i="1"/>
  <c r="D4576" i="1" s="1"/>
  <c r="D4577" i="1" s="1"/>
  <c r="D4578" i="1"/>
  <c r="D4579" i="1" s="1"/>
  <c r="D4580" i="1" s="1"/>
  <c r="D4581" i="1"/>
  <c r="D4582" i="1"/>
  <c r="D4583" i="1"/>
  <c r="D4584" i="1" s="1"/>
  <c r="D4585" i="1" s="1"/>
  <c r="D4586" i="1" s="1"/>
  <c r="D4587" i="1"/>
  <c r="D4588" i="1"/>
  <c r="D4589" i="1" s="1"/>
  <c r="D4590" i="1" s="1"/>
  <c r="D4591" i="1" s="1"/>
  <c r="D4592" i="1" s="1"/>
  <c r="D4593" i="1"/>
  <c r="D4594" i="1"/>
  <c r="D4595" i="1" s="1"/>
  <c r="D4596" i="1" s="1"/>
  <c r="D4597" i="1" s="1"/>
  <c r="D4598" i="1" s="1"/>
  <c r="D4599" i="1"/>
  <c r="D4600" i="1"/>
  <c r="D4601" i="1" s="1"/>
  <c r="D4602" i="1" s="1"/>
  <c r="D4603" i="1"/>
  <c r="D4604" i="1" s="1"/>
  <c r="D4605" i="1"/>
  <c r="D4606" i="1" s="1"/>
  <c r="D4607" i="1" s="1"/>
  <c r="D4608" i="1" s="1"/>
  <c r="D4609" i="1" s="1"/>
  <c r="D4610" i="1"/>
  <c r="D4611" i="1"/>
  <c r="D4612" i="1"/>
  <c r="D4613" i="1" s="1"/>
  <c r="D4614" i="1" s="1"/>
  <c r="D4615" i="1" s="1"/>
  <c r="D4616" i="1" s="1"/>
  <c r="D4617" i="1" s="1"/>
  <c r="D4618" i="1" s="1"/>
  <c r="D4619" i="1" s="1"/>
  <c r="D4620" i="1" s="1"/>
  <c r="D4621" i="1" s="1"/>
  <c r="D4622" i="1" s="1"/>
  <c r="D4623" i="1" s="1"/>
  <c r="D4624" i="1" s="1"/>
  <c r="D4625" i="1" s="1"/>
  <c r="D4626" i="1" s="1"/>
  <c r="D4627" i="1" s="1"/>
  <c r="D4628" i="1"/>
  <c r="D4629" i="1" s="1"/>
  <c r="D4630" i="1" s="1"/>
  <c r="D4631" i="1" s="1"/>
  <c r="D4632" i="1" s="1"/>
  <c r="D4633" i="1"/>
  <c r="D4634" i="1"/>
  <c r="D4635" i="1"/>
  <c r="D4636" i="1"/>
  <c r="D4637" i="1" s="1"/>
  <c r="D4638" i="1" s="1"/>
  <c r="D4639" i="1" s="1"/>
  <c r="D4640" i="1"/>
  <c r="D4641" i="1" s="1"/>
  <c r="D4642" i="1" s="1"/>
  <c r="D4643" i="1" s="1"/>
  <c r="D4644" i="1" s="1"/>
  <c r="D4645" i="1"/>
  <c r="D4646" i="1"/>
  <c r="D4647" i="1" s="1"/>
  <c r="D4648" i="1" s="1"/>
  <c r="D4649" i="1" s="1"/>
  <c r="D4650" i="1" s="1"/>
  <c r="D4651" i="1" s="1"/>
  <c r="D4652" i="1"/>
  <c r="D4653" i="1" s="1"/>
  <c r="D4654" i="1" s="1"/>
  <c r="D4655" i="1" s="1"/>
  <c r="D4656" i="1" s="1"/>
  <c r="D4657" i="1" s="1"/>
  <c r="D4658" i="1"/>
  <c r="D4659" i="1"/>
  <c r="D4660" i="1" s="1"/>
  <c r="D4661" i="1" s="1"/>
  <c r="D4662" i="1" s="1"/>
  <c r="D4663" i="1" s="1"/>
  <c r="D4664" i="1" s="1"/>
  <c r="D4665" i="1" s="1"/>
  <c r="D4666" i="1"/>
  <c r="D4667" i="1"/>
  <c r="D4668" i="1"/>
  <c r="D4669" i="1" s="1"/>
  <c r="D4670" i="1" s="1"/>
  <c r="D4671" i="1"/>
  <c r="D4672" i="1" s="1"/>
  <c r="D4673" i="1" s="1"/>
  <c r="D4674" i="1"/>
  <c r="D4675" i="1" s="1"/>
  <c r="D4676" i="1" s="1"/>
  <c r="D4677" i="1" s="1"/>
  <c r="D4678" i="1"/>
  <c r="D4679" i="1"/>
  <c r="D4680" i="1" s="1"/>
  <c r="D4681" i="1" s="1"/>
  <c r="D4682" i="1" s="1"/>
  <c r="D4683" i="1" s="1"/>
  <c r="D4684" i="1" s="1"/>
  <c r="D4685" i="1"/>
  <c r="D4686" i="1" s="1"/>
  <c r="D4687" i="1" s="1"/>
  <c r="D4688" i="1" s="1"/>
  <c r="D4689" i="1" s="1"/>
  <c r="D4690" i="1"/>
  <c r="D4691" i="1"/>
  <c r="D4692" i="1"/>
  <c r="D4693" i="1" s="1"/>
  <c r="D4694" i="1"/>
  <c r="D4695" i="1" s="1"/>
  <c r="D4696" i="1" s="1"/>
  <c r="D4697" i="1" s="1"/>
  <c r="D4698" i="1"/>
  <c r="D4699" i="1"/>
  <c r="D4700" i="1" s="1"/>
  <c r="D4701" i="1" s="1"/>
  <c r="D4702" i="1" s="1"/>
  <c r="D4703" i="1" s="1"/>
  <c r="D4704" i="1" s="1"/>
  <c r="D4705" i="1"/>
  <c r="D4706" i="1"/>
  <c r="D4707" i="1"/>
  <c r="D4708" i="1" s="1"/>
  <c r="D4709" i="1" s="1"/>
  <c r="D4710" i="1" s="1"/>
  <c r="D4711" i="1" s="1"/>
  <c r="D4712" i="1"/>
  <c r="D4713" i="1" s="1"/>
  <c r="D4714" i="1" s="1"/>
  <c r="D4715" i="1"/>
  <c r="D4716" i="1"/>
  <c r="D4717" i="1"/>
  <c r="D4718" i="1" s="1"/>
  <c r="D4719" i="1" s="1"/>
  <c r="D4720" i="1" s="1"/>
  <c r="D4721" i="1" s="1"/>
  <c r="D4722" i="1"/>
  <c r="D4723" i="1" s="1"/>
  <c r="D4724" i="1" s="1"/>
  <c r="D4725" i="1" s="1"/>
  <c r="D4726" i="1" s="1"/>
  <c r="D4727" i="1"/>
  <c r="D4728" i="1" s="1"/>
  <c r="D4729" i="1" s="1"/>
  <c r="D4730" i="1" s="1"/>
  <c r="D4731" i="1" s="1"/>
  <c r="D4732" i="1"/>
  <c r="D4733" i="1" s="1"/>
  <c r="D4734" i="1" s="1"/>
  <c r="D4735" i="1" s="1"/>
  <c r="D4736" i="1" s="1"/>
  <c r="D4737" i="1" s="1"/>
  <c r="D4738" i="1"/>
  <c r="D4739" i="1"/>
  <c r="D4740" i="1"/>
  <c r="D4741" i="1" s="1"/>
  <c r="D4742" i="1"/>
  <c r="D4743" i="1" s="1"/>
  <c r="D4744" i="1" s="1"/>
  <c r="D4745" i="1" s="1"/>
  <c r="D4746" i="1"/>
  <c r="D4747" i="1"/>
  <c r="D4748" i="1"/>
  <c r="D4749" i="1" s="1"/>
  <c r="D4750" i="1" s="1"/>
  <c r="D4751" i="1" s="1"/>
  <c r="D4752" i="1" s="1"/>
  <c r="D4753" i="1" s="1"/>
  <c r="D4754" i="1" s="1"/>
  <c r="D4755" i="1" s="1"/>
  <c r="D4756" i="1" s="1"/>
  <c r="D4757" i="1" s="1"/>
  <c r="D4758" i="1"/>
  <c r="D4759" i="1" s="1"/>
  <c r="D4760" i="1" s="1"/>
  <c r="D4761" i="1" s="1"/>
  <c r="D4762" i="1" s="1"/>
  <c r="D4763" i="1" s="1"/>
  <c r="D4764" i="1" s="1"/>
  <c r="D4765" i="1" s="1"/>
  <c r="D4766" i="1" s="1"/>
  <c r="A3" i="1" a="1"/>
  <c r="A3" i="1" s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3" i="2"/>
  <c r="A7" i="2"/>
  <c r="A14" i="2"/>
  <c r="A16" i="2"/>
  <c r="A17" i="2"/>
  <c r="A18" i="2"/>
  <c r="A19" i="2"/>
  <c r="A20" i="2"/>
  <c r="A21" i="2"/>
  <c r="A22" i="2"/>
  <c r="A26" i="2"/>
  <c r="A27" i="2"/>
  <c r="A34" i="2"/>
  <c r="A36" i="2"/>
  <c r="A37" i="2"/>
  <c r="A38" i="2"/>
  <c r="A40" i="2"/>
  <c r="A41" i="2"/>
  <c r="A42" i="2"/>
  <c r="A43" i="2"/>
  <c r="A44" i="2"/>
  <c r="A45" i="2"/>
  <c r="A46" i="2"/>
  <c r="A47" i="2"/>
  <c r="A48" i="2"/>
  <c r="A49" i="2"/>
  <c r="A51" i="2"/>
  <c r="A52" i="2"/>
  <c r="A54" i="2"/>
  <c r="A55" i="2"/>
  <c r="A56" i="2"/>
  <c r="A57" i="2"/>
  <c r="A59" i="2"/>
  <c r="A60" i="2"/>
  <c r="A61" i="2"/>
  <c r="A62" i="2"/>
  <c r="A63" i="2"/>
  <c r="A64" i="2"/>
  <c r="A65" i="2"/>
  <c r="A66" i="2"/>
  <c r="A67" i="2"/>
  <c r="A68" i="2"/>
  <c r="A69" i="2"/>
  <c r="A71" i="2"/>
  <c r="A74" i="2"/>
  <c r="A76" i="2"/>
  <c r="A78" i="2"/>
  <c r="A80" i="2"/>
  <c r="A81" i="2"/>
  <c r="A82" i="2"/>
  <c r="A83" i="2"/>
  <c r="A84" i="2"/>
  <c r="A85" i="2"/>
  <c r="A86" i="2"/>
  <c r="A90" i="2"/>
  <c r="A91" i="2"/>
  <c r="A92" i="2"/>
  <c r="A93" i="2"/>
  <c r="A94" i="2"/>
  <c r="A95" i="2"/>
  <c r="A96" i="2"/>
  <c r="A98" i="2"/>
  <c r="A100" i="2"/>
  <c r="A101" i="2"/>
  <c r="A102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9" i="2"/>
  <c r="A120" i="2"/>
  <c r="A121" i="2"/>
  <c r="A122" i="2"/>
  <c r="A123" i="2"/>
  <c r="A125" i="2"/>
  <c r="A126" i="2"/>
  <c r="A127" i="2"/>
  <c r="A128" i="2"/>
  <c r="A129" i="2"/>
  <c r="A130" i="2"/>
  <c r="A131" i="2"/>
  <c r="A132" i="2"/>
  <c r="A133" i="2"/>
  <c r="A134" i="2"/>
  <c r="A138" i="2"/>
  <c r="A140" i="2"/>
  <c r="A141" i="2"/>
  <c r="A143" i="2"/>
  <c r="A145" i="2"/>
  <c r="A146" i="2"/>
  <c r="A147" i="2"/>
  <c r="A148" i="2"/>
  <c r="A149" i="2"/>
  <c r="A150" i="2"/>
  <c r="A153" i="2"/>
  <c r="A154" i="2"/>
  <c r="A156" i="2"/>
  <c r="A157" i="2"/>
  <c r="A158" i="2"/>
  <c r="A159" i="2"/>
  <c r="A160" i="2"/>
  <c r="A161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8" i="2"/>
  <c r="A202" i="2"/>
  <c r="A205" i="2"/>
  <c r="A207" i="2"/>
  <c r="A211" i="2"/>
  <c r="A214" i="2"/>
  <c r="A213" i="2"/>
  <c r="A217" i="2"/>
  <c r="A218" i="2"/>
  <c r="A219" i="2"/>
  <c r="A221" i="2"/>
  <c r="A224" i="2"/>
  <c r="A226" i="2"/>
  <c r="A227" i="2"/>
  <c r="A230" i="2"/>
  <c r="A231" i="2"/>
  <c r="A232" i="2"/>
  <c r="A233" i="2"/>
  <c r="A234" i="2"/>
  <c r="A235" i="2"/>
  <c r="A237" i="2"/>
  <c r="A243" i="2"/>
  <c r="A245" i="2"/>
  <c r="A246" i="2"/>
  <c r="A247" i="2"/>
  <c r="A248" i="2"/>
  <c r="A209" i="2"/>
  <c r="A182" i="2"/>
  <c r="A162" i="2"/>
  <c r="A144" i="2"/>
  <c r="A142" i="2"/>
  <c r="A124" i="2"/>
  <c r="A118" i="2"/>
  <c r="A99" i="2"/>
  <c r="A97" i="2"/>
  <c r="A79" i="2"/>
  <c r="A77" i="2"/>
  <c r="A70" i="2"/>
  <c r="A58" i="2"/>
  <c r="A53" i="2"/>
  <c r="A50" i="2"/>
  <c r="A35" i="2"/>
  <c r="A33" i="2"/>
  <c r="A32" i="2"/>
  <c r="A31" i="2"/>
  <c r="A30" i="2"/>
  <c r="A29" i="2"/>
  <c r="A28" i="2"/>
  <c r="A15" i="2"/>
  <c r="A13" i="2"/>
  <c r="A12" i="2"/>
  <c r="A10" i="2"/>
  <c r="A6" i="2"/>
  <c r="A5" i="2"/>
  <c r="A4" i="2"/>
  <c r="A216" i="2"/>
  <c r="A215" i="2"/>
  <c r="A203" i="2"/>
  <c r="A201" i="2"/>
  <c r="A200" i="2"/>
  <c r="A199" i="2"/>
  <c r="A155" i="2"/>
  <c r="A152" i="2"/>
  <c r="A151" i="2"/>
  <c r="A139" i="2"/>
  <c r="A137" i="2"/>
  <c r="A136" i="2"/>
  <c r="A135" i="2"/>
  <c r="A103" i="2"/>
  <c r="A89" i="2"/>
  <c r="A88" i="2"/>
  <c r="A87" i="2"/>
  <c r="A75" i="2"/>
  <c r="A73" i="2"/>
  <c r="A72" i="2"/>
  <c r="A39" i="2"/>
  <c r="A25" i="2"/>
  <c r="A24" i="2"/>
  <c r="A23" i="2"/>
  <c r="A11" i="2"/>
  <c r="A9" i="2"/>
  <c r="A8" i="2"/>
  <c r="A2" i="2"/>
  <c r="A204" i="2" l="1"/>
  <c r="A220" i="2"/>
  <c r="A236" i="2"/>
  <c r="A206" i="2"/>
  <c r="A222" i="2"/>
  <c r="A238" i="2"/>
  <c r="A223" i="2"/>
  <c r="A239" i="2"/>
  <c r="A208" i="2"/>
  <c r="A225" i="2"/>
  <c r="A210" i="2"/>
  <c r="A240" i="2"/>
  <c r="A241" i="2"/>
  <c r="A242" i="2"/>
  <c r="A212" i="2"/>
  <c r="A228" i="2"/>
  <c r="A244" i="2"/>
  <c r="A197" i="2"/>
  <c r="A229" i="2"/>
  <c r="D228" i="2" l="1" a="1"/>
  <c r="D228" i="2" s="1"/>
  <c r="C228" i="2" s="1"/>
  <c r="B228" i="2" a="1"/>
  <c r="B228" i="2" s="1"/>
  <c r="B240" i="2" a="1"/>
  <c r="B240" i="2" s="1"/>
  <c r="D240" i="2" a="1"/>
  <c r="D240" i="2" s="1"/>
  <c r="C240" i="2" s="1"/>
  <c r="D210" i="2" a="1"/>
  <c r="D210" i="2" s="1"/>
  <c r="C210" i="2" s="1"/>
  <c r="B210" i="2" a="1"/>
  <c r="B210" i="2" s="1"/>
  <c r="D212" i="2" a="1"/>
  <c r="D212" i="2" s="1"/>
  <c r="C212" i="2" s="1"/>
  <c r="B212" i="2" a="1"/>
  <c r="B212" i="2" s="1"/>
  <c r="D225" i="2" a="1"/>
  <c r="D225" i="2" s="1"/>
  <c r="C225" i="2" s="1"/>
  <c r="B225" i="2" a="1"/>
  <c r="B225" i="2" s="1"/>
  <c r="B208" i="2" a="1"/>
  <c r="B208" i="2" s="1"/>
  <c r="D208" i="2" a="1"/>
  <c r="D208" i="2" s="1"/>
  <c r="C208" i="2" s="1"/>
  <c r="B239" i="2" a="1"/>
  <c r="B239" i="2" s="1"/>
  <c r="D239" i="2" a="1"/>
  <c r="D239" i="2" s="1"/>
  <c r="C239" i="2" s="1"/>
  <c r="B223" i="2" a="1"/>
  <c r="B223" i="2" s="1"/>
  <c r="D223" i="2" a="1"/>
  <c r="D223" i="2" s="1"/>
  <c r="C223" i="2" s="1"/>
  <c r="B238" i="2" a="1"/>
  <c r="B238" i="2" s="1"/>
  <c r="D238" i="2" a="1"/>
  <c r="D238" i="2" s="1"/>
  <c r="C238" i="2" s="1"/>
  <c r="D242" i="2" a="1"/>
  <c r="D242" i="2" s="1"/>
  <c r="C242" i="2" s="1"/>
  <c r="B242" i="2" a="1"/>
  <c r="B242" i="2" s="1"/>
  <c r="B222" i="2" a="1"/>
  <c r="B222" i="2" s="1"/>
  <c r="D222" i="2" a="1"/>
  <c r="D222" i="2" s="1"/>
  <c r="C222" i="2" s="1"/>
  <c r="D241" i="2" a="1"/>
  <c r="D241" i="2" s="1"/>
  <c r="C241" i="2" s="1"/>
  <c r="B241" i="2" a="1"/>
  <c r="B241" i="2" s="1"/>
  <c r="B206" i="2" a="1"/>
  <c r="B206" i="2" s="1"/>
  <c r="D206" i="2" a="1"/>
  <c r="D206" i="2" s="1"/>
  <c r="C206" i="2" s="1"/>
  <c r="D229" i="2" a="1"/>
  <c r="D229" i="2" s="1"/>
  <c r="C229" i="2" s="1"/>
  <c r="B229" i="2" a="1"/>
  <c r="B229" i="2" s="1"/>
  <c r="B236" i="2" a="1"/>
  <c r="B236" i="2" s="1"/>
  <c r="D236" i="2" a="1"/>
  <c r="D236" i="2" s="1"/>
  <c r="C236" i="2" s="1"/>
  <c r="D197" i="2" a="1"/>
  <c r="D197" i="2" s="1"/>
  <c r="C197" i="2" s="1"/>
  <c r="B197" i="2" a="1"/>
  <c r="B197" i="2" s="1"/>
  <c r="B220" i="2" a="1"/>
  <c r="B220" i="2" s="1"/>
  <c r="D220" i="2" a="1"/>
  <c r="D220" i="2" s="1"/>
  <c r="C220" i="2" s="1"/>
  <c r="D244" i="2" a="1"/>
  <c r="D244" i="2" s="1"/>
  <c r="C244" i="2" s="1"/>
  <c r="B244" i="2" a="1"/>
  <c r="B244" i="2" s="1"/>
  <c r="B204" i="2" a="1"/>
  <c r="B204" i="2" s="1"/>
  <c r="D204" i="2" a="1"/>
  <c r="D204" i="2" s="1"/>
  <c r="C20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<sst xmlns="http://schemas.openxmlformats.org/spreadsheetml/2006/main" count="8454" uniqueCount="1752">
  <si>
    <t>AFG: Afghanistan</t>
  </si>
  <si>
    <t>WHO_REGION:</t>
  </si>
  <si>
    <t>Eastern Mediterranean</t>
  </si>
  <si>
    <t>World Bank income group:</t>
  </si>
  <si>
    <t>Low income</t>
  </si>
  <si>
    <t>WHO_REGION_CODE:</t>
  </si>
  <si>
    <t>EMR</t>
  </si>
  <si>
    <t>World Bank income group code:</t>
  </si>
  <si>
    <t>WB_LI</t>
  </si>
  <si>
    <t>World Bank income group GNI reference year:</t>
  </si>
  <si>
    <t>World Bank income group release date:</t>
  </si>
  <si>
    <t>DS:</t>
  </si>
  <si>
    <t>AFG</t>
  </si>
  <si>
    <t>FIPS:</t>
  </si>
  <si>
    <t>AF</t>
  </si>
  <si>
    <t>IOC:</t>
  </si>
  <si>
    <t>ISO2:</t>
  </si>
  <si>
    <t>ISO:</t>
  </si>
  <si>
    <t>ITU:</t>
  </si>
  <si>
    <t>MARC:</t>
  </si>
  <si>
    <t>af</t>
  </si>
  <si>
    <t>WHO:</t>
  </si>
  <si>
    <t>WMO:</t>
  </si>
  <si>
    <t>GEOMETRY:</t>
  </si>
  <si>
    <t>MORT:</t>
  </si>
  <si>
    <t>LAND_AREA_KMSQ_2012:</t>
  </si>
  <si>
    <t>LANGUAGES_EN_2012:</t>
  </si>
  <si>
    <t>Dari, Pashto, Turkic languages, 30 minor languages</t>
  </si>
  <si>
    <t>SHORTNAMEES:</t>
  </si>
  <si>
    <t>Afganistan</t>
  </si>
  <si>
    <t>SHORTNAMEFR:</t>
  </si>
  <si>
    <t>Afghanistan</t>
  </si>
  <si>
    <t>WHOLEGALSTATUS:</t>
  </si>
  <si>
    <t>M</t>
  </si>
  <si>
    <t>ALB: Albania</t>
  </si>
  <si>
    <t>Europe</t>
  </si>
  <si>
    <t>Upper middle income</t>
  </si>
  <si>
    <t>EUR</t>
  </si>
  <si>
    <t>WB_UMI</t>
  </si>
  <si>
    <t>AL</t>
  </si>
  <si>
    <t>ALB</t>
  </si>
  <si>
    <t>AB</t>
  </si>
  <si>
    <t>aa</t>
  </si>
  <si>
    <t>Albanian, Greek, Vlach, Romani, Slavic dialects</t>
  </si>
  <si>
    <t>Albania</t>
  </si>
  <si>
    <t>Albanie</t>
  </si>
  <si>
    <t>DZA: Algeria</t>
  </si>
  <si>
    <t>Arabic, French, Berber dialects</t>
  </si>
  <si>
    <t>Argelia</t>
  </si>
  <si>
    <t>Algérie</t>
  </si>
  <si>
    <t>Africa</t>
  </si>
  <si>
    <t>AFR</t>
  </si>
  <si>
    <t>DZ</t>
  </si>
  <si>
    <t>AG</t>
  </si>
  <si>
    <t>ALG</t>
  </si>
  <si>
    <t>DZA</t>
  </si>
  <si>
    <t>ae</t>
  </si>
  <si>
    <t>AND: Andorra</t>
  </si>
  <si>
    <t>Catalan, French, Castilian, Portuguese</t>
  </si>
  <si>
    <t>High income</t>
  </si>
  <si>
    <t>WB_HI</t>
  </si>
  <si>
    <t>AND</t>
  </si>
  <si>
    <t>AN</t>
  </si>
  <si>
    <t>AD</t>
  </si>
  <si>
    <t>an</t>
  </si>
  <si>
    <t>Andorra</t>
  </si>
  <si>
    <t>Andorre</t>
  </si>
  <si>
    <t>AGO: Angola</t>
  </si>
  <si>
    <t>Portuguese, Bantu, other African languages</t>
  </si>
  <si>
    <t>Lower middle income</t>
  </si>
  <si>
    <t>WB_LMI</t>
  </si>
  <si>
    <t>AO</t>
  </si>
  <si>
    <t>ANG</t>
  </si>
  <si>
    <t>AGO</t>
  </si>
  <si>
    <t>AGL</t>
  </si>
  <si>
    <t>ao</t>
  </si>
  <si>
    <t>Angola</t>
  </si>
  <si>
    <t>ATG: Antigua and Barbuda</t>
  </si>
  <si>
    <t>English, local dialects</t>
  </si>
  <si>
    <t>Americas</t>
  </si>
  <si>
    <t>AMR</t>
  </si>
  <si>
    <t>AC</t>
  </si>
  <si>
    <t>ANT</t>
  </si>
  <si>
    <t>AT</t>
  </si>
  <si>
    <t>ATG</t>
  </si>
  <si>
    <t>aq</t>
  </si>
  <si>
    <t>ANI</t>
  </si>
  <si>
    <t>Antigua y Barbuda</t>
  </si>
  <si>
    <t>Antigua-et-Barbuda</t>
  </si>
  <si>
    <t>ARG: Argentina</t>
  </si>
  <si>
    <t>Spanish, others</t>
  </si>
  <si>
    <t>RA</t>
  </si>
  <si>
    <t>AR</t>
  </si>
  <si>
    <t>ARG</t>
  </si>
  <si>
    <t>ag</t>
  </si>
  <si>
    <t>Argentina</t>
  </si>
  <si>
    <t>Argentine</t>
  </si>
  <si>
    <t>ARM: Armenia</t>
  </si>
  <si>
    <t>Armenian</t>
  </si>
  <si>
    <t>AM</t>
  </si>
  <si>
    <t>ARM</t>
  </si>
  <si>
    <t>AY</t>
  </si>
  <si>
    <t>ai</t>
  </si>
  <si>
    <t>Armenia</t>
  </si>
  <si>
    <t>Arménie</t>
  </si>
  <si>
    <t>AUS: Australia</t>
  </si>
  <si>
    <t>English</t>
  </si>
  <si>
    <t>Western Pacific</t>
  </si>
  <si>
    <t>WPR</t>
  </si>
  <si>
    <t>AUS</t>
  </si>
  <si>
    <t>AS</t>
  </si>
  <si>
    <t>AU</t>
  </si>
  <si>
    <t>at</t>
  </si>
  <si>
    <t>Australia</t>
  </si>
  <si>
    <t>Australie</t>
  </si>
  <si>
    <t>AUT: Austria</t>
  </si>
  <si>
    <t>German</t>
  </si>
  <si>
    <t>A</t>
  </si>
  <si>
    <t>AUT</t>
  </si>
  <si>
    <t>Austria</t>
  </si>
  <si>
    <t>Autriche</t>
  </si>
  <si>
    <t>au</t>
  </si>
  <si>
    <t>OS</t>
  </si>
  <si>
    <t>AZE: Azerbaijan</t>
  </si>
  <si>
    <t>Azerbaijani, others</t>
  </si>
  <si>
    <t>Azerbaijan</t>
  </si>
  <si>
    <t>AZ</t>
  </si>
  <si>
    <t>AJ</t>
  </si>
  <si>
    <t>AZE</t>
  </si>
  <si>
    <t>aj</t>
  </si>
  <si>
    <t>Azerbaïdjan</t>
  </si>
  <si>
    <t>BHS: Bahamas</t>
  </si>
  <si>
    <t>English, Creole</t>
  </si>
  <si>
    <t>BS</t>
  </si>
  <si>
    <t>BF</t>
  </si>
  <si>
    <t>BAH</t>
  </si>
  <si>
    <t>BHS</t>
  </si>
  <si>
    <t>bf</t>
  </si>
  <si>
    <t>BA</t>
  </si>
  <si>
    <t>Bahamas</t>
  </si>
  <si>
    <t>BHR: Bahrain</t>
  </si>
  <si>
    <t>Arabic, English, Farsi, Urdu</t>
  </si>
  <si>
    <t>BRN</t>
  </si>
  <si>
    <t>BN</t>
  </si>
  <si>
    <t>BHR</t>
  </si>
  <si>
    <t>ba</t>
  </si>
  <si>
    <t>BAA</t>
  </si>
  <si>
    <t>BH</t>
  </si>
  <si>
    <t>Bahrein</t>
  </si>
  <si>
    <t>Bahreïn</t>
  </si>
  <si>
    <t>BGD: Bangladesh</t>
  </si>
  <si>
    <t>Bangla, English</t>
  </si>
  <si>
    <t>South-East Asia</t>
  </si>
  <si>
    <t>SEAR</t>
  </si>
  <si>
    <t>BD</t>
  </si>
  <si>
    <t>BG</t>
  </si>
  <si>
    <t>BAN</t>
  </si>
  <si>
    <t>BGD</t>
  </si>
  <si>
    <t>bg</t>
  </si>
  <si>
    <t>BW</t>
  </si>
  <si>
    <t>Bangladesh</t>
  </si>
  <si>
    <t>BRB: Barbados</t>
  </si>
  <si>
    <t>BDS</t>
  </si>
  <si>
    <t>BB</t>
  </si>
  <si>
    <t>BAR</t>
  </si>
  <si>
    <t>BRB</t>
  </si>
  <si>
    <t>bb</t>
  </si>
  <si>
    <t>BR</t>
  </si>
  <si>
    <t>Barbados</t>
  </si>
  <si>
    <t>Barbade</t>
  </si>
  <si>
    <t>BLR: Belarus</t>
  </si>
  <si>
    <t>Belarusian, Russian</t>
  </si>
  <si>
    <t>BY</t>
  </si>
  <si>
    <t>BO</t>
  </si>
  <si>
    <t>BLR</t>
  </si>
  <si>
    <t>bw</t>
  </si>
  <si>
    <t>Belarus</t>
  </si>
  <si>
    <t>Bélarus</t>
  </si>
  <si>
    <t>BEL: Belgium</t>
  </si>
  <si>
    <t>Dutch, French, German</t>
  </si>
  <si>
    <t>B</t>
  </si>
  <si>
    <t>BE</t>
  </si>
  <si>
    <t>BEL</t>
  </si>
  <si>
    <t>be</t>
  </si>
  <si>
    <t>BX</t>
  </si>
  <si>
    <t>Belgica</t>
  </si>
  <si>
    <t>Belgique</t>
  </si>
  <si>
    <t>BLZ: Belize</t>
  </si>
  <si>
    <t>Spanish, Creole, Mayan dialects, English</t>
  </si>
  <si>
    <t>BZ</t>
  </si>
  <si>
    <t>BIZ</t>
  </si>
  <si>
    <t>BLZ</t>
  </si>
  <si>
    <t>bh</t>
  </si>
  <si>
    <t>Belice</t>
  </si>
  <si>
    <t>Belize</t>
  </si>
  <si>
    <t>BEN: Benin</t>
  </si>
  <si>
    <t>French, Fon, Yoruba, tribal languages</t>
  </si>
  <si>
    <t>DY</t>
  </si>
  <si>
    <t>BEN</t>
  </si>
  <si>
    <t>BJ</t>
  </si>
  <si>
    <t>dm</t>
  </si>
  <si>
    <t>Benin</t>
  </si>
  <si>
    <t>Bénin</t>
  </si>
  <si>
    <t>BTN: Bhutan</t>
  </si>
  <si>
    <t>Sharchhopka, Dzongkha, Lhotshamkha, others</t>
  </si>
  <si>
    <t>Bhutan</t>
  </si>
  <si>
    <t>Bhoutan</t>
  </si>
  <si>
    <t>BT</t>
  </si>
  <si>
    <t>BHU</t>
  </si>
  <si>
    <t>BTN</t>
  </si>
  <si>
    <t>bt</t>
  </si>
  <si>
    <t>BOL: Bolivia (Plurinational State of)</t>
  </si>
  <si>
    <t>Spanish, Quechua, Aymara</t>
  </si>
  <si>
    <t>Bolivia (Estado Plurinacional de)</t>
  </si>
  <si>
    <t>Bolivie (État plurinational de)</t>
  </si>
  <si>
    <t>BOL</t>
  </si>
  <si>
    <t>BL</t>
  </si>
  <si>
    <t>bo</t>
  </si>
  <si>
    <t>BIH: Bosnia and Herzegovina</t>
  </si>
  <si>
    <t>Bosnian, Croatian, Serbian</t>
  </si>
  <si>
    <t>Bosnia y Herzegovina</t>
  </si>
  <si>
    <t>Bosnie-Herzégovine</t>
  </si>
  <si>
    <t>BIH</t>
  </si>
  <si>
    <t>BK</t>
  </si>
  <si>
    <t>bn</t>
  </si>
  <si>
    <t>BWA: Botswana</t>
  </si>
  <si>
    <t>Setswana, Kalanga, English</t>
  </si>
  <si>
    <t>Botswana</t>
  </si>
  <si>
    <t>BC</t>
  </si>
  <si>
    <t>BOT</t>
  </si>
  <si>
    <t>BWA</t>
  </si>
  <si>
    <t>bs</t>
  </si>
  <si>
    <t>BRA: Brazil</t>
  </si>
  <si>
    <t>Portuguese</t>
  </si>
  <si>
    <t>Brasil</t>
  </si>
  <si>
    <t>Brésil</t>
  </si>
  <si>
    <t>BRA</t>
  </si>
  <si>
    <t>bl</t>
  </si>
  <si>
    <t>BRN: Brunei Darussalam</t>
  </si>
  <si>
    <t>English, Malay, Chinese</t>
  </si>
  <si>
    <t>Brunei Darussalam</t>
  </si>
  <si>
    <t>Brunéi Darussalam</t>
  </si>
  <si>
    <t>BRU</t>
  </si>
  <si>
    <t>bx</t>
  </si>
  <si>
    <t>BGR: Bulgaria</t>
  </si>
  <si>
    <t>Bulgarian, others</t>
  </si>
  <si>
    <t>Bulgaria</t>
  </si>
  <si>
    <t>Bulgarie</t>
  </si>
  <si>
    <t>BU</t>
  </si>
  <si>
    <t>BUL</t>
  </si>
  <si>
    <t>BGR</t>
  </si>
  <si>
    <t>bu</t>
  </si>
  <si>
    <t>BFA: Burkina Faso</t>
  </si>
  <si>
    <t>French, native African languages</t>
  </si>
  <si>
    <t>Burkina Faso</t>
  </si>
  <si>
    <t>UV</t>
  </si>
  <si>
    <t>BUR</t>
  </si>
  <si>
    <t>HV</t>
  </si>
  <si>
    <t>BFA</t>
  </si>
  <si>
    <t>uv</t>
  </si>
  <si>
    <t>BDI: Burundi</t>
  </si>
  <si>
    <t>Kirundi, French, Swahili</t>
  </si>
  <si>
    <t>Burundi</t>
  </si>
  <si>
    <t>RU</t>
  </si>
  <si>
    <t>BDI</t>
  </si>
  <si>
    <t>BI</t>
  </si>
  <si>
    <t>bd</t>
  </si>
  <si>
    <t>BUU</t>
  </si>
  <si>
    <t>KHM: Cambodia</t>
  </si>
  <si>
    <t>Khmer, French, English</t>
  </si>
  <si>
    <t>Camboya</t>
  </si>
  <si>
    <t>Cambodge</t>
  </si>
  <si>
    <t>K</t>
  </si>
  <si>
    <t>CB</t>
  </si>
  <si>
    <t>CAM</t>
  </si>
  <si>
    <t>KH</t>
  </si>
  <si>
    <t>KHM</t>
  </si>
  <si>
    <t>CBG</t>
  </si>
  <si>
    <t>cb</t>
  </si>
  <si>
    <t>KP</t>
  </si>
  <si>
    <t>CMR: Cameroon</t>
  </si>
  <si>
    <t>French, English, 24 African language groups</t>
  </si>
  <si>
    <t>Camerun</t>
  </si>
  <si>
    <t>Cameroun</t>
  </si>
  <si>
    <t>CM</t>
  </si>
  <si>
    <t>CMR</t>
  </si>
  <si>
    <t>CME</t>
  </si>
  <si>
    <t>cm</t>
  </si>
  <si>
    <t>CAE</t>
  </si>
  <si>
    <t>CAN: Canada</t>
  </si>
  <si>
    <t>English, French, others</t>
  </si>
  <si>
    <t>Canada</t>
  </si>
  <si>
    <t>CDN</t>
  </si>
  <si>
    <t>CA</t>
  </si>
  <si>
    <t>CAN</t>
  </si>
  <si>
    <t>xxc</t>
  </si>
  <si>
    <t>CN</t>
  </si>
  <si>
    <t>CPV: Cabo Verde</t>
  </si>
  <si>
    <t>Portuguese, Crioulo</t>
  </si>
  <si>
    <t>Cabo Verde</t>
  </si>
  <si>
    <t>CV</t>
  </si>
  <si>
    <t>CPV</t>
  </si>
  <si>
    <t>cv</t>
  </si>
  <si>
    <t>CAV</t>
  </si>
  <si>
    <t>CAF: Central African Republic</t>
  </si>
  <si>
    <t>Sango, French, tribal languages</t>
  </si>
  <si>
    <t>Republica Centroafricana</t>
  </si>
  <si>
    <t>République centrafricaine</t>
  </si>
  <si>
    <t>RCA</t>
  </si>
  <si>
    <t>CT</t>
  </si>
  <si>
    <t>CAF</t>
  </si>
  <si>
    <t>CF</t>
  </si>
  <si>
    <t>cx</t>
  </si>
  <si>
    <t>CE</t>
  </si>
  <si>
    <t>TCD: Chad</t>
  </si>
  <si>
    <t>French, Arabic, Sara, more than 120 different languages and dialects</t>
  </si>
  <si>
    <t>Chad (el)</t>
  </si>
  <si>
    <t>Tchad</t>
  </si>
  <si>
    <t>TCH</t>
  </si>
  <si>
    <t>CD</t>
  </si>
  <si>
    <t>CHA</t>
  </si>
  <si>
    <t>TD</t>
  </si>
  <si>
    <t>TCD</t>
  </si>
  <si>
    <t>cd</t>
  </si>
  <si>
    <t>CHL: Chile</t>
  </si>
  <si>
    <t>Chile</t>
  </si>
  <si>
    <t>Chili</t>
  </si>
  <si>
    <t>RCH</t>
  </si>
  <si>
    <t>CI</t>
  </si>
  <si>
    <t>CHI</t>
  </si>
  <si>
    <t>CH</t>
  </si>
  <si>
    <t>CHL</t>
  </si>
  <si>
    <t>cl</t>
  </si>
  <si>
    <t>CL</t>
  </si>
  <si>
    <t>CHN: China</t>
  </si>
  <si>
    <t>Mandarin, Cantonese, others</t>
  </si>
  <si>
    <t>China</t>
  </si>
  <si>
    <t>Chine</t>
  </si>
  <si>
    <t>CHN</t>
  </si>
  <si>
    <t>cc</t>
  </si>
  <si>
    <t>COL: Colombia</t>
  </si>
  <si>
    <t>Spanish</t>
  </si>
  <si>
    <t>Colombia</t>
  </si>
  <si>
    <t>Colombie</t>
  </si>
  <si>
    <t>CO</t>
  </si>
  <si>
    <t>COL</t>
  </si>
  <si>
    <t>CLM</t>
  </si>
  <si>
    <t>ck</t>
  </si>
  <si>
    <t>COM: Comoros</t>
  </si>
  <si>
    <t>Arabic, French, Shikomoro</t>
  </si>
  <si>
    <t>Comoras</t>
  </si>
  <si>
    <t>Comores</t>
  </si>
  <si>
    <t>COM</t>
  </si>
  <si>
    <t>IC</t>
  </si>
  <si>
    <t>cq</t>
  </si>
  <si>
    <t>KM</t>
  </si>
  <si>
    <t>COG: Congo</t>
  </si>
  <si>
    <t>French, Lingala, Monokutuba, many local languages and dialects</t>
  </si>
  <si>
    <t>Congo (el)</t>
  </si>
  <si>
    <t>Congo</t>
  </si>
  <si>
    <t>RCB</t>
  </si>
  <si>
    <t>CGO</t>
  </si>
  <si>
    <t>CG</t>
  </si>
  <si>
    <t>COG</t>
  </si>
  <si>
    <t>cf</t>
  </si>
  <si>
    <t>CNG</t>
  </si>
  <si>
    <t>COK: Cook Islands</t>
  </si>
  <si>
    <t>Islas Cook</t>
  </si>
  <si>
    <t>Îles Cook</t>
  </si>
  <si>
    <t>High-income</t>
  </si>
  <si>
    <t>NZ</t>
  </si>
  <si>
    <t>CW</t>
  </si>
  <si>
    <t>COK</t>
  </si>
  <si>
    <t>CK</t>
  </si>
  <si>
    <t>CKH</t>
  </si>
  <si>
    <t>cw</t>
  </si>
  <si>
    <t>KU</t>
  </si>
  <si>
    <t>CRI: Costa Rica</t>
  </si>
  <si>
    <t>Spanish, English</t>
  </si>
  <si>
    <t>Costa Rica</t>
  </si>
  <si>
    <t>CR</t>
  </si>
  <si>
    <t>CS</t>
  </si>
  <si>
    <t>CRC</t>
  </si>
  <si>
    <t>CRI</t>
  </si>
  <si>
    <t>CTR</t>
  </si>
  <si>
    <t>cr</t>
  </si>
  <si>
    <t>COR</t>
  </si>
  <si>
    <t>HRV: Croatia</t>
  </si>
  <si>
    <t>Croatian</t>
  </si>
  <si>
    <t>Croacia</t>
  </si>
  <si>
    <t>Croatie</t>
  </si>
  <si>
    <t>HR</t>
  </si>
  <si>
    <t>CRO</t>
  </si>
  <si>
    <t>HRV</t>
  </si>
  <si>
    <t>ci</t>
  </si>
  <si>
    <t>RH</t>
  </si>
  <si>
    <t>CUB: Cuba</t>
  </si>
  <si>
    <t>Cuba</t>
  </si>
  <si>
    <t>C</t>
  </si>
  <si>
    <t>CU</t>
  </si>
  <si>
    <t>CUB</t>
  </si>
  <si>
    <t>cu</t>
  </si>
  <si>
    <t>CYP: Cyprus</t>
  </si>
  <si>
    <t>Greek, Turkish, English</t>
  </si>
  <si>
    <t>Chipre</t>
  </si>
  <si>
    <t>Chypre</t>
  </si>
  <si>
    <t>CY</t>
  </si>
  <si>
    <t>CYP</t>
  </si>
  <si>
    <t>cy</t>
  </si>
  <si>
    <t>CZE: Czechia</t>
  </si>
  <si>
    <t>Czech, others</t>
  </si>
  <si>
    <t>Republica Checa</t>
  </si>
  <si>
    <t>République tchèque</t>
  </si>
  <si>
    <t>CZ</t>
  </si>
  <si>
    <t>EZ</t>
  </si>
  <si>
    <t>CZE</t>
  </si>
  <si>
    <t>xr</t>
  </si>
  <si>
    <t>CZH</t>
  </si>
  <si>
    <t>CIV: Cote d'Ivoire</t>
  </si>
  <si>
    <t>French, Dioula, 60 native dialects</t>
  </si>
  <si>
    <t>Côte d'Ivoire</t>
  </si>
  <si>
    <t>IV</t>
  </si>
  <si>
    <t>CIV</t>
  </si>
  <si>
    <t>CTI</t>
  </si>
  <si>
    <t>iv</t>
  </si>
  <si>
    <t>IVC</t>
  </si>
  <si>
    <t>PRK: Democratic People's Republic of Korea</t>
  </si>
  <si>
    <t>Korean</t>
  </si>
  <si>
    <t>Republica Popular Democratica de Corea</t>
  </si>
  <si>
    <t>République populaire démocratique de Corée</t>
  </si>
  <si>
    <t>KN</t>
  </si>
  <si>
    <t>PRK</t>
  </si>
  <si>
    <t>KR</t>
  </si>
  <si>
    <t>KRE</t>
  </si>
  <si>
    <t>kn</t>
  </si>
  <si>
    <t>KRD</t>
  </si>
  <si>
    <t>COD: Democratic Republic of the Congo</t>
  </si>
  <si>
    <t>French, Lingala, Kingwana, Kikongo, Tshiluba</t>
  </si>
  <si>
    <t>Republica Democratica del Congo</t>
  </si>
  <si>
    <t>République démocratique du Congo</t>
  </si>
  <si>
    <t>ZRE</t>
  </si>
  <si>
    <t>COD</t>
  </si>
  <si>
    <t>ZR</t>
  </si>
  <si>
    <t>cg</t>
  </si>
  <si>
    <t>DNK: Denmark</t>
  </si>
  <si>
    <t>Danish, others</t>
  </si>
  <si>
    <t>Dinamarca</t>
  </si>
  <si>
    <t>Danemark</t>
  </si>
  <si>
    <t>DK</t>
  </si>
  <si>
    <t>DA</t>
  </si>
  <si>
    <t>DEN</t>
  </si>
  <si>
    <t>DNK</t>
  </si>
  <si>
    <t>dk</t>
  </si>
  <si>
    <t>DN</t>
  </si>
  <si>
    <t>DJI: Djibouti</t>
  </si>
  <si>
    <t>French, Arabic, Somali, Afar</t>
  </si>
  <si>
    <t>Djibouti</t>
  </si>
  <si>
    <t>DJ</t>
  </si>
  <si>
    <t>DJI</t>
  </si>
  <si>
    <t>ft</t>
  </si>
  <si>
    <t>DMA: Dominica</t>
  </si>
  <si>
    <t>English, French patois</t>
  </si>
  <si>
    <t>Dominica</t>
  </si>
  <si>
    <t>Dominique</t>
  </si>
  <si>
    <t>WD</t>
  </si>
  <si>
    <t>DO</t>
  </si>
  <si>
    <t>DMA</t>
  </si>
  <si>
    <t>dq</t>
  </si>
  <si>
    <t>DOM</t>
  </si>
  <si>
    <t>DM</t>
  </si>
  <si>
    <t>DOM: Dominican Republic</t>
  </si>
  <si>
    <t>Republica Dominicana</t>
  </si>
  <si>
    <t>République dominicaine</t>
  </si>
  <si>
    <t>DR</t>
  </si>
  <si>
    <t>dr</t>
  </si>
  <si>
    <t>DOR</t>
  </si>
  <si>
    <t>ECU: Ecuador</t>
  </si>
  <si>
    <t>Spanish, Quechua</t>
  </si>
  <si>
    <t>Ecuador</t>
  </si>
  <si>
    <t>Équateur</t>
  </si>
  <si>
    <t>EC</t>
  </si>
  <si>
    <t>ECU</t>
  </si>
  <si>
    <t>EQA</t>
  </si>
  <si>
    <t>ec</t>
  </si>
  <si>
    <t>EQ</t>
  </si>
  <si>
    <t>EGY: Egypt</t>
  </si>
  <si>
    <t>Arabic</t>
  </si>
  <si>
    <t>Egipto</t>
  </si>
  <si>
    <t>Égypte</t>
  </si>
  <si>
    <t>ET</t>
  </si>
  <si>
    <t>EG</t>
  </si>
  <si>
    <t>EGY</t>
  </si>
  <si>
    <t>ua</t>
  </si>
  <si>
    <t>SLV: El Salvador</t>
  </si>
  <si>
    <t>Spanish, Amerindian languages</t>
  </si>
  <si>
    <t>El Salvador</t>
  </si>
  <si>
    <t>ES</t>
  </si>
  <si>
    <t>ESA</t>
  </si>
  <si>
    <t>SV</t>
  </si>
  <si>
    <t>SLV</t>
  </si>
  <si>
    <t>es</t>
  </si>
  <si>
    <t>ELS</t>
  </si>
  <si>
    <t>GNQ: Equatorial Guinea</t>
  </si>
  <si>
    <t>Spanish, French, others</t>
  </si>
  <si>
    <t>Guinea Ecuatorial</t>
  </si>
  <si>
    <t>Guinée équatoriale</t>
  </si>
  <si>
    <t>EK</t>
  </si>
  <si>
    <t>GNQ</t>
  </si>
  <si>
    <t>GQ</t>
  </si>
  <si>
    <t>EQG</t>
  </si>
  <si>
    <t>GNE</t>
  </si>
  <si>
    <t>eg</t>
  </si>
  <si>
    <t>GEQ</t>
  </si>
  <si>
    <t>ERI: Eritrea</t>
  </si>
  <si>
    <t>Tigrinya, Arabic, English, others</t>
  </si>
  <si>
    <t>Eritrea</t>
  </si>
  <si>
    <t>Érythrée</t>
  </si>
  <si>
    <t>ERI</t>
  </si>
  <si>
    <t>ER</t>
  </si>
  <si>
    <t>ea</t>
  </si>
  <si>
    <t>EST: Estonia</t>
  </si>
  <si>
    <t>Estonian, Russian</t>
  </si>
  <si>
    <t>Estonia</t>
  </si>
  <si>
    <t>Estonie</t>
  </si>
  <si>
    <t>EST</t>
  </si>
  <si>
    <t>EN</t>
  </si>
  <si>
    <t>EE</t>
  </si>
  <si>
    <t>er</t>
  </si>
  <si>
    <t>EO</t>
  </si>
  <si>
    <t>ETH: Ethiopia</t>
  </si>
  <si>
    <t>Amharic, Oromo, English, Arabic, Tigrayan, others</t>
  </si>
  <si>
    <t>Etiopia</t>
  </si>
  <si>
    <t>Éthiopie</t>
  </si>
  <si>
    <t>ETH</t>
  </si>
  <si>
    <t>et</t>
  </si>
  <si>
    <t>FJI: Fiji</t>
  </si>
  <si>
    <t>English, Fijian, Hindustani</t>
  </si>
  <si>
    <t>Fiji</t>
  </si>
  <si>
    <t>Fidji</t>
  </si>
  <si>
    <t>FJI</t>
  </si>
  <si>
    <t>FJ</t>
  </si>
  <si>
    <t>FIJ</t>
  </si>
  <si>
    <t>fj</t>
  </si>
  <si>
    <t>FIN: Finland</t>
  </si>
  <si>
    <t>Finish, Swedish</t>
  </si>
  <si>
    <t>Finlandia</t>
  </si>
  <si>
    <t>Finlande</t>
  </si>
  <si>
    <t>FIN</t>
  </si>
  <si>
    <t>FI</t>
  </si>
  <si>
    <t>fi</t>
  </si>
  <si>
    <t>FRA: France</t>
  </si>
  <si>
    <t>French</t>
  </si>
  <si>
    <t>Francia</t>
  </si>
  <si>
    <t>France</t>
  </si>
  <si>
    <t>F</t>
  </si>
  <si>
    <t>FR</t>
  </si>
  <si>
    <t>FRA</t>
  </si>
  <si>
    <t>fr</t>
  </si>
  <si>
    <t>GAB: Gabon</t>
  </si>
  <si>
    <t>French, Fang, Myene, Nzebi, Bapounou, Bandjabi</t>
  </si>
  <si>
    <t>Gabon</t>
  </si>
  <si>
    <t>G</t>
  </si>
  <si>
    <t>GB</t>
  </si>
  <si>
    <t>GAB</t>
  </si>
  <si>
    <t>GA</t>
  </si>
  <si>
    <t>go</t>
  </si>
  <si>
    <t>GO</t>
  </si>
  <si>
    <t>GMB: Gambia</t>
  </si>
  <si>
    <t>English, Mandinka, Wolof, Fula, other indigenous languages</t>
  </si>
  <si>
    <t>Gambia</t>
  </si>
  <si>
    <t>Gambie</t>
  </si>
  <si>
    <t>WAG</t>
  </si>
  <si>
    <t>GAM</t>
  </si>
  <si>
    <t>GM</t>
  </si>
  <si>
    <t>GMB</t>
  </si>
  <si>
    <t>gm</t>
  </si>
  <si>
    <t>GEO: Georgia</t>
  </si>
  <si>
    <t>69, 490</t>
  </si>
  <si>
    <t>Georgian, Russian, others</t>
  </si>
  <si>
    <t>Georgia</t>
  </si>
  <si>
    <t>Géorgie</t>
  </si>
  <si>
    <t>GE</t>
  </si>
  <si>
    <t>GG</t>
  </si>
  <si>
    <t>GEO</t>
  </si>
  <si>
    <t>gs</t>
  </si>
  <si>
    <t>DEU: Germany</t>
  </si>
  <si>
    <t>Alemania</t>
  </si>
  <si>
    <t>Allemagne</t>
  </si>
  <si>
    <t>D</t>
  </si>
  <si>
    <t>GER</t>
  </si>
  <si>
    <t>DE</t>
  </si>
  <si>
    <t>DEU</t>
  </si>
  <si>
    <t>gw</t>
  </si>
  <si>
    <t>DL</t>
  </si>
  <si>
    <t>GHA: Ghana</t>
  </si>
  <si>
    <t>English, Asante, Ewe, Fante, Boron, others</t>
  </si>
  <si>
    <t>Ghana</t>
  </si>
  <si>
    <t>GH</t>
  </si>
  <si>
    <t>GHA</t>
  </si>
  <si>
    <t>gh</t>
  </si>
  <si>
    <t>GRC: Greece</t>
  </si>
  <si>
    <t>Greek</t>
  </si>
  <si>
    <t>Grecia</t>
  </si>
  <si>
    <t>Grèce</t>
  </si>
  <si>
    <t>GR</t>
  </si>
  <si>
    <t>GRE</t>
  </si>
  <si>
    <t>GRC</t>
  </si>
  <si>
    <t>gr</t>
  </si>
  <si>
    <t>GRD: Grenada</t>
  </si>
  <si>
    <t>Granada</t>
  </si>
  <si>
    <t>Grenade</t>
  </si>
  <si>
    <t>WG</t>
  </si>
  <si>
    <t>GJ</t>
  </si>
  <si>
    <t>GRD</t>
  </si>
  <si>
    <t>GRA</t>
  </si>
  <si>
    <t>GD</t>
  </si>
  <si>
    <t>gd</t>
  </si>
  <si>
    <t>GRN</t>
  </si>
  <si>
    <t>GTM: Guatemala</t>
  </si>
  <si>
    <t>Guatemala</t>
  </si>
  <si>
    <t>GCA</t>
  </si>
  <si>
    <t>GT</t>
  </si>
  <si>
    <t>GUA</t>
  </si>
  <si>
    <t>GU</t>
  </si>
  <si>
    <t>GTM</t>
  </si>
  <si>
    <t>gt</t>
  </si>
  <si>
    <t>GUT</t>
  </si>
  <si>
    <t>GIN: Guinea</t>
  </si>
  <si>
    <t>French, local languages</t>
  </si>
  <si>
    <t>Guinea</t>
  </si>
  <si>
    <t>Guinée</t>
  </si>
  <si>
    <t>RG</t>
  </si>
  <si>
    <t>GV</t>
  </si>
  <si>
    <t>GUI</t>
  </si>
  <si>
    <t>GN</t>
  </si>
  <si>
    <t>GIN</t>
  </si>
  <si>
    <t>gv</t>
  </si>
  <si>
    <t>GNB: Guinea-Bissau</t>
  </si>
  <si>
    <t>Portuguese, Crioulo, African languages</t>
  </si>
  <si>
    <t>Guinea-Bissau</t>
  </si>
  <si>
    <t>Guinée-Bissau</t>
  </si>
  <si>
    <t>PU</t>
  </si>
  <si>
    <t>GBS</t>
  </si>
  <si>
    <t>GW</t>
  </si>
  <si>
    <t>GNB</t>
  </si>
  <si>
    <t>pg</t>
  </si>
  <si>
    <t>GUB</t>
  </si>
  <si>
    <t>GUY: Guyana</t>
  </si>
  <si>
    <t>English, Amerindian dialects, Creole, Caribbean Hindustani, Urdu</t>
  </si>
  <si>
    <t>Guyana</t>
  </si>
  <si>
    <t>GUY</t>
  </si>
  <si>
    <t>GY</t>
  </si>
  <si>
    <t>gy</t>
  </si>
  <si>
    <t>HTI: Haiti</t>
  </si>
  <si>
    <t>French, Creole</t>
  </si>
  <si>
    <t>Haiti</t>
  </si>
  <si>
    <t>Haïti</t>
  </si>
  <si>
    <t>HA</t>
  </si>
  <si>
    <t>HAI</t>
  </si>
  <si>
    <t>HTI</t>
  </si>
  <si>
    <t>ht</t>
  </si>
  <si>
    <t>HT</t>
  </si>
  <si>
    <t>HND: Honduras</t>
  </si>
  <si>
    <t>Honduras</t>
  </si>
  <si>
    <t>HO</t>
  </si>
  <si>
    <t>HON</t>
  </si>
  <si>
    <t>HND</t>
  </si>
  <si>
    <t>ho</t>
  </si>
  <si>
    <t>HN</t>
  </si>
  <si>
    <t>HUN: Hungary</t>
  </si>
  <si>
    <t>Hungarian</t>
  </si>
  <si>
    <t>Hungria</t>
  </si>
  <si>
    <t>Hongrie</t>
  </si>
  <si>
    <t>H</t>
  </si>
  <si>
    <t>HU</t>
  </si>
  <si>
    <t>HUN</t>
  </si>
  <si>
    <t>HNG</t>
  </si>
  <si>
    <t>hu</t>
  </si>
  <si>
    <t>ISL: Iceland</t>
  </si>
  <si>
    <t>Icelandic, English, Nordic languages, German</t>
  </si>
  <si>
    <t>Islandia</t>
  </si>
  <si>
    <t>Islande</t>
  </si>
  <si>
    <t>IS</t>
  </si>
  <si>
    <t>ISL</t>
  </si>
  <si>
    <t>ic</t>
  </si>
  <si>
    <t>ICE</t>
  </si>
  <si>
    <t>IL</t>
  </si>
  <si>
    <t>IND: India</t>
  </si>
  <si>
    <t>Hindi, English, Bengali, Telugu, many other official local languages</t>
  </si>
  <si>
    <t>India</t>
  </si>
  <si>
    <t>Inde</t>
  </si>
  <si>
    <t>IND</t>
  </si>
  <si>
    <t>IN</t>
  </si>
  <si>
    <t>ii</t>
  </si>
  <si>
    <t>IDN: Indonesia</t>
  </si>
  <si>
    <t>Bahasa Indonesia, English, Dutch, local dialects</t>
  </si>
  <si>
    <t>Indonesia</t>
  </si>
  <si>
    <t>Indonésie</t>
  </si>
  <si>
    <t>RI</t>
  </si>
  <si>
    <t>ID</t>
  </si>
  <si>
    <t>INA</t>
  </si>
  <si>
    <t>IDN</t>
  </si>
  <si>
    <t>INS</t>
  </si>
  <si>
    <t>io</t>
  </si>
  <si>
    <t>INO</t>
  </si>
  <si>
    <t>IRN: Iran (Islamic Republic of)</t>
  </si>
  <si>
    <t>Farsi, others</t>
  </si>
  <si>
    <t>Iran (Republica Islamica del)</t>
  </si>
  <si>
    <t>Iran (République islamique d')</t>
  </si>
  <si>
    <t>IR</t>
  </si>
  <si>
    <t>IRI</t>
  </si>
  <si>
    <t>IRN</t>
  </si>
  <si>
    <t>ir</t>
  </si>
  <si>
    <t>IRA</t>
  </si>
  <si>
    <t>IRQ: Iraq</t>
  </si>
  <si>
    <t>Arabic, Kurdish, Turkmen, Assyrian, Armenian</t>
  </si>
  <si>
    <t>Iraq</t>
  </si>
  <si>
    <t>IRQ</t>
  </si>
  <si>
    <t>IZ</t>
  </si>
  <si>
    <t>IQ</t>
  </si>
  <si>
    <t>iq</t>
  </si>
  <si>
    <t>IRL: Ireland</t>
  </si>
  <si>
    <t>English, Irish</t>
  </si>
  <si>
    <t>Irlanda</t>
  </si>
  <si>
    <t>Irlande</t>
  </si>
  <si>
    <t>IRL</t>
  </si>
  <si>
    <t>EI</t>
  </si>
  <si>
    <t>IE</t>
  </si>
  <si>
    <t>ie</t>
  </si>
  <si>
    <t>IRE</t>
  </si>
  <si>
    <t>ISR: Israel</t>
  </si>
  <si>
    <t>Hebrew, others</t>
  </si>
  <si>
    <t>Israel</t>
  </si>
  <si>
    <t>Israël</t>
  </si>
  <si>
    <t>ISR</t>
  </si>
  <si>
    <t>is</t>
  </si>
  <si>
    <t>ITA: Italy</t>
  </si>
  <si>
    <t>Italian</t>
  </si>
  <si>
    <t>Italia</t>
  </si>
  <si>
    <t>Italie</t>
  </si>
  <si>
    <t>I</t>
  </si>
  <si>
    <t>IT</t>
  </si>
  <si>
    <t>ITA</t>
  </si>
  <si>
    <t>it</t>
  </si>
  <si>
    <t>IY</t>
  </si>
  <si>
    <t>JAM: Jamaica</t>
  </si>
  <si>
    <t>English, English patois</t>
  </si>
  <si>
    <t>Jamaica</t>
  </si>
  <si>
    <t>Jamaïque</t>
  </si>
  <si>
    <t>JA</t>
  </si>
  <si>
    <t>JM</t>
  </si>
  <si>
    <t>JAM</t>
  </si>
  <si>
    <t>JMC</t>
  </si>
  <si>
    <t>jm</t>
  </si>
  <si>
    <t>JPN: Japan</t>
  </si>
  <si>
    <t>Japanese</t>
  </si>
  <si>
    <t>Japan</t>
  </si>
  <si>
    <t>Japon</t>
  </si>
  <si>
    <t>J</t>
  </si>
  <si>
    <t>JPN</t>
  </si>
  <si>
    <t>JP</t>
  </si>
  <si>
    <t>ja</t>
  </si>
  <si>
    <t>JOR: Jordan</t>
  </si>
  <si>
    <t>Jordania</t>
  </si>
  <si>
    <t>Jordanie</t>
  </si>
  <si>
    <t>HKJ</t>
  </si>
  <si>
    <t>JO</t>
  </si>
  <si>
    <t>JOR</t>
  </si>
  <si>
    <t>jo</t>
  </si>
  <si>
    <t>JD</t>
  </si>
  <si>
    <t>KAZ: Kazakhstan</t>
  </si>
  <si>
    <t>Kazakh, Russian</t>
  </si>
  <si>
    <t>Kazajstan</t>
  </si>
  <si>
    <t>Kazakhstan</t>
  </si>
  <si>
    <t>KZ</t>
  </si>
  <si>
    <t>KAZ</t>
  </si>
  <si>
    <t>kz</t>
  </si>
  <si>
    <t>KEN: Kenya</t>
  </si>
  <si>
    <t>English, Kiswahili, numerous indigenous languages</t>
  </si>
  <si>
    <t>Kenya</t>
  </si>
  <si>
    <t>EAK</t>
  </si>
  <si>
    <t>KE</t>
  </si>
  <si>
    <t>KEN</t>
  </si>
  <si>
    <t>ke</t>
  </si>
  <si>
    <t>KIR: Kiribati</t>
  </si>
  <si>
    <t>I-Kiribati, English</t>
  </si>
  <si>
    <t>Kiribati</t>
  </si>
  <si>
    <t>KIR</t>
  </si>
  <si>
    <t>KB</t>
  </si>
  <si>
    <t>gb</t>
  </si>
  <si>
    <t>KI</t>
  </si>
  <si>
    <t>KWT: Kuwait</t>
  </si>
  <si>
    <t>Kuwait</t>
  </si>
  <si>
    <t>Koweït</t>
  </si>
  <si>
    <t>KWT</t>
  </si>
  <si>
    <t>KUW</t>
  </si>
  <si>
    <t>KW</t>
  </si>
  <si>
    <t>ku</t>
  </si>
  <si>
    <t>KGZ: Kyrgyzstan</t>
  </si>
  <si>
    <t>Kyrgyz, Uzbek, Russian , others</t>
  </si>
  <si>
    <t>Kirguistan</t>
  </si>
  <si>
    <t>Kirghizistan</t>
  </si>
  <si>
    <t>KS</t>
  </si>
  <si>
    <t>KG</t>
  </si>
  <si>
    <t>KGZ</t>
  </si>
  <si>
    <t>kg</t>
  </si>
  <si>
    <t>LAO: Lao People's Democratic Republic</t>
  </si>
  <si>
    <t>Lao, French, English, various ethnic languages</t>
  </si>
  <si>
    <t>Republica Democratica Popular Lao</t>
  </si>
  <si>
    <t>République démocratique populaire lao</t>
  </si>
  <si>
    <t>LAO</t>
  </si>
  <si>
    <t>LA</t>
  </si>
  <si>
    <t>ls</t>
  </si>
  <si>
    <t>LVA: Latvia</t>
  </si>
  <si>
    <t>Latvian, Russian, Lithuanian</t>
  </si>
  <si>
    <t>Letonia</t>
  </si>
  <si>
    <t>Lettonie</t>
  </si>
  <si>
    <t>LV</t>
  </si>
  <si>
    <t>LG</t>
  </si>
  <si>
    <t>LAT</t>
  </si>
  <si>
    <t>LVA</t>
  </si>
  <si>
    <t>lv</t>
  </si>
  <si>
    <t>LBN: Lebanon</t>
  </si>
  <si>
    <t>Arabic, French, English, Armenian</t>
  </si>
  <si>
    <t>Libano</t>
  </si>
  <si>
    <t>Liban</t>
  </si>
  <si>
    <t>RL</t>
  </si>
  <si>
    <t>LE</t>
  </si>
  <si>
    <t>LIB</t>
  </si>
  <si>
    <t>LB</t>
  </si>
  <si>
    <t>LBN</t>
  </si>
  <si>
    <t>le</t>
  </si>
  <si>
    <t>LEB</t>
  </si>
  <si>
    <t>LSO: Lesotho</t>
  </si>
  <si>
    <t>Sesotho, English, Zulu, Xhosa</t>
  </si>
  <si>
    <t>Lesotho</t>
  </si>
  <si>
    <t>LS</t>
  </si>
  <si>
    <t>LT</t>
  </si>
  <si>
    <t>LES</t>
  </si>
  <si>
    <t>LSO</t>
  </si>
  <si>
    <t>lo</t>
  </si>
  <si>
    <t>LBR: Liberia</t>
  </si>
  <si>
    <t>English, some 20 ethnic languages</t>
  </si>
  <si>
    <t>Liberia</t>
  </si>
  <si>
    <t>Libéria</t>
  </si>
  <si>
    <t>LI</t>
  </si>
  <si>
    <t>LBR</t>
  </si>
  <si>
    <t>LR</t>
  </si>
  <si>
    <t>lb</t>
  </si>
  <si>
    <t>LBY: Libya</t>
  </si>
  <si>
    <t>Arabic, Italian, English, Berber</t>
  </si>
  <si>
    <t>Libia</t>
  </si>
  <si>
    <t>Libye</t>
  </si>
  <si>
    <t>LAR</t>
  </si>
  <si>
    <t>LY</t>
  </si>
  <si>
    <t>LBA</t>
  </si>
  <si>
    <t>LBY</t>
  </si>
  <si>
    <t>ly</t>
  </si>
  <si>
    <t>LIY</t>
  </si>
  <si>
    <t>LTU: Lithuania</t>
  </si>
  <si>
    <t>Lithuanian, Russian, others</t>
  </si>
  <si>
    <t>Lituania</t>
  </si>
  <si>
    <t>Lituanie</t>
  </si>
  <si>
    <t>LH</t>
  </si>
  <si>
    <t>LTU</t>
  </si>
  <si>
    <t>li</t>
  </si>
  <si>
    <t>LUX: Luxembourg</t>
  </si>
  <si>
    <t>German, French, Luxembourgish</t>
  </si>
  <si>
    <t>Luxemburgo</t>
  </si>
  <si>
    <t>Luxembourg</t>
  </si>
  <si>
    <t>L</t>
  </si>
  <si>
    <t>LU</t>
  </si>
  <si>
    <t>LUX</t>
  </si>
  <si>
    <t>lu</t>
  </si>
  <si>
    <t>MDG: Madagascar</t>
  </si>
  <si>
    <t>French, Malagasy, English</t>
  </si>
  <si>
    <t>Madagascar</t>
  </si>
  <si>
    <t>RM</t>
  </si>
  <si>
    <t>MA</t>
  </si>
  <si>
    <t>MAD</t>
  </si>
  <si>
    <t>MG</t>
  </si>
  <si>
    <t>MDG</t>
  </si>
  <si>
    <t>mg</t>
  </si>
  <si>
    <t>MWI: Malawi</t>
  </si>
  <si>
    <t>Chichewa, Chinyanja, Chiyao, Chitumbuka, other local languages</t>
  </si>
  <si>
    <t>Malawi</t>
  </si>
  <si>
    <t>MW</t>
  </si>
  <si>
    <t>MI</t>
  </si>
  <si>
    <t>MWI</t>
  </si>
  <si>
    <t>MAL</t>
  </si>
  <si>
    <t>mw</t>
  </si>
  <si>
    <t>MAW</t>
  </si>
  <si>
    <t>MYS: Malaysia</t>
  </si>
  <si>
    <t>Bahasa Malaysia, English, Chinese, Tamil, Telugu, Malayalam, Panjabi, Thai, indigenous languages</t>
  </si>
  <si>
    <t>Malasia</t>
  </si>
  <si>
    <t>Malaisie</t>
  </si>
  <si>
    <t>MY</t>
  </si>
  <si>
    <t>MAS</t>
  </si>
  <si>
    <t>MYS</t>
  </si>
  <si>
    <t>MLA</t>
  </si>
  <si>
    <t>my</t>
  </si>
  <si>
    <t>MAA</t>
  </si>
  <si>
    <t>MS</t>
  </si>
  <si>
    <t>MDV: Maldives</t>
  </si>
  <si>
    <t>Divehi, English</t>
  </si>
  <si>
    <t>Maldivas</t>
  </si>
  <si>
    <t>Maldives</t>
  </si>
  <si>
    <t>MV</t>
  </si>
  <si>
    <t>MDV</t>
  </si>
  <si>
    <t>MLD</t>
  </si>
  <si>
    <t>xc</t>
  </si>
  <si>
    <t>MAV</t>
  </si>
  <si>
    <t>MLI: Mali</t>
  </si>
  <si>
    <t>French, Bambara, others</t>
  </si>
  <si>
    <t>Mali</t>
  </si>
  <si>
    <t>RMM</t>
  </si>
  <si>
    <t>ML</t>
  </si>
  <si>
    <t>MLI</t>
  </si>
  <si>
    <t>ml</t>
  </si>
  <si>
    <t>MAI</t>
  </si>
  <si>
    <t>MLT: Malta</t>
  </si>
  <si>
    <t>Maltese, English</t>
  </si>
  <si>
    <t>Malta</t>
  </si>
  <si>
    <t>Malte</t>
  </si>
  <si>
    <t>MT</t>
  </si>
  <si>
    <t>MLT</t>
  </si>
  <si>
    <t>mm</t>
  </si>
  <si>
    <t>MAT</t>
  </si>
  <si>
    <t>MHL: Marshall Islands</t>
  </si>
  <si>
    <t>Islas Marshall</t>
  </si>
  <si>
    <t>Îles Marshall</t>
  </si>
  <si>
    <t>MSH</t>
  </si>
  <si>
    <t>MH</t>
  </si>
  <si>
    <t>MHL</t>
  </si>
  <si>
    <t>xe</t>
  </si>
  <si>
    <t>MSI</t>
  </si>
  <si>
    <t>MRT: Mauritania</t>
  </si>
  <si>
    <t>Arabic, French, local languages</t>
  </si>
  <si>
    <t>Mauritania</t>
  </si>
  <si>
    <t>Mauritanie</t>
  </si>
  <si>
    <t>RIM</t>
  </si>
  <si>
    <t>MR</t>
  </si>
  <si>
    <t>MTN</t>
  </si>
  <si>
    <t>MRT</t>
  </si>
  <si>
    <t>mu</t>
  </si>
  <si>
    <t>MAU</t>
  </si>
  <si>
    <t>MUS: Mauritius</t>
  </si>
  <si>
    <t>Creole, Bhojpuri, French, English, others</t>
  </si>
  <si>
    <t>Mauricio</t>
  </si>
  <si>
    <t>Maurice</t>
  </si>
  <si>
    <t>MP</t>
  </si>
  <si>
    <t>MRI</t>
  </si>
  <si>
    <t>MU</t>
  </si>
  <si>
    <t>MUS</t>
  </si>
  <si>
    <t>mf</t>
  </si>
  <si>
    <t>MEX: Mexico</t>
  </si>
  <si>
    <t>Spanish, indigenous languages</t>
  </si>
  <si>
    <t>Mexico</t>
  </si>
  <si>
    <t>Mexique</t>
  </si>
  <si>
    <t>MEX</t>
  </si>
  <si>
    <t>MX</t>
  </si>
  <si>
    <t>mx</t>
  </si>
  <si>
    <t>FSM: Micronesia (Federated States of)</t>
  </si>
  <si>
    <t>English, many local languages</t>
  </si>
  <si>
    <t>Micronesia (Estados Federados de)</t>
  </si>
  <si>
    <t>Micronésie (États fédérés de)</t>
  </si>
  <si>
    <t>FM</t>
  </si>
  <si>
    <t>FSM</t>
  </si>
  <si>
    <t>MIC</t>
  </si>
  <si>
    <t>fm</t>
  </si>
  <si>
    <t>MCO: Monaco</t>
  </si>
  <si>
    <t>Monaco</t>
  </si>
  <si>
    <t>MC</t>
  </si>
  <si>
    <t>MN</t>
  </si>
  <si>
    <t>MON</t>
  </si>
  <si>
    <t>MCO</t>
  </si>
  <si>
    <t>mc</t>
  </si>
  <si>
    <t>MNG: Mongolia</t>
  </si>
  <si>
    <t>Mongolian, Turkic, Russian</t>
  </si>
  <si>
    <t>Mongolia</t>
  </si>
  <si>
    <t>Mongolie</t>
  </si>
  <si>
    <t>MGL</t>
  </si>
  <si>
    <t>MNG</t>
  </si>
  <si>
    <t>mp</t>
  </si>
  <si>
    <t>MOG</t>
  </si>
  <si>
    <t>MO</t>
  </si>
  <si>
    <t>ME1: The former state union Serbia and Montenegro</t>
  </si>
  <si>
    <t>Lower-middle-income</t>
  </si>
  <si>
    <t>Yes</t>
  </si>
  <si>
    <t>MJ</t>
  </si>
  <si>
    <t>MGO</t>
  </si>
  <si>
    <t>MNE</t>
  </si>
  <si>
    <t>ME</t>
  </si>
  <si>
    <t>ME1</t>
  </si>
  <si>
    <t>MAR: Morocco</t>
  </si>
  <si>
    <t>Arabic, Berber languages, French</t>
  </si>
  <si>
    <t>Marruecos</t>
  </si>
  <si>
    <t>Maroc</t>
  </si>
  <si>
    <t>MAR</t>
  </si>
  <si>
    <t>MRC</t>
  </si>
  <si>
    <t>mr</t>
  </si>
  <si>
    <t>MOR</t>
  </si>
  <si>
    <t>MOZ: Mozambique</t>
  </si>
  <si>
    <t>Emakhuwa, Portuguese, Xichangana, other Mozambican languages</t>
  </si>
  <si>
    <t>Mozambique</t>
  </si>
  <si>
    <t>MOC</t>
  </si>
  <si>
    <t>MZ</t>
  </si>
  <si>
    <t>MOZ</t>
  </si>
  <si>
    <t>mz</t>
  </si>
  <si>
    <t>MMR: Myanmar</t>
  </si>
  <si>
    <t>Burmese, ethnic group languages</t>
  </si>
  <si>
    <t>Myanmar</t>
  </si>
  <si>
    <t>BM</t>
  </si>
  <si>
    <t>MYA</t>
  </si>
  <si>
    <t>MM</t>
  </si>
  <si>
    <t>MMR</t>
  </si>
  <si>
    <t>BRM</t>
  </si>
  <si>
    <t>br</t>
  </si>
  <si>
    <t>NAM: Namibia</t>
  </si>
  <si>
    <t>English, Afrikaans, German, indigenous languages</t>
  </si>
  <si>
    <t>Namibia</t>
  </si>
  <si>
    <t>Namibie</t>
  </si>
  <si>
    <t>NAM</t>
  </si>
  <si>
    <t>WA</t>
  </si>
  <si>
    <t>NM</t>
  </si>
  <si>
    <t>NMB</t>
  </si>
  <si>
    <t>sx</t>
  </si>
  <si>
    <t>NA</t>
  </si>
  <si>
    <t>NRU: Nauru</t>
  </si>
  <si>
    <t>Nauru</t>
  </si>
  <si>
    <t>NAU</t>
  </si>
  <si>
    <t>NR</t>
  </si>
  <si>
    <t>NRU</t>
  </si>
  <si>
    <t>nu</t>
  </si>
  <si>
    <t>NW</t>
  </si>
  <si>
    <t>NPL: Nepal</t>
  </si>
  <si>
    <t>Nepali, Maithali, Bhojpuri, Tharu, others</t>
  </si>
  <si>
    <t>Nepal</t>
  </si>
  <si>
    <t>Népal</t>
  </si>
  <si>
    <t>NEP</t>
  </si>
  <si>
    <t>NP</t>
  </si>
  <si>
    <t>NPL</t>
  </si>
  <si>
    <t>np</t>
  </si>
  <si>
    <t>NLD: Netherlands (Kingdom of the)</t>
  </si>
  <si>
    <t>Dutch, Frisian</t>
  </si>
  <si>
    <t>Paises Bajos</t>
  </si>
  <si>
    <t>Pays-Bas</t>
  </si>
  <si>
    <t>NL</t>
  </si>
  <si>
    <t>NED</t>
  </si>
  <si>
    <t>NLD</t>
  </si>
  <si>
    <t>HOL</t>
  </si>
  <si>
    <t>ne</t>
  </si>
  <si>
    <t>NET</t>
  </si>
  <si>
    <t>NZL: New Zealand</t>
  </si>
  <si>
    <t>English, Maori, others</t>
  </si>
  <si>
    <t>Nueva Zelandia</t>
  </si>
  <si>
    <t>Nouvelle-Zélande</t>
  </si>
  <si>
    <t>NZL</t>
  </si>
  <si>
    <t>nz</t>
  </si>
  <si>
    <t>NEZ</t>
  </si>
  <si>
    <t>NIC: Nicaragua</t>
  </si>
  <si>
    <t>Nicaragua</t>
  </si>
  <si>
    <t>NIC</t>
  </si>
  <si>
    <t>NU</t>
  </si>
  <si>
    <t>NCA</t>
  </si>
  <si>
    <t>NK</t>
  </si>
  <si>
    <t>NCG</t>
  </si>
  <si>
    <t>nq</t>
  </si>
  <si>
    <t>NI</t>
  </si>
  <si>
    <t>NER: Niger</t>
  </si>
  <si>
    <t>French, Hausa, Djerma</t>
  </si>
  <si>
    <t>Niger</t>
  </si>
  <si>
    <t>RN</t>
  </si>
  <si>
    <t>NG</t>
  </si>
  <si>
    <t>NIG</t>
  </si>
  <si>
    <t>NE</t>
  </si>
  <si>
    <t>NER</t>
  </si>
  <si>
    <t>NGR</t>
  </si>
  <si>
    <t>ng</t>
  </si>
  <si>
    <t>NGA: Nigeria</t>
  </si>
  <si>
    <t>English, Hausa, Yoruba, hundreds of indigenous languages</t>
  </si>
  <si>
    <t>Nigeria</t>
  </si>
  <si>
    <t>Nigéria</t>
  </si>
  <si>
    <t>NGA</t>
  </si>
  <si>
    <t>nr</t>
  </si>
  <si>
    <t>NIE</t>
  </si>
  <si>
    <t>NIU: Niue</t>
  </si>
  <si>
    <t>English, Niuean</t>
  </si>
  <si>
    <t>Niue</t>
  </si>
  <si>
    <t>Nioué</t>
  </si>
  <si>
    <t>NIU</t>
  </si>
  <si>
    <t>xh</t>
  </si>
  <si>
    <t>Low-income</t>
  </si>
  <si>
    <t>NOR: Norway</t>
  </si>
  <si>
    <t>Bokmal Norwegian, Nynorsk Norwegian</t>
  </si>
  <si>
    <t>Noruega</t>
  </si>
  <si>
    <t>Norvège</t>
  </si>
  <si>
    <t>N</t>
  </si>
  <si>
    <t>NO</t>
  </si>
  <si>
    <t>NOR</t>
  </si>
  <si>
    <t>no</t>
  </si>
  <si>
    <t>OMN: Oman</t>
  </si>
  <si>
    <t>Arabic, English, Baluchi, Urdu, Indian dialects</t>
  </si>
  <si>
    <t>Oman</t>
  </si>
  <si>
    <t>OMN</t>
  </si>
  <si>
    <t>OMA</t>
  </si>
  <si>
    <t>OM</t>
  </si>
  <si>
    <t>mk</t>
  </si>
  <si>
    <t>PAK: Pakistan</t>
  </si>
  <si>
    <t>Punjabi, Sindhi, Saraiki, Pashtu, Urdu, Balochi, Hindko, Brahui, English, Burushaski, others</t>
  </si>
  <si>
    <t>Pakistan</t>
  </si>
  <si>
    <t>PK</t>
  </si>
  <si>
    <t>PAK</t>
  </si>
  <si>
    <t>pk</t>
  </si>
  <si>
    <t>PLW: Palau</t>
  </si>
  <si>
    <t>Palauan, Filipino, English, Chinese, others</t>
  </si>
  <si>
    <t>Palau</t>
  </si>
  <si>
    <t>Palaos</t>
  </si>
  <si>
    <t>PS</t>
  </si>
  <si>
    <t>PLW</t>
  </si>
  <si>
    <t>pw</t>
  </si>
  <si>
    <t>BLA</t>
  </si>
  <si>
    <t>PW</t>
  </si>
  <si>
    <t>PAN: Panama</t>
  </si>
  <si>
    <t>Panama</t>
  </si>
  <si>
    <t>PA</t>
  </si>
  <si>
    <t>PM</t>
  </si>
  <si>
    <t>PAN</t>
  </si>
  <si>
    <t>PNR</t>
  </si>
  <si>
    <t>pn</t>
  </si>
  <si>
    <t>PNG: Papua New Guinea</t>
  </si>
  <si>
    <t>Tok Pisin, English, Hiri Motu , some 836 indigenous languages</t>
  </si>
  <si>
    <t>Papua Nueva Guinea</t>
  </si>
  <si>
    <t>Papouasie-Nouvelle-Guinée</t>
  </si>
  <si>
    <t>PNG</t>
  </si>
  <si>
    <t>PP</t>
  </si>
  <si>
    <t>PG</t>
  </si>
  <si>
    <t>pp</t>
  </si>
  <si>
    <t>PRY: Paraguay</t>
  </si>
  <si>
    <t>Spanish, Guarani</t>
  </si>
  <si>
    <t>Paraguay</t>
  </si>
  <si>
    <t>PY</t>
  </si>
  <si>
    <t>PAR</t>
  </si>
  <si>
    <t>PRY</t>
  </si>
  <si>
    <t>PRG</t>
  </si>
  <si>
    <t>py</t>
  </si>
  <si>
    <t>PER: Peru</t>
  </si>
  <si>
    <t>Spanish, Quechua, Aymara, others</t>
  </si>
  <si>
    <t>Peru</t>
  </si>
  <si>
    <t>Pérou</t>
  </si>
  <si>
    <t>PE</t>
  </si>
  <si>
    <t>PER</t>
  </si>
  <si>
    <t>PRU</t>
  </si>
  <si>
    <t>pe</t>
  </si>
  <si>
    <t>PR</t>
  </si>
  <si>
    <t>PHL: Philippines</t>
  </si>
  <si>
    <t>Filipino, English, eight major dialects</t>
  </si>
  <si>
    <t>Filipinas</t>
  </si>
  <si>
    <t>Philippines</t>
  </si>
  <si>
    <t>RP</t>
  </si>
  <si>
    <t>PHI</t>
  </si>
  <si>
    <t>PH</t>
  </si>
  <si>
    <t>PHL</t>
  </si>
  <si>
    <t>ph</t>
  </si>
  <si>
    <t>POL: Poland</t>
  </si>
  <si>
    <t>Polish</t>
  </si>
  <si>
    <t>Polonia</t>
  </si>
  <si>
    <t>Pologne</t>
  </si>
  <si>
    <t>PL</t>
  </si>
  <si>
    <t>POL</t>
  </si>
  <si>
    <t>pl</t>
  </si>
  <si>
    <t>PRT: Portugal</t>
  </si>
  <si>
    <t>Portuguese, Mirandese</t>
  </si>
  <si>
    <t>Portugal</t>
  </si>
  <si>
    <t>P</t>
  </si>
  <si>
    <t>PO</t>
  </si>
  <si>
    <t>POR</t>
  </si>
  <si>
    <t>PT</t>
  </si>
  <si>
    <t>PRT</t>
  </si>
  <si>
    <t>po</t>
  </si>
  <si>
    <t>QAT: Qatar</t>
  </si>
  <si>
    <t>Qatar</t>
  </si>
  <si>
    <t>Q</t>
  </si>
  <si>
    <t>QA</t>
  </si>
  <si>
    <t>QAT</t>
  </si>
  <si>
    <t>qa</t>
  </si>
  <si>
    <t>QT</t>
  </si>
  <si>
    <t>KOR: Republic of Korea</t>
  </si>
  <si>
    <t>Republica de Corea</t>
  </si>
  <si>
    <t>République de Corée</t>
  </si>
  <si>
    <t>ROK</t>
  </si>
  <si>
    <t>KOR</t>
  </si>
  <si>
    <t>KO</t>
  </si>
  <si>
    <t>ko</t>
  </si>
  <si>
    <t>MDA: Republic of Moldova</t>
  </si>
  <si>
    <t>Moldovan, Russian, Gagauz</t>
  </si>
  <si>
    <t>la Republica de Moldova</t>
  </si>
  <si>
    <t>République de Moldova</t>
  </si>
  <si>
    <t>MD</t>
  </si>
  <si>
    <t>MDA</t>
  </si>
  <si>
    <t>mv</t>
  </si>
  <si>
    <t>ROU: Romania</t>
  </si>
  <si>
    <t>Romanian, others</t>
  </si>
  <si>
    <t>Rumania</t>
  </si>
  <si>
    <t>Roumanie</t>
  </si>
  <si>
    <t>RO</t>
  </si>
  <si>
    <t>ROM</t>
  </si>
  <si>
    <t>ROU</t>
  </si>
  <si>
    <t>rm</t>
  </si>
  <si>
    <t>RUS: Russian Federation</t>
  </si>
  <si>
    <t>Russian, many minority languages</t>
  </si>
  <si>
    <t>Federacion de Rusia</t>
  </si>
  <si>
    <t>Fédération de Russie</t>
  </si>
  <si>
    <t>RUS</t>
  </si>
  <si>
    <t>RS</t>
  </si>
  <si>
    <t>ru</t>
  </si>
  <si>
    <t>RWA: Rwanda</t>
  </si>
  <si>
    <t>Kinyarwanda, French, English, Kiswahili</t>
  </si>
  <si>
    <t>Rwanda</t>
  </si>
  <si>
    <t>RWA</t>
  </si>
  <si>
    <t>RW</t>
  </si>
  <si>
    <t>RRW</t>
  </si>
  <si>
    <t>rw</t>
  </si>
  <si>
    <t>KNA: Saint Kitts and Nevis</t>
  </si>
  <si>
    <t>Saint Kitts y Nevis</t>
  </si>
  <si>
    <t>Saint-Kitts-et-Nevis</t>
  </si>
  <si>
    <t>SC</t>
  </si>
  <si>
    <t>SKN</t>
  </si>
  <si>
    <t>KNA</t>
  </si>
  <si>
    <t>SCN</t>
  </si>
  <si>
    <t>xd</t>
  </si>
  <si>
    <t>LCA: Saint Lucia</t>
  </si>
  <si>
    <t>Santa Lucia</t>
  </si>
  <si>
    <t>Sainte-Lucie</t>
  </si>
  <si>
    <t>WL</t>
  </si>
  <si>
    <t>ST</t>
  </si>
  <si>
    <t>LCA</t>
  </si>
  <si>
    <t>LC</t>
  </si>
  <si>
    <t>xk</t>
  </si>
  <si>
    <t>SAL</t>
  </si>
  <si>
    <t>VCT: Saint Vincent and the Grenadines</t>
  </si>
  <si>
    <t>San Vicente y las Granadinas</t>
  </si>
  <si>
    <t>Saint-Vincent-et-les Grenadines</t>
  </si>
  <si>
    <t>WV</t>
  </si>
  <si>
    <t>VC</t>
  </si>
  <si>
    <t>VIN</t>
  </si>
  <si>
    <t>VCT</t>
  </si>
  <si>
    <t>xm</t>
  </si>
  <si>
    <t>SAV</t>
  </si>
  <si>
    <t>VG</t>
  </si>
  <si>
    <t>WSM: Samoa</t>
  </si>
  <si>
    <t>Samoan, English</t>
  </si>
  <si>
    <t>Samoa</t>
  </si>
  <si>
    <t>WS</t>
  </si>
  <si>
    <t>SAM</t>
  </si>
  <si>
    <t>ZM</t>
  </si>
  <si>
    <t>WSM</t>
  </si>
  <si>
    <t>SMO</t>
  </si>
  <si>
    <t>ws</t>
  </si>
  <si>
    <t>SMA</t>
  </si>
  <si>
    <t>SMR: San Marino</t>
  </si>
  <si>
    <t>San Marino</t>
  </si>
  <si>
    <t>Saint-Marin</t>
  </si>
  <si>
    <t>RSM</t>
  </si>
  <si>
    <t>SM</t>
  </si>
  <si>
    <t>SMR</t>
  </si>
  <si>
    <t>sm</t>
  </si>
  <si>
    <t>STP: Sao Tome and Principe</t>
  </si>
  <si>
    <t>Santo Tome y Principe</t>
  </si>
  <si>
    <t>Sao Tomé-et-Principe</t>
  </si>
  <si>
    <t>TP</t>
  </si>
  <si>
    <t>STP</t>
  </si>
  <si>
    <t>sf</t>
  </si>
  <si>
    <t>SAU: Saudi Arabia</t>
  </si>
  <si>
    <t>Arabia Saudita</t>
  </si>
  <si>
    <t>Arabie saoudite</t>
  </si>
  <si>
    <t>SA</t>
  </si>
  <si>
    <t>KSA</t>
  </si>
  <si>
    <t>SAU</t>
  </si>
  <si>
    <t>ARS</t>
  </si>
  <si>
    <t>su</t>
  </si>
  <si>
    <t>SAA</t>
  </si>
  <si>
    <t>SD</t>
  </si>
  <si>
    <t>SEN: Senegal</t>
  </si>
  <si>
    <t>French, Wolof, Pulaar, Jola, Mandinka</t>
  </si>
  <si>
    <t>Senegal</t>
  </si>
  <si>
    <t>Sénégal</t>
  </si>
  <si>
    <t>SN</t>
  </si>
  <si>
    <t>SG</t>
  </si>
  <si>
    <t>SEN</t>
  </si>
  <si>
    <t>sg</t>
  </si>
  <si>
    <t>SRB: Serbia</t>
  </si>
  <si>
    <t>Serbian, others</t>
  </si>
  <si>
    <t>Serbia</t>
  </si>
  <si>
    <t>Serbie</t>
  </si>
  <si>
    <t>SCG</t>
  </si>
  <si>
    <t>RB</t>
  </si>
  <si>
    <t>SER</t>
  </si>
  <si>
    <t>YG</t>
  </si>
  <si>
    <t>SRB</t>
  </si>
  <si>
    <t>yu</t>
  </si>
  <si>
    <t>SYC: Seychelles</t>
  </si>
  <si>
    <t>Creole, English, others</t>
  </si>
  <si>
    <t>Seychelles</t>
  </si>
  <si>
    <t>SY</t>
  </si>
  <si>
    <t>SE</t>
  </si>
  <si>
    <t>SEY</t>
  </si>
  <si>
    <t>SYC</t>
  </si>
  <si>
    <t>se</t>
  </si>
  <si>
    <t>SLE: Sierra Leone</t>
  </si>
  <si>
    <t>English, Mende, Temne, Krio</t>
  </si>
  <si>
    <t>Sierra Leona</t>
  </si>
  <si>
    <t>Sierra Leone</t>
  </si>
  <si>
    <t>WAL</t>
  </si>
  <si>
    <t>SL</t>
  </si>
  <si>
    <t>SLE</t>
  </si>
  <si>
    <t>SRL</t>
  </si>
  <si>
    <t>sl</t>
  </si>
  <si>
    <t>SIL</t>
  </si>
  <si>
    <t>SGP: Singapore</t>
  </si>
  <si>
    <t>Mandarin, English, Malay, Hokkien, others</t>
  </si>
  <si>
    <t>Singapur</t>
  </si>
  <si>
    <t>Singapour</t>
  </si>
  <si>
    <t>SGP</t>
  </si>
  <si>
    <t>SIN</t>
  </si>
  <si>
    <t>SR</t>
  </si>
  <si>
    <t>SNG</t>
  </si>
  <si>
    <t>si</t>
  </si>
  <si>
    <t>SVK: Slovakia</t>
  </si>
  <si>
    <t>Slovak, Hungarian, others</t>
  </si>
  <si>
    <t>Eslovaquia</t>
  </si>
  <si>
    <t>Slovaquie</t>
  </si>
  <si>
    <t>SK</t>
  </si>
  <si>
    <t>LO</t>
  </si>
  <si>
    <t>SVK</t>
  </si>
  <si>
    <t>xo</t>
  </si>
  <si>
    <t>SQ</t>
  </si>
  <si>
    <t>SVN: Slovenia</t>
  </si>
  <si>
    <t>Slovenian, Serbo-Croatian, others</t>
  </si>
  <si>
    <t>Eslovenia</t>
  </si>
  <si>
    <t>Slovénie</t>
  </si>
  <si>
    <t>SLO</t>
  </si>
  <si>
    <t>SI</t>
  </si>
  <si>
    <t>LJ</t>
  </si>
  <si>
    <t>SVN</t>
  </si>
  <si>
    <t>xv</t>
  </si>
  <si>
    <t>SLB: Solomon Islands</t>
  </si>
  <si>
    <t>Melanesian pidgin, English, 120 indigenous languages</t>
  </si>
  <si>
    <t>Islas Salomon</t>
  </si>
  <si>
    <t>Îles Salomon</t>
  </si>
  <si>
    <t>BP</t>
  </si>
  <si>
    <t>SOL</t>
  </si>
  <si>
    <t>SB</t>
  </si>
  <si>
    <t>SLB</t>
  </si>
  <si>
    <t>SLM</t>
  </si>
  <si>
    <t>bp</t>
  </si>
  <si>
    <t>SO</t>
  </si>
  <si>
    <t>SOM: Somalia</t>
  </si>
  <si>
    <t>Somali, Arabic, Italian, English</t>
  </si>
  <si>
    <t>Somalia</t>
  </si>
  <si>
    <t>Somalie</t>
  </si>
  <si>
    <t>SOM</t>
  </si>
  <si>
    <t>so</t>
  </si>
  <si>
    <t>ZAF: South Africa</t>
  </si>
  <si>
    <t>IsiZulu, IsiXhosa, Afrikaans, Sepedi, English, Setswana, Sesotho, Xitsonga, siSwati, others</t>
  </si>
  <si>
    <t>Sudafrica</t>
  </si>
  <si>
    <t>Afrique du Sud</t>
  </si>
  <si>
    <t>ZA</t>
  </si>
  <si>
    <t>SF</t>
  </si>
  <si>
    <t>RSA</t>
  </si>
  <si>
    <t>ZAF</t>
  </si>
  <si>
    <t>AFS</t>
  </si>
  <si>
    <t>sa</t>
  </si>
  <si>
    <t>SOA</t>
  </si>
  <si>
    <t>ESP: Spain</t>
  </si>
  <si>
    <t>Spanish, Catalan, Galician, Basque</t>
  </si>
  <si>
    <t>Espana</t>
  </si>
  <si>
    <t>Espagne</t>
  </si>
  <si>
    <t>E</t>
  </si>
  <si>
    <t>SP</t>
  </si>
  <si>
    <t>ESP</t>
  </si>
  <si>
    <t>sp</t>
  </si>
  <si>
    <t>SPA</t>
  </si>
  <si>
    <t>LKA: Sri Lanka</t>
  </si>
  <si>
    <t>Sinhala, Tamil, others</t>
  </si>
  <si>
    <t>Sri Lanka</t>
  </si>
  <si>
    <t>LKA</t>
  </si>
  <si>
    <t>CLN</t>
  </si>
  <si>
    <t>ce</t>
  </si>
  <si>
    <t>SRI</t>
  </si>
  <si>
    <t>LK</t>
  </si>
  <si>
    <t>SDN: Sudan</t>
  </si>
  <si>
    <t>Arabic, English, Nubian, Ta Bedawie, Fur</t>
  </si>
  <si>
    <t>Sudan</t>
  </si>
  <si>
    <t>Soudan</t>
  </si>
  <si>
    <t>SUD</t>
  </si>
  <si>
    <t>SU</t>
  </si>
  <si>
    <t>SDN</t>
  </si>
  <si>
    <t>sj</t>
  </si>
  <si>
    <t>SUR: Suriname</t>
  </si>
  <si>
    <t>Dutch, English, Sranang Tongo, Caribbean Hindustani, Javanese</t>
  </si>
  <si>
    <t>Suriname</t>
  </si>
  <si>
    <t>SME</t>
  </si>
  <si>
    <t>NS</t>
  </si>
  <si>
    <t>SUR</t>
  </si>
  <si>
    <t>sr</t>
  </si>
  <si>
    <t>SWZ: Eswatini</t>
  </si>
  <si>
    <t>English, siSwati</t>
  </si>
  <si>
    <t>Eswatini</t>
  </si>
  <si>
    <t>WZ</t>
  </si>
  <si>
    <t>SWZ</t>
  </si>
  <si>
    <t>SZ</t>
  </si>
  <si>
    <t>sq</t>
  </si>
  <si>
    <t>SWE: Sweden</t>
  </si>
  <si>
    <t>Swedish, others</t>
  </si>
  <si>
    <t>Suecia</t>
  </si>
  <si>
    <t>Suède</t>
  </si>
  <si>
    <t>S</t>
  </si>
  <si>
    <t>SW</t>
  </si>
  <si>
    <t>SWE</t>
  </si>
  <si>
    <t>sw</t>
  </si>
  <si>
    <t>CHE: Switzerland</t>
  </si>
  <si>
    <t>German, French, Italian, Romansch, others</t>
  </si>
  <si>
    <t>CHE</t>
  </si>
  <si>
    <t>SWI</t>
  </si>
  <si>
    <t>sz</t>
  </si>
  <si>
    <t>SUI</t>
  </si>
  <si>
    <t>Suiza</t>
  </si>
  <si>
    <t>Suisse</t>
  </si>
  <si>
    <t>SYR: Syrian Arab Republic</t>
  </si>
  <si>
    <t>Arabic, Kurdish, Armenian, Aramaic, Circassian, French</t>
  </si>
  <si>
    <t>Republica Arabe Siria</t>
  </si>
  <si>
    <t>République arabe syrienne</t>
  </si>
  <si>
    <t>SYR</t>
  </si>
  <si>
    <t>sy</t>
  </si>
  <si>
    <t>TJK: Tajikistan</t>
  </si>
  <si>
    <t>Tajik, Russian</t>
  </si>
  <si>
    <t>Tayikistan</t>
  </si>
  <si>
    <t>Tadjikistan</t>
  </si>
  <si>
    <t>TJ</t>
  </si>
  <si>
    <t>TI</t>
  </si>
  <si>
    <t>TJK</t>
  </si>
  <si>
    <t>ta</t>
  </si>
  <si>
    <t>TA</t>
  </si>
  <si>
    <t>THA: Thailand</t>
  </si>
  <si>
    <t>Thai, others</t>
  </si>
  <si>
    <t>Tailandia</t>
  </si>
  <si>
    <t>Thaïlande</t>
  </si>
  <si>
    <t>T</t>
  </si>
  <si>
    <t>TH</t>
  </si>
  <si>
    <t>THA</t>
  </si>
  <si>
    <t>th</t>
  </si>
  <si>
    <t>MKD: North Macedonia</t>
  </si>
  <si>
    <t>Macedonian, Albanian, others</t>
  </si>
  <si>
    <t>North Macedonia</t>
  </si>
  <si>
    <t>ex-RÃƒÂ©publique yougoslave de MacÃƒÂ©doine</t>
  </si>
  <si>
    <t>MK</t>
  </si>
  <si>
    <t>MKD</t>
  </si>
  <si>
    <t>xn</t>
  </si>
  <si>
    <t>TLS: Timor-Leste</t>
  </si>
  <si>
    <t>Tetum, Portuguese, Indonesian, English</t>
  </si>
  <si>
    <t>Timor-Leste</t>
  </si>
  <si>
    <t>TT</t>
  </si>
  <si>
    <t>TLS</t>
  </si>
  <si>
    <t>TL</t>
  </si>
  <si>
    <t>TMP</t>
  </si>
  <si>
    <t>em</t>
  </si>
  <si>
    <t>TM</t>
  </si>
  <si>
    <t>TGO: Togo</t>
  </si>
  <si>
    <t>French, Ewe, Mina, Kabye, Dagomba</t>
  </si>
  <si>
    <t>Togo (el)</t>
  </si>
  <si>
    <t>Togo</t>
  </si>
  <si>
    <t>TG</t>
  </si>
  <si>
    <t>TO</t>
  </si>
  <si>
    <t>TOG</t>
  </si>
  <si>
    <t>TGO</t>
  </si>
  <si>
    <t>tg</t>
  </si>
  <si>
    <t>TON: Tonga</t>
  </si>
  <si>
    <t>Tongan, English</t>
  </si>
  <si>
    <t>Tonga</t>
  </si>
  <si>
    <t>TN</t>
  </si>
  <si>
    <t>TON</t>
  </si>
  <si>
    <t>to</t>
  </si>
  <si>
    <t>TGA</t>
  </si>
  <si>
    <t>TTO: Trinidad and Tobago</t>
  </si>
  <si>
    <t>English, Caribbean Hindustani, French, Spanish, Chinese</t>
  </si>
  <si>
    <t>Trinidad y Tabago</t>
  </si>
  <si>
    <t>Trinité-et-Tobago</t>
  </si>
  <si>
    <t>TRI</t>
  </si>
  <si>
    <t>TTO</t>
  </si>
  <si>
    <t>TRD</t>
  </si>
  <si>
    <t>tr</t>
  </si>
  <si>
    <t>TRT</t>
  </si>
  <si>
    <t>TUN: Tunisia</t>
  </si>
  <si>
    <t>Arabic, French, Berber</t>
  </si>
  <si>
    <t>Tunez</t>
  </si>
  <si>
    <t>Tunisie</t>
  </si>
  <si>
    <t>TS</t>
  </si>
  <si>
    <t>TUN</t>
  </si>
  <si>
    <t>ti</t>
  </si>
  <si>
    <t>TUR: Turkiye</t>
  </si>
  <si>
    <t>Turkish, Kurdish, other minority languages</t>
  </si>
  <si>
    <t>Türkiye</t>
  </si>
  <si>
    <t>TR</t>
  </si>
  <si>
    <t>TU</t>
  </si>
  <si>
    <t>TUR</t>
  </si>
  <si>
    <t>tu</t>
  </si>
  <si>
    <t>TKM: Turkmenistan</t>
  </si>
  <si>
    <t>Turkmen, Russian, Uzbek, others</t>
  </si>
  <si>
    <t>Turkmenistan</t>
  </si>
  <si>
    <t>Turkménistan</t>
  </si>
  <si>
    <t>TX</t>
  </si>
  <si>
    <t>TKM</t>
  </si>
  <si>
    <t>tk</t>
  </si>
  <si>
    <t>TUV: Tuvalu</t>
  </si>
  <si>
    <t>Tuvaluan, English, Samoan, Kiribati</t>
  </si>
  <si>
    <t>Tuvalu</t>
  </si>
  <si>
    <t>TV</t>
  </si>
  <si>
    <t>TUV</t>
  </si>
  <si>
    <t>tv</t>
  </si>
  <si>
    <t>UGA: Uganda</t>
  </si>
  <si>
    <t>English, Ganda, other Niger-Congo languages, Nilo-Saharan languages, Swahili, Arabic</t>
  </si>
  <si>
    <t>Uganda</t>
  </si>
  <si>
    <t>Ouganda</t>
  </si>
  <si>
    <t>EAU</t>
  </si>
  <si>
    <t>UG</t>
  </si>
  <si>
    <t>UGA</t>
  </si>
  <si>
    <t>ug</t>
  </si>
  <si>
    <t>UKR: Ukraine</t>
  </si>
  <si>
    <t>Ukrainian, Russian, others</t>
  </si>
  <si>
    <t>Ucrania</t>
  </si>
  <si>
    <t>Ukraine</t>
  </si>
  <si>
    <t>UA</t>
  </si>
  <si>
    <t>UP</t>
  </si>
  <si>
    <t>UKR</t>
  </si>
  <si>
    <t>UR</t>
  </si>
  <si>
    <t>un</t>
  </si>
  <si>
    <t>ARE: United Arab Emirates</t>
  </si>
  <si>
    <t>Arabic, Persian, English, Hindi, Urdu</t>
  </si>
  <si>
    <t>AE</t>
  </si>
  <si>
    <t>UAE</t>
  </si>
  <si>
    <t>ARE</t>
  </si>
  <si>
    <t>ts</t>
  </si>
  <si>
    <t>Emiratos A�rabes Unidos</t>
  </si>
  <si>
    <t>Émirats arabes unis</t>
  </si>
  <si>
    <t>GBR: United Kingdom of Great Britain and Northern Ireland</t>
  </si>
  <si>
    <t>Reino Unido de Gran Bretana e Irlanda del Norte</t>
  </si>
  <si>
    <t>Royaume-Uni de Grande-Bretagne et d'Irlande du Nord</t>
  </si>
  <si>
    <t>UK</t>
  </si>
  <si>
    <t>GBR</t>
  </si>
  <si>
    <t>xxk</t>
  </si>
  <si>
    <t>UNK</t>
  </si>
  <si>
    <t>TZA: United Republic of Tanzania</t>
  </si>
  <si>
    <t>Swahili, Kiunguja, English, Arabic, many local languages</t>
  </si>
  <si>
    <t>Republica Unida de Tanzania</t>
  </si>
  <si>
    <t>République-Unie de Tanzanie</t>
  </si>
  <si>
    <t>EAT</t>
  </si>
  <si>
    <t>TZ</t>
  </si>
  <si>
    <t>TAN</t>
  </si>
  <si>
    <t>TZA</t>
  </si>
  <si>
    <t>tz</t>
  </si>
  <si>
    <t>USA: United States of America</t>
  </si>
  <si>
    <t>Estados Unidos de America</t>
  </si>
  <si>
    <t>États-Unis d'Amérique</t>
  </si>
  <si>
    <t>USA</t>
  </si>
  <si>
    <t>US</t>
  </si>
  <si>
    <t>xxu</t>
  </si>
  <si>
    <t>URY: Uruguay</t>
  </si>
  <si>
    <t>Spanish, Portunol, Brazilero</t>
  </si>
  <si>
    <t>Uruguay</t>
  </si>
  <si>
    <t>UY</t>
  </si>
  <si>
    <t>URU</t>
  </si>
  <si>
    <t>URY</t>
  </si>
  <si>
    <t>URG</t>
  </si>
  <si>
    <t>uy</t>
  </si>
  <si>
    <t>UZB: Uzbekistan</t>
  </si>
  <si>
    <t>Uzbek, Russian, Tajik, others</t>
  </si>
  <si>
    <t>Uzbekistan</t>
  </si>
  <si>
    <t>Ouzbékistan</t>
  </si>
  <si>
    <t>UZ</t>
  </si>
  <si>
    <t>UZB</t>
  </si>
  <si>
    <t>uz</t>
  </si>
  <si>
    <t>VUT: Vanuatu</t>
  </si>
  <si>
    <t>Pidgin, English, French, more than 100 local languages, others</t>
  </si>
  <si>
    <t>Vanuatu</t>
  </si>
  <si>
    <t>NH</t>
  </si>
  <si>
    <t>VAN</t>
  </si>
  <si>
    <t>VU</t>
  </si>
  <si>
    <t>VUT</t>
  </si>
  <si>
    <t>nn</t>
  </si>
  <si>
    <t>NV</t>
  </si>
  <si>
    <t>VEN: Venezuela (Bolivarian Republic of)</t>
  </si>
  <si>
    <t>Spanish, numerous indigenous dialects</t>
  </si>
  <si>
    <t>Venezuela (Republica Bolivariana de)</t>
  </si>
  <si>
    <t>Venezuela (République bolivarienne du)</t>
  </si>
  <si>
    <t>YV</t>
  </si>
  <si>
    <t>VE</t>
  </si>
  <si>
    <t>VEN</t>
  </si>
  <si>
    <t>ve</t>
  </si>
  <si>
    <t>VN</t>
  </si>
  <si>
    <t>VNM: Viet Nam</t>
  </si>
  <si>
    <t>Vietnamese, others</t>
  </si>
  <si>
    <t>Viet Nam</t>
  </si>
  <si>
    <t>VM</t>
  </si>
  <si>
    <t>VIE</t>
  </si>
  <si>
    <t>VNM</t>
  </si>
  <si>
    <t>VTN</t>
  </si>
  <si>
    <t>vm</t>
  </si>
  <si>
    <t>VS</t>
  </si>
  <si>
    <t>YEM: Yemen</t>
  </si>
  <si>
    <t>Yemen</t>
  </si>
  <si>
    <t>Yémen</t>
  </si>
  <si>
    <t>YAR</t>
  </si>
  <si>
    <t>YM</t>
  </si>
  <si>
    <t>YEM</t>
  </si>
  <si>
    <t>YE</t>
  </si>
  <si>
    <t>ye</t>
  </si>
  <si>
    <t>ZMB: Zambia</t>
  </si>
  <si>
    <t>English, 11 Bantu languages, Nyanja, Tonga, Lozi, Chewa, Nsenga, others</t>
  </si>
  <si>
    <t>Zambia</t>
  </si>
  <si>
    <t>Zambie</t>
  </si>
  <si>
    <t>Z</t>
  </si>
  <si>
    <t>ZAM</t>
  </si>
  <si>
    <t>ZMB</t>
  </si>
  <si>
    <t>za</t>
  </si>
  <si>
    <t>ZB</t>
  </si>
  <si>
    <t>ZWE: Zimbabwe</t>
  </si>
  <si>
    <t>English, Shona, Sindebele, numerous tribal dialects</t>
  </si>
  <si>
    <t>Zimbabwe</t>
  </si>
  <si>
    <t>ZW</t>
  </si>
  <si>
    <t>ZI</t>
  </si>
  <si>
    <t>ZWE</t>
  </si>
  <si>
    <t>ZIM</t>
  </si>
  <si>
    <t>rh</t>
  </si>
  <si>
    <t>MNE: Montenegro</t>
  </si>
  <si>
    <t>Serbian, Montenegrin, Bosnian, Albanian, others</t>
  </si>
  <si>
    <t>Montenegro</t>
  </si>
  <si>
    <t>Monténégro</t>
  </si>
  <si>
    <t>REU: Reunion</t>
  </si>
  <si>
    <t>REU</t>
  </si>
  <si>
    <t>XOD: Rodrigues</t>
  </si>
  <si>
    <t>XOD</t>
  </si>
  <si>
    <t>AIA: Anguilla</t>
  </si>
  <si>
    <t>AIA</t>
  </si>
  <si>
    <t>ABW: Aruba</t>
  </si>
  <si>
    <t>ABW</t>
  </si>
  <si>
    <t>BMU: Bermuda</t>
  </si>
  <si>
    <t>BMU</t>
  </si>
  <si>
    <t>VGB: British Virgin Islands</t>
  </si>
  <si>
    <t>VGB</t>
  </si>
  <si>
    <t>CYM: Cayman Islands</t>
  </si>
  <si>
    <t>CYM</t>
  </si>
  <si>
    <t>FLK: Falkland Islands (Malvinas)</t>
  </si>
  <si>
    <t>FLK</t>
  </si>
  <si>
    <t>GLP: Guadeloupe</t>
  </si>
  <si>
    <t>GLP</t>
  </si>
  <si>
    <t>MTQ: Martinique</t>
  </si>
  <si>
    <t>MTQ</t>
  </si>
  <si>
    <t>MSR: Montserrat</t>
  </si>
  <si>
    <t>MSR</t>
  </si>
  <si>
    <t>ANT: Netherlands Antilles</t>
  </si>
  <si>
    <t>PRI: Puerto Rico</t>
  </si>
  <si>
    <t>PRI</t>
  </si>
  <si>
    <t>SPM: Saint Pierre and Miquelon</t>
  </si>
  <si>
    <t>SPM</t>
  </si>
  <si>
    <t>TCA: Turks and Caicos Islands</t>
  </si>
  <si>
    <t>TCA</t>
  </si>
  <si>
    <t>VIR: Virgin Islands (USA)</t>
  </si>
  <si>
    <t>VIR</t>
  </si>
  <si>
    <t>XX1: China, Province of Taiwan only</t>
  </si>
  <si>
    <t>XX1</t>
  </si>
  <si>
    <t>HKG: China, Hong Kong Special Administrative Region</t>
  </si>
  <si>
    <t>HKG</t>
  </si>
  <si>
    <t>MAC: China, Macao Special Administrative Region</t>
  </si>
  <si>
    <t>MAC</t>
  </si>
  <si>
    <t>XX4: Ryu Kyu Islands</t>
  </si>
  <si>
    <t>XX4</t>
  </si>
  <si>
    <t>XX5: Czechoslovakia, Former</t>
  </si>
  <si>
    <t>XX5</t>
  </si>
  <si>
    <t>XX6: Germany, Former Democratic Republic</t>
  </si>
  <si>
    <t>XX6</t>
  </si>
  <si>
    <t>XX7: Germany, Former Federal Republic</t>
  </si>
  <si>
    <t>XX7</t>
  </si>
  <si>
    <t>XX8: Germany, West Berlin</t>
  </si>
  <si>
    <t>XX8</t>
  </si>
  <si>
    <t>XX9: USSR, Former</t>
  </si>
  <si>
    <t>XX9</t>
  </si>
  <si>
    <t>GUF: French Guiana</t>
  </si>
  <si>
    <t>GUF</t>
  </si>
  <si>
    <t>X10: United Kingdom, England and Wales</t>
  </si>
  <si>
    <t>X10</t>
  </si>
  <si>
    <t>X11: United Kingdom, Northern Ireland</t>
  </si>
  <si>
    <t>X11</t>
  </si>
  <si>
    <t>X12: United Kingdom, Scotland</t>
  </si>
  <si>
    <t>X12</t>
  </si>
  <si>
    <t>X13: Yugoslavia, Former</t>
  </si>
  <si>
    <t>X13</t>
  </si>
  <si>
    <t>SCG: Serbia and Montenegro, Former</t>
  </si>
  <si>
    <t>PSE: occupied Palestinian territory, including east Jerusalem</t>
  </si>
  <si>
    <t>PSE</t>
  </si>
  <si>
    <t>occupied Palestinian territory</t>
  </si>
  <si>
    <t>NA: NA</t>
  </si>
  <si>
    <t>GUM: Guam</t>
  </si>
  <si>
    <t>GUM</t>
  </si>
  <si>
    <t>MYT: Mayotte</t>
  </si>
  <si>
    <t>MYT</t>
  </si>
  <si>
    <t>PYF: French Polynesia</t>
  </si>
  <si>
    <t>PYF</t>
  </si>
  <si>
    <t>FRO: Faroe Islands</t>
  </si>
  <si>
    <t>FRO</t>
  </si>
  <si>
    <t>GRL: Greenland</t>
  </si>
  <si>
    <t>GRL</t>
  </si>
  <si>
    <t>SHN: Saint Helena</t>
  </si>
  <si>
    <t>SHN</t>
  </si>
  <si>
    <t>NCL: New Caledonia</t>
  </si>
  <si>
    <t>NCL</t>
  </si>
  <si>
    <t>ASM: American Samoa</t>
  </si>
  <si>
    <t>ASM</t>
  </si>
  <si>
    <t>TKL: Tokelau</t>
  </si>
  <si>
    <t>TKL</t>
  </si>
  <si>
    <t>MNP: Northern Mariana Islands</t>
  </si>
  <si>
    <t>MNP</t>
  </si>
  <si>
    <t>GIB: Gibraltar</t>
  </si>
  <si>
    <t>GIB</t>
  </si>
  <si>
    <t>LIE: Liechtenstein</t>
  </si>
  <si>
    <t>LIE</t>
  </si>
  <si>
    <t>PCN: Pitcairn Island</t>
  </si>
  <si>
    <t>PCN</t>
  </si>
  <si>
    <t>WLF: Wallis and Futuna Islands</t>
  </si>
  <si>
    <t>WLF</t>
  </si>
  <si>
    <t>NFK: Norfolk Island</t>
  </si>
  <si>
    <t>NFK</t>
  </si>
  <si>
    <t>BES: Bonaire, Saint Eustatius and Saba</t>
  </si>
  <si>
    <t>BES</t>
  </si>
  <si>
    <t>CUW: Curaçao</t>
  </si>
  <si>
    <t>CUW</t>
  </si>
  <si>
    <t>SXM: Sint Maarten (Dutch part)</t>
  </si>
  <si>
    <t>SXM</t>
  </si>
  <si>
    <t>SSD: South Sudan</t>
  </si>
  <si>
    <t>Sudan del Sur</t>
  </si>
  <si>
    <t>Soudan du Sud</t>
  </si>
  <si>
    <t>SSD</t>
  </si>
  <si>
    <t>SDF: Sudan (former)</t>
  </si>
  <si>
    <t>SDF</t>
  </si>
  <si>
    <t>iso3</t>
  </si>
  <si>
    <t>who_region</t>
  </si>
  <si>
    <t>Column1</t>
  </si>
  <si>
    <t>country code</t>
  </si>
  <si>
    <t>type</t>
  </si>
  <si>
    <t>class</t>
  </si>
  <si>
    <t>world_bank_income_group</t>
  </si>
  <si>
    <t>world_bank_income_group_lookup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</si>
</sst>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7"/>
      <color theme="1"/>
      <name val="Inherit"/>
    </font>
    <font>
      <b/>
      <sz val="7"/>
      <color theme="1"/>
      <name val="Inherit"/>
    </font>
  </fonts>
  <fills count="3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</fills>
  <borders count="9">
    <border>
      <left/>
      <right/>
      <top/>
      <bottom/>
      <diagonal/>
    </border>
    <border>
      <left style="medium">
        <color rgb="FFCCCCCC"/>
      </left>
      <right style="medium">
        <color rgb="FFCCCCCC"/>
      </right>
      <top/>
      <bottom style="thick">
        <color rgb="FFFFFFFF"/>
      </bottom>
      <diagonal/>
    </border>
    <border>
      <left style="medium">
        <color rgb="FFCCCCCC"/>
      </left>
      <right/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/>
      <right style="medium">
        <color rgb="FFCCCCCC"/>
      </right>
      <top/>
      <bottom style="thick">
        <color rgb="FFFFFFFF"/>
      </bottom>
      <diagonal/>
    </border>
    <border>
      <left style="medium">
        <color rgb="FFCCCCCC"/>
      </left>
      <right/>
      <top style="thick">
        <color rgb="FFFFFFFF"/>
      </top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 style="medium">
        <color rgb="FFCCCCCC"/>
      </right>
      <top style="thick">
        <color rgb="FFFFFFFF"/>
      </top>
      <bottom style="thick">
        <color rgb="FFFFFFFF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3" fillId="2" borderId="2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vertical="center" wrapText="1"/>
    </xf>
    <xf numFmtId="0" fontId="3" fillId="2" borderId="4" xfId="0" applyFont="1" applyFill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3" fontId="2" fillId="0" borderId="1" xfId="0" applyNumberFormat="1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1" fillId="0" borderId="8" xfId="0" applyFont="1" applyBorder="1"/>
  </cellXfs>
  <cellStyles count="1">
    <cellStyle name="Normal" xfId="0" builtinId="0"/>
  </cellStyles>
  <dxfs count="7"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Inherit"/>
        <scheme val="none"/>
      </font>
      <fill>
        <patternFill patternType="solid">
          <fgColor indexed="64"/>
          <bgColor rgb="FFF5F5F5"/>
        </patternFill>
      </fill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apps.who.int/gho/data/node.searo-metadata.COUNTRY?lang=e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139700</xdr:colOff>
      <xdr:row>1</xdr:row>
      <xdr:rowOff>120650</xdr:rowOff>
    </xdr:from>
    <xdr:to>
      <xdr:col>11</xdr:col>
      <xdr:colOff>488950</xdr:colOff>
      <xdr:row>3</xdr:row>
      <xdr:rowOff>120650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435238-EDB3-2EF2-7580-96E76A298C96}"/>
            </a:ext>
          </a:extLst>
        </xdr:cNvPr>
        <xdr:cNvSpPr txBox="1"/>
      </xdr:nvSpPr>
      <xdr:spPr>
        <a:xfrm>
          <a:off x="3187700" y="311150"/>
          <a:ext cx="4006850" cy="711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kern="1200"/>
            <a:t>Source:</a:t>
          </a:r>
          <a:r>
            <a:rPr lang="en-US" sz="1100" kern="1200" baseline="0"/>
            <a:t>  </a:t>
          </a:r>
          <a:r>
            <a:rPr lang="en-US">
              <a:hlinkClick xmlns:r="http://schemas.openxmlformats.org/officeDocument/2006/relationships" r:id=""/>
            </a:rPr>
            <a:t>Country Codelist</a:t>
          </a:r>
          <a:endParaRPr lang="en-US"/>
        </a:p>
        <a:p>
          <a:endParaRPr lang="en-US" sz="1100" kern="12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BF5B77-9DE8-4666-B63D-F725A567F09A}" name="Table1" displayName="Table1" ref="A1:D4766" totalsRowShown="0" headerRowDxfId="6" dataDxfId="4" headerRowBorderDxfId="5">
  <autoFilter ref="A1:D4766" xr:uid="{31BF5B77-9DE8-4666-B63D-F725A567F09A}"/>
  <tableColumns count="4">
    <tableColumn id="1" xr3:uid="{BDBADB91-25B2-4A41-8B3B-B8D3274E7A7B}" name="country code" dataDxfId="3"/>
    <tableColumn id="2" xr3:uid="{E937C76D-CC1C-4CF5-BE64-039AB55FCC9C}" name="type" dataDxfId="2"/>
    <tableColumn id="3" xr3:uid="{E9C84045-8708-4764-B72E-ECD61D770BEE}" name="class" dataDxfId="1"/>
    <tableColumn id="5" xr3:uid="{4ABD8A90-77BB-4883-A3CA-912937D5A873}" name="Column1" dataDxfId="0">
      <calculatedColumnFormula>IF(ISNUMBER(FIND(":", A2)), LEFT(A2, FIND(":", A2) - 1), D1)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8BE80-E7D7-43AC-8E8E-C7ACD48B8A02}">
  <dimension ref="A1:D248"/>
  <sheetViews>
    <sheetView tabSelected="1" workbookViewId="0">
      <selection activeCell="D8" sqref="D8"/>
    </sheetView>
  </sheetViews>
  <sheetFormatPr defaultRowHeight="14.4"/>
  <cols>
    <col min="1" max="1" width="15" customWidth="1"/>
    <col min="2" max="3" width="24.5546875" customWidth="1"/>
    <col min="4" max="4" width="24.109375" customWidth="1"/>
  </cols>
  <sheetData>
    <row r="1" spans="1:4">
      <c r="A1" s="12" t="s">
        <v>1744</v>
      </c>
      <c r="B1" s="12" t="s">
        <v>1745</v>
      </c>
      <c r="C1" s="12" t="s">
        <v>1750</v>
      </c>
      <c r="D1" s="12" t="s">
        <v>1751</v>
      </c>
    </row>
    <row r="2" spans="1:4">
      <c r="A2" t="str">
        <f>INDEX('from website'!C2:C4766,MATCH("ISO:",'from website'!B2:B4766,0))</f>
        <v>AFG</v>
      </c>
      <c r="B2" t="str" cm="1">
        <f t="array" ref="B2">_xlfn.IFNA(INDEX('from website'!$C$2:$C$4766, MATCH(1, ('from website'!$B$2:$B$4766="WHO_REGION:") * ('from website'!D:D=A2), 0)), "No WHO region")</f>
        <v>Eastern Mediterranean</v>
      </c>
      <c r="C2" t="str">
        <f>LOWER(SUBSTITUTE(D2,"-"," "))</f>
        <v>low income</v>
      </c>
      <c r="D2" t="str" cm="1">
        <f t="array" ref="D2">_xlfn.IFNA(INDEX('from website'!$C$2:$C$4766, MATCH(1, ('from website'!$B$2:$B$4766="World Bank income group:") * ('from website'!D:D=A2), 0)), "No WB income group")</f>
        <v>Low income</v>
      </c>
    </row>
    <row r="3" spans="1:4">
      <c r="A3" t="str">
        <f>INDEX('from website'!C14:C4778,MATCH("ISO:",'from website'!B14:B4778,0))</f>
        <v>ALB</v>
      </c>
      <c r="B3" t="str" cm="1">
        <f t="array" ref="B3">_xlfn.IFNA(INDEX('from website'!$C$2:$C$4766, MATCH(1, ('from website'!$B$2:$B$4766="WHO_REGION:") * ('from website'!D:D=A3), 0)), "No WHO region")</f>
        <v>Europe</v>
      </c>
      <c r="C3" t="str">
        <f t="shared" ref="C3:C66" si="0">LOWER(SUBSTITUTE(D3,"-"," "))</f>
        <v>upper middle income</v>
      </c>
      <c r="D3" t="str" cm="1">
        <f t="array" ref="D3">_xlfn.IFNA(INDEX('from website'!$C$2:$C$4766, MATCH(1, ('from website'!$B$2:$B$4766="World Bank income group:") * ('from website'!D:D=A3), 0)), "No WB income group")</f>
        <v>Upper middle income</v>
      </c>
    </row>
    <row r="4" spans="1:4">
      <c r="A4" t="str">
        <f>INDEX('from website'!C43:C4807,MATCH("ISO:",'from website'!B43:B4807,0))</f>
        <v>DZA</v>
      </c>
      <c r="B4" t="str" cm="1">
        <f t="array" ref="B4">_xlfn.IFNA(INDEX('from website'!$C$2:$C$4766, MATCH(1, ('from website'!$B$2:$B$4766="WHO_REGION:") * ('from website'!D:D=A4), 0)), "No WHO region")</f>
        <v>Africa</v>
      </c>
      <c r="C4" t="str">
        <f t="shared" si="0"/>
        <v>upper middle income</v>
      </c>
      <c r="D4" t="str" cm="1">
        <f t="array" ref="D4">_xlfn.IFNA(INDEX('from website'!$C$2:$C$4766, MATCH(1, ('from website'!$B$2:$B$4766="World Bank income group:") * ('from website'!D:D=A4), 0)), "No WB income group")</f>
        <v>Upper middle income</v>
      </c>
    </row>
    <row r="5" spans="1:4">
      <c r="A5" t="str">
        <f>INDEX('from website'!C65:C4829,MATCH("ISO:",'from website'!B65:B4829,0))</f>
        <v>AND</v>
      </c>
      <c r="B5" t="str" cm="1">
        <f t="array" ref="B5">_xlfn.IFNA(INDEX('from website'!$C$2:$C$4766, MATCH(1, ('from website'!$B$2:$B$4766="WHO_REGION:") * ('from website'!D:D=A5), 0)), "No WHO region")</f>
        <v>Europe</v>
      </c>
      <c r="C5" t="str">
        <f t="shared" si="0"/>
        <v>high income</v>
      </c>
      <c r="D5" t="str" cm="1">
        <f t="array" ref="D5">_xlfn.IFNA(INDEX('from website'!$C$2:$C$4766, MATCH(1, ('from website'!$B$2:$B$4766="World Bank income group:") * ('from website'!D:D=A5), 0)), "No WB income group")</f>
        <v>High income</v>
      </c>
    </row>
    <row r="6" spans="1:4">
      <c r="A6" t="str">
        <f>INDEX('from website'!C85:C4849,MATCH("ISO:",'from website'!B85:B4849,0))</f>
        <v>AGO</v>
      </c>
      <c r="B6" t="str" cm="1">
        <f t="array" ref="B6">_xlfn.IFNA(INDEX('from website'!$C$2:$C$4766, MATCH(1, ('from website'!$B$2:$B$4766="WHO_REGION:") * ('from website'!D:D=A6), 0)), "No WHO region")</f>
        <v>Africa</v>
      </c>
      <c r="C6" t="str">
        <f t="shared" si="0"/>
        <v>lower middle income</v>
      </c>
      <c r="D6" t="str" cm="1">
        <f t="array" ref="D6">_xlfn.IFNA(INDEX('from website'!$C$2:$C$4766, MATCH(1, ('from website'!$B$2:$B$4766="World Bank income group:") * ('from website'!D:D=A6), 0)), "No WB income group")</f>
        <v>Lower middle income</v>
      </c>
    </row>
    <row r="7" spans="1:4">
      <c r="A7" t="str">
        <f>INDEX('from website'!C112:C4876,MATCH("ISO:",'from website'!B112:B4876,0))</f>
        <v>ATG</v>
      </c>
      <c r="B7" t="str" cm="1">
        <f t="array" ref="B7">_xlfn.IFNA(INDEX('from website'!$C$2:$C$4766, MATCH(1, ('from website'!$B$2:$B$4766="WHO_REGION:") * ('from website'!D:D=A7), 0)), "No WHO region")</f>
        <v>Americas</v>
      </c>
      <c r="C7" t="str">
        <f t="shared" si="0"/>
        <v>high income</v>
      </c>
      <c r="D7" t="str" cm="1">
        <f t="array" ref="D7">_xlfn.IFNA(INDEX('from website'!$C$2:$C$4766, MATCH(1, ('from website'!$B$2:$B$4766="World Bank income group:") * ('from website'!D:D=A7), 0)), "No WB income group")</f>
        <v>High income</v>
      </c>
    </row>
    <row r="8" spans="1:4">
      <c r="A8" t="str">
        <f>INDEX('from website'!C134:C4898,MATCH("ISO:",'from website'!B134:B4898,0))</f>
        <v>ARG</v>
      </c>
      <c r="B8" t="str" cm="1">
        <f t="array" ref="B8">_xlfn.IFNA(INDEX('from website'!$C$2:$C$4766, MATCH(1, ('from website'!$B$2:$B$4766="WHO_REGION:") * ('from website'!D:D=A8), 0)), "No WHO region")</f>
        <v>Americas</v>
      </c>
      <c r="C8" t="str">
        <f t="shared" si="0"/>
        <v>high income</v>
      </c>
      <c r="D8" t="str" cm="1">
        <f t="array" ref="D8">_xlfn.IFNA(INDEX('from website'!$C$2:$C$4766, MATCH(1, ('from website'!$B$2:$B$4766="World Bank income group:") * ('from website'!D:D=A8), 0)), "No WB income group")</f>
        <v>High income</v>
      </c>
    </row>
    <row r="9" spans="1:4">
      <c r="A9" t="str">
        <f>INDEX('from website'!C157:C4921,MATCH("ISO:",'from website'!B157:B4921,0))</f>
        <v>ARM</v>
      </c>
      <c r="B9" t="str" cm="1">
        <f t="array" ref="B9">_xlfn.IFNA(INDEX('from website'!$C$2:$C$4766, MATCH(1, ('from website'!$B$2:$B$4766="WHO_REGION:") * ('from website'!D:D=A9), 0)), "No WHO region")</f>
        <v>Europe</v>
      </c>
      <c r="C9" t="str">
        <f t="shared" si="0"/>
        <v>upper middle income</v>
      </c>
      <c r="D9" t="str" cm="1">
        <f t="array" ref="D9">_xlfn.IFNA(INDEX('from website'!$C$2:$C$4766, MATCH(1, ('from website'!$B$2:$B$4766="World Bank income group:") * ('from website'!D:D=A9), 0)), "No WB income group")</f>
        <v>Upper middle income</v>
      </c>
    </row>
    <row r="10" spans="1:4">
      <c r="A10" t="str">
        <f>INDEX('from website'!C178:C4942,MATCH("ISO:",'from website'!B178:B4942,0))</f>
        <v>AUS</v>
      </c>
      <c r="B10" t="str" cm="1">
        <f t="array" ref="B10">_xlfn.IFNA(INDEX('from website'!$C$2:$C$4766, MATCH(1, ('from website'!$B$2:$B$4766="WHO_REGION:") * ('from website'!D:D=A10), 0)), "No WHO region")</f>
        <v>Western Pacific</v>
      </c>
      <c r="C10" t="str">
        <f t="shared" si="0"/>
        <v>high income</v>
      </c>
      <c r="D10" t="str" cm="1">
        <f t="array" ref="D10">_xlfn.IFNA(INDEX('from website'!$C$2:$C$4766, MATCH(1, ('from website'!$B$2:$B$4766="World Bank income group:") * ('from website'!D:D=A10), 0)), "No WB income group")</f>
        <v>High income</v>
      </c>
    </row>
    <row r="11" spans="1:4">
      <c r="A11" t="str">
        <f>INDEX('from website'!C195:C4959,MATCH("ISO:",'from website'!B195:B4959,0))</f>
        <v>AUT</v>
      </c>
      <c r="B11" t="str" cm="1">
        <f t="array" ref="B11">_xlfn.IFNA(INDEX('from website'!$C$2:$C$4766, MATCH(1, ('from website'!$B$2:$B$4766="WHO_REGION:") * ('from website'!D:D=A11), 0)), "No WHO region")</f>
        <v>Europe</v>
      </c>
      <c r="C11" t="str">
        <f t="shared" si="0"/>
        <v>high income</v>
      </c>
      <c r="D11" t="str" cm="1">
        <f t="array" ref="D11">_xlfn.IFNA(INDEX('from website'!$C$2:$C$4766, MATCH(1, ('from website'!$B$2:$B$4766="World Bank income group:") * ('from website'!D:D=A11), 0)), "No WB income group")</f>
        <v>High income</v>
      </c>
    </row>
    <row r="12" spans="1:4">
      <c r="A12" t="str">
        <f>INDEX('from website'!C218:C4982,MATCH("ISO:",'from website'!B218:B4982,0))</f>
        <v>AZE</v>
      </c>
      <c r="B12" t="str" cm="1">
        <f t="array" ref="B12">_xlfn.IFNA(INDEX('from website'!$C$2:$C$4766, MATCH(1, ('from website'!$B$2:$B$4766="WHO_REGION:") * ('from website'!D:D=A12), 0)), "No WHO region")</f>
        <v>Europe</v>
      </c>
      <c r="C12" t="str">
        <f t="shared" si="0"/>
        <v>upper middle income</v>
      </c>
      <c r="D12" t="str" cm="1">
        <f t="array" ref="D12">_xlfn.IFNA(INDEX('from website'!$C$2:$C$4766, MATCH(1, ('from website'!$B$2:$B$4766="World Bank income group:") * ('from website'!D:D=A12), 0)), "No WB income group")</f>
        <v>Upper middle income</v>
      </c>
    </row>
    <row r="13" spans="1:4">
      <c r="A13" t="str">
        <f>INDEX('from website'!C244:C5008,MATCH("ISO:",'from website'!B244:B5008,0))</f>
        <v>BHS</v>
      </c>
      <c r="B13" t="str" cm="1">
        <f t="array" ref="B13">_xlfn.IFNA(INDEX('from website'!$C$2:$C$4766, MATCH(1, ('from website'!$B$2:$B$4766="WHO_REGION:") * ('from website'!D:D=A13), 0)), "No WHO region")</f>
        <v>Americas</v>
      </c>
      <c r="C13" t="str">
        <f t="shared" si="0"/>
        <v>high income</v>
      </c>
      <c r="D13" t="str" cm="1">
        <f t="array" ref="D13">_xlfn.IFNA(INDEX('from website'!$C$2:$C$4766, MATCH(1, ('from website'!$B$2:$B$4766="World Bank income group:") * ('from website'!D:D=A13), 0)), "No WB income group")</f>
        <v>High income</v>
      </c>
    </row>
    <row r="14" spans="1:4">
      <c r="A14" t="str">
        <f>INDEX('from website'!C266:C5030,MATCH("ISO:",'from website'!B266:B5030,0))</f>
        <v>BHR</v>
      </c>
      <c r="B14" t="str" cm="1">
        <f t="array" ref="B14">_xlfn.IFNA(INDEX('from website'!$C$2:$C$4766, MATCH(1, ('from website'!$B$2:$B$4766="WHO_REGION:") * ('from website'!D:D=A14), 0)), "No WHO region")</f>
        <v>Eastern Mediterranean</v>
      </c>
      <c r="C14" t="str">
        <f t="shared" si="0"/>
        <v>high income</v>
      </c>
      <c r="D14" t="str" cm="1">
        <f t="array" ref="D14">_xlfn.IFNA(INDEX('from website'!$C$2:$C$4766, MATCH(1, ('from website'!$B$2:$B$4766="World Bank income group:") * ('from website'!D:D=A14), 0)), "No WB income group")</f>
        <v>High income</v>
      </c>
    </row>
    <row r="15" spans="1:4">
      <c r="A15" t="str">
        <f>INDEX('from website'!C295:C5059,MATCH("ISO:",'from website'!B295:B5059,0))</f>
        <v>BGD</v>
      </c>
      <c r="B15" t="str" cm="1">
        <f t="array" ref="B15">_xlfn.IFNA(INDEX('from website'!$C$2:$C$4766, MATCH(1, ('from website'!$B$2:$B$4766="WHO_REGION:") * ('from website'!D:D=A15), 0)), "No WHO region")</f>
        <v>South-East Asia</v>
      </c>
      <c r="C15" t="str">
        <f t="shared" si="0"/>
        <v>lower middle income</v>
      </c>
      <c r="D15" t="str" cm="1">
        <f t="array" ref="D15">_xlfn.IFNA(INDEX('from website'!$C$2:$C$4766, MATCH(1, ('from website'!$B$2:$B$4766="World Bank income group:") * ('from website'!D:D=A15), 0)), "No WB income group")</f>
        <v>Lower middle income</v>
      </c>
    </row>
    <row r="16" spans="1:4">
      <c r="A16" t="str">
        <f>INDEX('from website'!C312:C5076,MATCH("ISO:",'from website'!B312:B5076,0))</f>
        <v>BRB</v>
      </c>
      <c r="B16" t="str" cm="1">
        <f t="array" ref="B16">_xlfn.IFNA(INDEX('from website'!$C$2:$C$4766, MATCH(1, ('from website'!$B$2:$B$4766="WHO_REGION:") * ('from website'!D:D=A16), 0)), "No WHO region")</f>
        <v>Americas</v>
      </c>
      <c r="C16" t="str">
        <f t="shared" si="0"/>
        <v>high income</v>
      </c>
      <c r="D16" t="str" cm="1">
        <f t="array" ref="D16">_xlfn.IFNA(INDEX('from website'!$C$2:$C$4766, MATCH(1, ('from website'!$B$2:$B$4766="World Bank income group:") * ('from website'!D:D=A16), 0)), "No WB income group")</f>
        <v>High income</v>
      </c>
    </row>
    <row r="17" spans="1:4">
      <c r="A17" t="str">
        <f>INDEX('from website'!C335:C5099,MATCH("ISO:",'from website'!B335:B5099,0))</f>
        <v>BLR</v>
      </c>
      <c r="B17" t="str" cm="1">
        <f t="array" ref="B17">_xlfn.IFNA(INDEX('from website'!$C$2:$C$4766, MATCH(1, ('from website'!$B$2:$B$4766="WHO_REGION:") * ('from website'!D:D=A17), 0)), "No WHO region")</f>
        <v>Europe</v>
      </c>
      <c r="C17" t="str">
        <f t="shared" si="0"/>
        <v>upper middle income</v>
      </c>
      <c r="D17" t="str" cm="1">
        <f t="array" ref="D17">_xlfn.IFNA(INDEX('from website'!$C$2:$C$4766, MATCH(1, ('from website'!$B$2:$B$4766="World Bank income group:") * ('from website'!D:D=A17), 0)), "No WB income group")</f>
        <v>Upper middle income</v>
      </c>
    </row>
    <row r="18" spans="1:4">
      <c r="A18" t="str">
        <f>INDEX('from website'!C358:C5122,MATCH("ISO:",'from website'!B358:B5122,0))</f>
        <v>BEL</v>
      </c>
      <c r="B18" t="str" cm="1">
        <f t="array" ref="B18">_xlfn.IFNA(INDEX('from website'!$C$2:$C$4766, MATCH(1, ('from website'!$B$2:$B$4766="WHO_REGION:") * ('from website'!D:D=A18), 0)), "No WHO region")</f>
        <v>Europe</v>
      </c>
      <c r="C18" t="str">
        <f t="shared" si="0"/>
        <v>high income</v>
      </c>
      <c r="D18" t="str" cm="1">
        <f t="array" ref="D18">_xlfn.IFNA(INDEX('from website'!$C$2:$C$4766, MATCH(1, ('from website'!$B$2:$B$4766="World Bank income group:") * ('from website'!D:D=A18), 0)), "No WB income group")</f>
        <v>High income</v>
      </c>
    </row>
    <row r="19" spans="1:4">
      <c r="A19" t="str">
        <f>INDEX('from website'!C381:C5145,MATCH("ISO:",'from website'!B381:B5145,0))</f>
        <v>BLZ</v>
      </c>
      <c r="B19" t="str" cm="1">
        <f t="array" ref="B19">_xlfn.IFNA(INDEX('from website'!$C$2:$C$4766, MATCH(1, ('from website'!$B$2:$B$4766="WHO_REGION:") * ('from website'!D:D=A19), 0)), "No WHO region")</f>
        <v>Americas</v>
      </c>
      <c r="C19" t="str">
        <f t="shared" si="0"/>
        <v>upper middle income</v>
      </c>
      <c r="D19" t="str" cm="1">
        <f t="array" ref="D19">_xlfn.IFNA(INDEX('from website'!$C$2:$C$4766, MATCH(1, ('from website'!$B$2:$B$4766="World Bank income group:") * ('from website'!D:D=A19), 0)), "No WB income group")</f>
        <v>Upper middle income</v>
      </c>
    </row>
    <row r="20" spans="1:4">
      <c r="A20" t="str">
        <f>INDEX('from website'!C404:C5168,MATCH("ISO:",'from website'!B404:B5168,0))</f>
        <v>BEN</v>
      </c>
      <c r="B20" t="str" cm="1">
        <f t="array" ref="B20">_xlfn.IFNA(INDEX('from website'!$C$2:$C$4766, MATCH(1, ('from website'!$B$2:$B$4766="WHO_REGION:") * ('from website'!D:D=A20), 0)), "No WHO region")</f>
        <v>Africa</v>
      </c>
      <c r="C20" t="str">
        <f t="shared" si="0"/>
        <v>low income</v>
      </c>
      <c r="D20" t="str" cm="1">
        <f t="array" ref="D20">_xlfn.IFNA(INDEX('from website'!$C$2:$C$4766, MATCH(1, ('from website'!$B$2:$B$4766="World Bank income group:") * ('from website'!D:D=A20), 0)), "No WB income group")</f>
        <v>Low income</v>
      </c>
    </row>
    <row r="21" spans="1:4">
      <c r="A21" t="str">
        <f>INDEX('from website'!C427:C5191,MATCH("ISO:",'from website'!B427:B5191,0))</f>
        <v>BTN</v>
      </c>
      <c r="B21" t="str" cm="1">
        <f t="array" ref="B21">_xlfn.IFNA(INDEX('from website'!$C$2:$C$4766, MATCH(1, ('from website'!$B$2:$B$4766="WHO_REGION:") * ('from website'!D:D=A21), 0)), "No WHO region")</f>
        <v>South-East Asia</v>
      </c>
      <c r="C21" t="str">
        <f t="shared" si="0"/>
        <v>lower middle income</v>
      </c>
      <c r="D21" t="str" cm="1">
        <f t="array" ref="D21">_xlfn.IFNA(INDEX('from website'!$C$2:$C$4766, MATCH(1, ('from website'!$B$2:$B$4766="World Bank income group:") * ('from website'!D:D=A21), 0)), "No WB income group")</f>
        <v>Lower middle income</v>
      </c>
    </row>
    <row r="22" spans="1:4">
      <c r="A22" t="str">
        <f>INDEX('from website'!C457:C5221,MATCH("ISO:",'from website'!B457:B5221,0))</f>
        <v>BOL</v>
      </c>
      <c r="B22" t="str" cm="1">
        <f t="array" ref="B22">_xlfn.IFNA(INDEX('from website'!$C$2:$C$4766, MATCH(1, ('from website'!$B$2:$B$4766="WHO_REGION:") * ('from website'!D:D=A22), 0)), "No WHO region")</f>
        <v>Americas</v>
      </c>
      <c r="C22" t="str">
        <f t="shared" si="0"/>
        <v>lower middle income</v>
      </c>
      <c r="D22" t="str" cm="1">
        <f t="array" ref="D22">_xlfn.IFNA(INDEX('from website'!$C$2:$C$4766, MATCH(1, ('from website'!$B$2:$B$4766="World Bank income group:") * ('from website'!D:D=A22), 0)), "No WB income group")</f>
        <v>Lower middle income</v>
      </c>
    </row>
    <row r="23" spans="1:4">
      <c r="A23" t="str">
        <f>INDEX('from website'!C474:C5238,MATCH("ISO:",'from website'!B474:B5238,0))</f>
        <v>BIH</v>
      </c>
      <c r="B23" t="str" cm="1">
        <f t="array" ref="B23">_xlfn.IFNA(INDEX('from website'!$C$2:$C$4766, MATCH(1, ('from website'!$B$2:$B$4766="WHO_REGION:") * ('from website'!D:D=A23), 0)), "No WHO region")</f>
        <v>Europe</v>
      </c>
      <c r="C23" t="str">
        <f t="shared" si="0"/>
        <v>upper middle income</v>
      </c>
      <c r="D23" t="str" cm="1">
        <f t="array" ref="D23">_xlfn.IFNA(INDEX('from website'!$C$2:$C$4766, MATCH(1, ('from website'!$B$2:$B$4766="World Bank income group:") * ('from website'!D:D=A23), 0)), "No WB income group")</f>
        <v>Upper middle income</v>
      </c>
    </row>
    <row r="24" spans="1:4">
      <c r="A24" t="str">
        <f>INDEX('from website'!C503:C5267,MATCH("ISO:",'from website'!B503:B5267,0))</f>
        <v>BWA</v>
      </c>
      <c r="B24" t="str" cm="1">
        <f t="array" ref="B24">_xlfn.IFNA(INDEX('from website'!$C$2:$C$4766, MATCH(1, ('from website'!$B$2:$B$4766="WHO_REGION:") * ('from website'!D:D=A24), 0)), "No WHO region")</f>
        <v>Africa</v>
      </c>
      <c r="C24" t="str">
        <f t="shared" si="0"/>
        <v>upper middle income</v>
      </c>
      <c r="D24" t="str" cm="1">
        <f t="array" ref="D24">_xlfn.IFNA(INDEX('from website'!$C$2:$C$4766, MATCH(1, ('from website'!$B$2:$B$4766="World Bank income group:") * ('from website'!D:D=A24), 0)), "No WB income group")</f>
        <v>Upper middle income</v>
      </c>
    </row>
    <row r="25" spans="1:4">
      <c r="A25" t="str">
        <f>INDEX('from website'!C526:C5290,MATCH("ISO:",'from website'!B526:B5290,0))</f>
        <v>BRA</v>
      </c>
      <c r="B25" t="str" cm="1">
        <f t="array" ref="B25">_xlfn.IFNA(INDEX('from website'!$C$2:$C$4766, MATCH(1, ('from website'!$B$2:$B$4766="WHO_REGION:") * ('from website'!D:D=A25), 0)), "No WHO region")</f>
        <v>Americas</v>
      </c>
      <c r="C25" t="str">
        <f t="shared" si="0"/>
        <v>upper middle income</v>
      </c>
      <c r="D25" t="str" cm="1">
        <f t="array" ref="D25">_xlfn.IFNA(INDEX('from website'!$C$2:$C$4766, MATCH(1, ('from website'!$B$2:$B$4766="World Bank income group:") * ('from website'!D:D=A25), 0)), "No WB income group")</f>
        <v>Upper middle income</v>
      </c>
    </row>
    <row r="26" spans="1:4">
      <c r="A26" t="str">
        <f>INDEX('from website'!C543:C5307,MATCH("ISO:",'from website'!B543:B5307,0))</f>
        <v>BRN</v>
      </c>
      <c r="B26" t="str" cm="1">
        <f t="array" ref="B26">_xlfn.IFNA(INDEX('from website'!$C$2:$C$4766, MATCH(1, ('from website'!$B$2:$B$4766="WHO_REGION:") * ('from website'!D:D=A26), 0)), "No WHO region")</f>
        <v>Western Pacific</v>
      </c>
      <c r="C26" t="str">
        <f t="shared" si="0"/>
        <v>high income</v>
      </c>
      <c r="D26" t="str" cm="1">
        <f t="array" ref="D26">_xlfn.IFNA(INDEX('from website'!$C$2:$C$4766, MATCH(1, ('from website'!$B$2:$B$4766="World Bank income group:") * ('from website'!D:D=A26), 0)), "No WB income group")</f>
        <v>High income</v>
      </c>
    </row>
    <row r="27" spans="1:4">
      <c r="A27" t="str">
        <f>INDEX('from website'!C566:C5330,MATCH("ISO:",'from website'!B566:B5330,0))</f>
        <v>BGR</v>
      </c>
      <c r="B27" t="str" cm="1">
        <f t="array" ref="B27">_xlfn.IFNA(INDEX('from website'!$C$2:$C$4766, MATCH(1, ('from website'!$B$2:$B$4766="WHO_REGION:") * ('from website'!D:D=A27), 0)), "No WHO region")</f>
        <v>Europe</v>
      </c>
      <c r="C27" t="str">
        <f t="shared" si="0"/>
        <v>upper middle income</v>
      </c>
      <c r="D27" t="str" cm="1">
        <f t="array" ref="D27">_xlfn.IFNA(INDEX('from website'!$C$2:$C$4766, MATCH(1, ('from website'!$B$2:$B$4766="World Bank income group:") * ('from website'!D:D=A27), 0)), "No WB income group")</f>
        <v>Upper middle income</v>
      </c>
    </row>
    <row r="28" spans="1:4">
      <c r="A28" t="str">
        <f>INDEX('from website'!C589:C5353,MATCH("ISO:",'from website'!B589:B5353,0))</f>
        <v>BFA</v>
      </c>
      <c r="B28" t="str" cm="1">
        <f t="array" ref="B28">_xlfn.IFNA(INDEX('from website'!$C$2:$C$4766, MATCH(1, ('from website'!$B$2:$B$4766="WHO_REGION:") * ('from website'!D:D=A28), 0)), "No WHO region")</f>
        <v>Africa</v>
      </c>
      <c r="C28" t="str">
        <f t="shared" si="0"/>
        <v>low income</v>
      </c>
      <c r="D28" t="str" cm="1">
        <f t="array" ref="D28">_xlfn.IFNA(INDEX('from website'!$C$2:$C$4766, MATCH(1, ('from website'!$B$2:$B$4766="World Bank income group:") * ('from website'!D:D=A28), 0)), "No WB income group")</f>
        <v>Low income</v>
      </c>
    </row>
    <row r="29" spans="1:4">
      <c r="A29" t="str">
        <f>INDEX('from website'!C618:C5382,MATCH("ISO:",'from website'!B618:B5382,0))</f>
        <v>BDI</v>
      </c>
      <c r="B29" t="str" cm="1">
        <f t="array" ref="B29">_xlfn.IFNA(INDEX('from website'!$C$2:$C$4766, MATCH(1, ('from website'!$B$2:$B$4766="WHO_REGION:") * ('from website'!D:D=A29), 0)), "No WHO region")</f>
        <v>Africa</v>
      </c>
      <c r="C29" t="str">
        <f t="shared" si="0"/>
        <v>low income</v>
      </c>
      <c r="D29" t="str" cm="1">
        <f t="array" ref="D29">_xlfn.IFNA(INDEX('from website'!$C$2:$C$4766, MATCH(1, ('from website'!$B$2:$B$4766="World Bank income group:") * ('from website'!D:D=A29), 0)), "No WB income group")</f>
        <v>Low income</v>
      </c>
    </row>
    <row r="30" spans="1:4">
      <c r="A30" t="str">
        <f>INDEX('from website'!C641:C5405,MATCH("ISO:",'from website'!B641:B5405,0))</f>
        <v>KHM</v>
      </c>
      <c r="B30" t="str" cm="1">
        <f t="array" ref="B30">_xlfn.IFNA(INDEX('from website'!$C$2:$C$4766, MATCH(1, ('from website'!$B$2:$B$4766="WHO_REGION:") * ('from website'!D:D=A30), 0)), "No WHO region")</f>
        <v>Western Pacific</v>
      </c>
      <c r="C30" t="str">
        <f t="shared" si="0"/>
        <v>lower middle income</v>
      </c>
      <c r="D30" t="str" cm="1">
        <f t="array" ref="D30">_xlfn.IFNA(INDEX('from website'!$C$2:$C$4766, MATCH(1, ('from website'!$B$2:$B$4766="World Bank income group:") * ('from website'!D:D=A30), 0)), "No WB income group")</f>
        <v>Lower middle income</v>
      </c>
    </row>
    <row r="31" spans="1:4">
      <c r="A31" t="str">
        <f>INDEX('from website'!C658:C5422,MATCH("ISO:",'from website'!B658:B5422,0))</f>
        <v>CMR</v>
      </c>
      <c r="B31" t="str" cm="1">
        <f t="array" ref="B31">_xlfn.IFNA(INDEX('from website'!$C$2:$C$4766, MATCH(1, ('from website'!$B$2:$B$4766="WHO_REGION:") * ('from website'!D:D=A31), 0)), "No WHO region")</f>
        <v>Africa</v>
      </c>
      <c r="C31" t="str">
        <f t="shared" si="0"/>
        <v>lower middle income</v>
      </c>
      <c r="D31" t="str" cm="1">
        <f t="array" ref="D31">_xlfn.IFNA(INDEX('from website'!$C$2:$C$4766, MATCH(1, ('from website'!$B$2:$B$4766="World Bank income group:") * ('from website'!D:D=A31), 0)), "No WB income group")</f>
        <v>Lower middle income</v>
      </c>
    </row>
    <row r="32" spans="1:4">
      <c r="A32" t="str">
        <f>INDEX('from website'!C687:C5451,MATCH("ISO:",'from website'!B687:B5451,0))</f>
        <v>CAN</v>
      </c>
      <c r="B32" t="str" cm="1">
        <f t="array" ref="B32">_xlfn.IFNA(INDEX('from website'!$C$2:$C$4766, MATCH(1, ('from website'!$B$2:$B$4766="WHO_REGION:") * ('from website'!D:D=A32), 0)), "No WHO region")</f>
        <v>Americas</v>
      </c>
      <c r="C32" t="str">
        <f t="shared" si="0"/>
        <v>high income</v>
      </c>
      <c r="D32" t="str" cm="1">
        <f t="array" ref="D32">_xlfn.IFNA(INDEX('from website'!$C$2:$C$4766, MATCH(1, ('from website'!$B$2:$B$4766="World Bank income group:") * ('from website'!D:D=A32), 0)), "No WB income group")</f>
        <v>High income</v>
      </c>
    </row>
    <row r="33" spans="1:4">
      <c r="A33" t="str">
        <f>INDEX('from website'!C704:C5468,MATCH("ISO:",'from website'!B704:B5468,0))</f>
        <v>CPV</v>
      </c>
      <c r="B33" t="str" cm="1">
        <f t="array" ref="B33">_xlfn.IFNA(INDEX('from website'!$C$2:$C$4766, MATCH(1, ('from website'!$B$2:$B$4766="WHO_REGION:") * ('from website'!D:D=A33), 0)), "No WHO region")</f>
        <v>Africa</v>
      </c>
      <c r="C33" t="str">
        <f t="shared" si="0"/>
        <v>lower middle income</v>
      </c>
      <c r="D33" t="str" cm="1">
        <f t="array" ref="D33">_xlfn.IFNA(INDEX('from website'!$C$2:$C$4766, MATCH(1, ('from website'!$B$2:$B$4766="World Bank income group:") * ('from website'!D:D=A33), 0)), "No WB income group")</f>
        <v>Lower middle income</v>
      </c>
    </row>
    <row r="34" spans="1:4">
      <c r="A34" t="str">
        <f>INDEX('from website'!C726:C5490,MATCH("ISO:",'from website'!B726:B5490,0))</f>
        <v>CAF</v>
      </c>
      <c r="B34" t="str" cm="1">
        <f t="array" ref="B34">_xlfn.IFNA(INDEX('from website'!$C$2:$C$4766, MATCH(1, ('from website'!$B$2:$B$4766="WHO_REGION:") * ('from website'!D:D=A34), 0)), "No WHO region")</f>
        <v>Africa</v>
      </c>
      <c r="C34" t="str">
        <f t="shared" si="0"/>
        <v>low income</v>
      </c>
      <c r="D34" t="str" cm="1">
        <f t="array" ref="D34">_xlfn.IFNA(INDEX('from website'!$C$2:$C$4766, MATCH(1, ('from website'!$B$2:$B$4766="World Bank income group:") * ('from website'!D:D=A34), 0)), "No WB income group")</f>
        <v>Low income</v>
      </c>
    </row>
    <row r="35" spans="1:4">
      <c r="A35" t="str">
        <f>INDEX('from website'!C749:C5513,MATCH("ISO:",'from website'!B749:B5513,0))</f>
        <v>TCD</v>
      </c>
      <c r="B35" t="str" cm="1">
        <f t="array" ref="B35">_xlfn.IFNA(INDEX('from website'!$C$2:$C$4766, MATCH(1, ('from website'!$B$2:$B$4766="WHO_REGION:") * ('from website'!D:D=A35), 0)), "No WHO region")</f>
        <v>Africa</v>
      </c>
      <c r="C35" t="str">
        <f t="shared" si="0"/>
        <v>low income</v>
      </c>
      <c r="D35" t="str" cm="1">
        <f t="array" ref="D35">_xlfn.IFNA(INDEX('from website'!$C$2:$C$4766, MATCH(1, ('from website'!$B$2:$B$4766="World Bank income group:") * ('from website'!D:D=A35), 0)), "No WB income group")</f>
        <v>Low income</v>
      </c>
    </row>
    <row r="36" spans="1:4">
      <c r="A36" t="str">
        <f>INDEX('from website'!C772:C5536,MATCH("ISO:",'from website'!B772:B5536,0))</f>
        <v>CHL</v>
      </c>
      <c r="B36" t="str" cm="1">
        <f t="array" ref="B36">_xlfn.IFNA(INDEX('from website'!$C$2:$C$4766, MATCH(1, ('from website'!$B$2:$B$4766="WHO_REGION:") * ('from website'!D:D=A36), 0)), "No WHO region")</f>
        <v>Americas</v>
      </c>
      <c r="C36" t="str">
        <f t="shared" si="0"/>
        <v>high income</v>
      </c>
      <c r="D36" t="str" cm="1">
        <f t="array" ref="D36">_xlfn.IFNA(INDEX('from website'!$C$2:$C$4766, MATCH(1, ('from website'!$B$2:$B$4766="World Bank income group:") * ('from website'!D:D=A36), 0)), "No WB income group")</f>
        <v>High income</v>
      </c>
    </row>
    <row r="37" spans="1:4">
      <c r="A37" t="str">
        <f>INDEX('from website'!C801:C5565,MATCH("ISO:",'from website'!B801:B5565,0))</f>
        <v>CHN</v>
      </c>
      <c r="B37" t="str" cm="1">
        <f t="array" ref="B37">_xlfn.IFNA(INDEX('from website'!$C$2:$C$4766, MATCH(1, ('from website'!$B$2:$B$4766="WHO_REGION:") * ('from website'!D:D=A37), 0)), "No WHO region")</f>
        <v>Western Pacific</v>
      </c>
      <c r="C37" t="str">
        <f t="shared" si="0"/>
        <v>upper middle income</v>
      </c>
      <c r="D37" t="str" cm="1">
        <f t="array" ref="D37">_xlfn.IFNA(INDEX('from website'!$C$2:$C$4766, MATCH(1, ('from website'!$B$2:$B$4766="World Bank income group:") * ('from website'!D:D=A37), 0)), "No WB income group")</f>
        <v>Upper middle income</v>
      </c>
    </row>
    <row r="38" spans="1:4">
      <c r="A38" t="str">
        <f>INDEX('from website'!C823:C5587,MATCH("ISO:",'from website'!B823:B5587,0))</f>
        <v>COL</v>
      </c>
      <c r="B38" t="str" cm="1">
        <f t="array" ref="B38">_xlfn.IFNA(INDEX('from website'!$C$2:$C$4766, MATCH(1, ('from website'!$B$2:$B$4766="WHO_REGION:") * ('from website'!D:D=A38), 0)), "No WHO region")</f>
        <v>Americas</v>
      </c>
      <c r="C38" t="str">
        <f t="shared" si="0"/>
        <v>upper middle income</v>
      </c>
      <c r="D38" t="str" cm="1">
        <f t="array" ref="D38">_xlfn.IFNA(INDEX('from website'!$C$2:$C$4766, MATCH(1, ('from website'!$B$2:$B$4766="World Bank income group:") * ('from website'!D:D=A38), 0)), "No WB income group")</f>
        <v>Upper middle income</v>
      </c>
    </row>
    <row r="39" spans="1:4">
      <c r="A39" t="str">
        <f>INDEX('from website'!C840:C5604,MATCH("ISO:",'from website'!B840:B5604,0))</f>
        <v>COM</v>
      </c>
      <c r="B39" t="str" cm="1">
        <f t="array" ref="B39">_xlfn.IFNA(INDEX('from website'!$C$2:$C$4766, MATCH(1, ('from website'!$B$2:$B$4766="WHO_REGION:") * ('from website'!D:D=A39), 0)), "No WHO region")</f>
        <v>Africa</v>
      </c>
      <c r="C39" t="str">
        <f t="shared" si="0"/>
        <v>low income</v>
      </c>
      <c r="D39" t="str" cm="1">
        <f t="array" ref="D39">_xlfn.IFNA(INDEX('from website'!$C$2:$C$4766, MATCH(1, ('from website'!$B$2:$B$4766="World Bank income group:") * ('from website'!D:D=A39), 0)), "No WB income group")</f>
        <v>Low income</v>
      </c>
    </row>
    <row r="40" spans="1:4">
      <c r="A40" t="str">
        <f>INDEX('from website'!C866:C5630,MATCH("ISO:",'from website'!B866:B5630,0))</f>
        <v>COG</v>
      </c>
      <c r="B40" t="str" cm="1">
        <f t="array" ref="B40">_xlfn.IFNA(INDEX('from website'!$C$2:$C$4766, MATCH(1, ('from website'!$B$2:$B$4766="WHO_REGION:") * ('from website'!D:D=A40), 0)), "No WHO region")</f>
        <v>Africa</v>
      </c>
      <c r="C40" t="str">
        <f t="shared" si="0"/>
        <v>lower middle income</v>
      </c>
      <c r="D40" t="str" cm="1">
        <f t="array" ref="D40">_xlfn.IFNA(INDEX('from website'!$C$2:$C$4766, MATCH(1, ('from website'!$B$2:$B$4766="World Bank income group:") * ('from website'!D:D=A40), 0)), "No WB income group")</f>
        <v>Lower middle income</v>
      </c>
    </row>
    <row r="41" spans="1:4">
      <c r="A41" t="str">
        <f>INDEX('from website'!C885:C5649,MATCH("ISO:",'from website'!B885:B5649,0))</f>
        <v>COK</v>
      </c>
      <c r="B41" t="str" cm="1">
        <f t="array" ref="B41">_xlfn.IFNA(INDEX('from website'!$C$2:$C$4766, MATCH(1, ('from website'!$B$2:$B$4766="WHO_REGION:") * ('from website'!D:D=A41), 0)), "No WHO region")</f>
        <v>Western Pacific</v>
      </c>
      <c r="C41" t="str">
        <f t="shared" si="0"/>
        <v>high income</v>
      </c>
      <c r="D41" t="str" cm="1">
        <f t="array" ref="D41">_xlfn.IFNA(INDEX('from website'!$C$2:$C$4766, MATCH(1, ('from website'!$B$2:$B$4766="World Bank income group:") * ('from website'!D:D=A41), 0)), "No WB income group")</f>
        <v>High-income</v>
      </c>
    </row>
    <row r="42" spans="1:4">
      <c r="A42" t="str">
        <f>INDEX('from website'!C904:C5668,MATCH("ISO:",'from website'!B904:B5668,0))</f>
        <v>CRI</v>
      </c>
      <c r="B42" t="str" cm="1">
        <f t="array" ref="B42">_xlfn.IFNA(INDEX('from website'!$C$2:$C$4766, MATCH(1, ('from website'!$B$2:$B$4766="WHO_REGION:") * ('from website'!D:D=A42), 0)), "No WHO region")</f>
        <v>Americas</v>
      </c>
      <c r="C42" t="str">
        <f t="shared" si="0"/>
        <v>upper middle income</v>
      </c>
      <c r="D42" t="str" cm="1">
        <f t="array" ref="D42">_xlfn.IFNA(INDEX('from website'!$C$2:$C$4766, MATCH(1, ('from website'!$B$2:$B$4766="World Bank income group:") * ('from website'!D:D=A42), 0)), "No WB income group")</f>
        <v>Upper middle income</v>
      </c>
    </row>
    <row r="43" spans="1:4">
      <c r="A43" t="str">
        <f>INDEX('from website'!C929:C5693,MATCH("ISO:",'from website'!B929:B5693,0))</f>
        <v>HRV</v>
      </c>
      <c r="B43" t="str" cm="1">
        <f t="array" ref="B43">_xlfn.IFNA(INDEX('from website'!$C$2:$C$4766, MATCH(1, ('from website'!$B$2:$B$4766="WHO_REGION:") * ('from website'!D:D=A43), 0)), "No WHO region")</f>
        <v>Europe</v>
      </c>
      <c r="C43" t="str">
        <f t="shared" si="0"/>
        <v>high income</v>
      </c>
      <c r="D43" t="str" cm="1">
        <f t="array" ref="D43">_xlfn.IFNA(INDEX('from website'!$C$2:$C$4766, MATCH(1, ('from website'!$B$2:$B$4766="World Bank income group:") * ('from website'!D:D=A43), 0)), "No WB income group")</f>
        <v>High income</v>
      </c>
    </row>
    <row r="44" spans="1:4">
      <c r="A44" t="str">
        <f>INDEX('from website'!C952:C5716,MATCH("ISO:",'from website'!B952:B5716,0))</f>
        <v>CUB</v>
      </c>
      <c r="B44" t="str" cm="1">
        <f t="array" ref="B44">_xlfn.IFNA(INDEX('from website'!$C$2:$C$4766, MATCH(1, ('from website'!$B$2:$B$4766="WHO_REGION:") * ('from website'!D:D=A44), 0)), "No WHO region")</f>
        <v>Americas</v>
      </c>
      <c r="C44" t="str">
        <f t="shared" si="0"/>
        <v>upper middle income</v>
      </c>
      <c r="D44" t="str" cm="1">
        <f t="array" ref="D44">_xlfn.IFNA(INDEX('from website'!$C$2:$C$4766, MATCH(1, ('from website'!$B$2:$B$4766="World Bank income group:") * ('from website'!D:D=A44), 0)), "No WB income group")</f>
        <v>Upper middle income</v>
      </c>
    </row>
    <row r="45" spans="1:4">
      <c r="A45" t="str">
        <f>INDEX('from website'!C981:C5745,MATCH("ISO:",'from website'!B981:B5745,0))</f>
        <v>CYP</v>
      </c>
      <c r="B45" t="str" cm="1">
        <f t="array" ref="B45">_xlfn.IFNA(INDEX('from website'!$C$2:$C$4766, MATCH(1, ('from website'!$B$2:$B$4766="WHO_REGION:") * ('from website'!D:D=A45), 0)), "No WHO region")</f>
        <v>Europe</v>
      </c>
      <c r="C45" t="str">
        <f t="shared" si="0"/>
        <v>high income</v>
      </c>
      <c r="D45" t="str" cm="1">
        <f t="array" ref="D45">_xlfn.IFNA(INDEX('from website'!$C$2:$C$4766, MATCH(1, ('from website'!$B$2:$B$4766="World Bank income group:") * ('from website'!D:D=A45), 0)), "No WB income group")</f>
        <v>High income</v>
      </c>
    </row>
    <row r="46" spans="1:4">
      <c r="A46" t="str">
        <f>INDEX('from website'!C1004:C5768,MATCH("ISO:",'from website'!B1004:B5768,0))</f>
        <v>CZE</v>
      </c>
      <c r="B46" t="str" cm="1">
        <f t="array" ref="B46">_xlfn.IFNA(INDEX('from website'!$C$2:$C$4766, MATCH(1, ('from website'!$B$2:$B$4766="WHO_REGION:") * ('from website'!D:D=A46), 0)), "No WHO region")</f>
        <v>Europe</v>
      </c>
      <c r="C46" t="str">
        <f t="shared" si="0"/>
        <v>high income</v>
      </c>
      <c r="D46" t="str" cm="1">
        <f t="array" ref="D46">_xlfn.IFNA(INDEX('from website'!$C$2:$C$4766, MATCH(1, ('from website'!$B$2:$B$4766="World Bank income group:") * ('from website'!D:D=A46), 0)), "No WB income group")</f>
        <v>High income</v>
      </c>
    </row>
    <row r="47" spans="1:4">
      <c r="A47" t="str">
        <f>INDEX('from website'!C1027:C5791,MATCH("ISO:",'from website'!B1027:B5791,0))</f>
        <v>CIV</v>
      </c>
      <c r="B47" t="str" cm="1">
        <f t="array" ref="B47">_xlfn.IFNA(INDEX('from website'!$C$2:$C$4766, MATCH(1, ('from website'!$B$2:$B$4766="WHO_REGION:") * ('from website'!D:D=A47), 0)), "No WHO region")</f>
        <v>Africa</v>
      </c>
      <c r="C47" t="str">
        <f t="shared" si="0"/>
        <v>lower middle income</v>
      </c>
      <c r="D47" t="str" cm="1">
        <f t="array" ref="D47">_xlfn.IFNA(INDEX('from website'!$C$2:$C$4766, MATCH(1, ('from website'!$B$2:$B$4766="World Bank income group:") * ('from website'!D:D=A47), 0)), "No WB income group")</f>
        <v>Lower middle income</v>
      </c>
    </row>
    <row r="48" spans="1:4">
      <c r="A48" t="str">
        <f>INDEX('from website'!C1044:C5808,MATCH("ISO:",'from website'!B1044:B5808,0))</f>
        <v>PRK</v>
      </c>
      <c r="B48" t="str" cm="1">
        <f t="array" ref="B48">_xlfn.IFNA(INDEX('from website'!$C$2:$C$4766, MATCH(1, ('from website'!$B$2:$B$4766="WHO_REGION:") * ('from website'!D:D=A48), 0)), "No WHO region")</f>
        <v>South-East Asia</v>
      </c>
      <c r="C48" t="str">
        <f t="shared" si="0"/>
        <v>low income</v>
      </c>
      <c r="D48" t="str" cm="1">
        <f t="array" ref="D48">_xlfn.IFNA(INDEX('from website'!$C$2:$C$4766, MATCH(1, ('from website'!$B$2:$B$4766="World Bank income group:") * ('from website'!D:D=A48), 0)), "No WB income group")</f>
        <v>Low income</v>
      </c>
    </row>
    <row r="49" spans="1:4">
      <c r="A49" t="str">
        <f>INDEX('from website'!C1072:C5836,MATCH("ISO:",'from website'!B1072:B5836,0))</f>
        <v>COD</v>
      </c>
      <c r="B49" t="str" cm="1">
        <f t="array" ref="B49">_xlfn.IFNA(INDEX('from website'!$C$2:$C$4766, MATCH(1, ('from website'!$B$2:$B$4766="WHO_REGION:") * ('from website'!D:D=A49), 0)), "No WHO region")</f>
        <v>Africa</v>
      </c>
      <c r="C49" t="str">
        <f t="shared" si="0"/>
        <v>low income</v>
      </c>
      <c r="D49" t="str" cm="1">
        <f t="array" ref="D49">_xlfn.IFNA(INDEX('from website'!$C$2:$C$4766, MATCH(1, ('from website'!$B$2:$B$4766="World Bank income group:") * ('from website'!D:D=A49), 0)), "No WB income group")</f>
        <v>Low income</v>
      </c>
    </row>
    <row r="50" spans="1:4">
      <c r="A50" t="str">
        <f>INDEX('from website'!C1095:C5859,MATCH("ISO:",'from website'!B1095:B5859,0))</f>
        <v>DNK</v>
      </c>
      <c r="B50" t="str" cm="1">
        <f t="array" ref="B50">_xlfn.IFNA(INDEX('from website'!$C$2:$C$4766, MATCH(1, ('from website'!$B$2:$B$4766="WHO_REGION:") * ('from website'!D:D=A50), 0)), "No WHO region")</f>
        <v>Europe</v>
      </c>
      <c r="C50" t="str">
        <f t="shared" si="0"/>
        <v>high income</v>
      </c>
      <c r="D50" t="str" cm="1">
        <f t="array" ref="D50">_xlfn.IFNA(INDEX('from website'!$C$2:$C$4766, MATCH(1, ('from website'!$B$2:$B$4766="World Bank income group:") * ('from website'!D:D=A50), 0)), "No WB income group")</f>
        <v>High income</v>
      </c>
    </row>
    <row r="51" spans="1:4">
      <c r="A51" t="str">
        <f>INDEX('from website'!C1112:C5876,MATCH("ISO:",'from website'!B1112:B5876,0))</f>
        <v>DJI</v>
      </c>
      <c r="B51" t="str" cm="1">
        <f t="array" ref="B51">_xlfn.IFNA(INDEX('from website'!$C$2:$C$4766, MATCH(1, ('from website'!$B$2:$B$4766="WHO_REGION:") * ('from website'!D:D=A51), 0)), "No WHO region")</f>
        <v>Eastern Mediterranean</v>
      </c>
      <c r="C51" t="str">
        <f t="shared" si="0"/>
        <v>lower middle income</v>
      </c>
      <c r="D51" t="str" cm="1">
        <f t="array" ref="D51">_xlfn.IFNA(INDEX('from website'!$C$2:$C$4766, MATCH(1, ('from website'!$B$2:$B$4766="World Bank income group:") * ('from website'!D:D=A51), 0)), "No WB income group")</f>
        <v>Lower middle income</v>
      </c>
    </row>
    <row r="52" spans="1:4">
      <c r="A52" t="str">
        <f>INDEX('from website'!C1140:C5904,MATCH("ISO:",'from website'!B1140:B5904,0))</f>
        <v>DMA</v>
      </c>
      <c r="B52" t="str" cm="1">
        <f t="array" ref="B52">_xlfn.IFNA(INDEX('from website'!$C$2:$C$4766, MATCH(1, ('from website'!$B$2:$B$4766="WHO_REGION:") * ('from website'!D:D=A52), 0)), "No WHO region")</f>
        <v>Americas</v>
      </c>
      <c r="C52" t="str">
        <f t="shared" si="0"/>
        <v>upper middle income</v>
      </c>
      <c r="D52" t="str" cm="1">
        <f t="array" ref="D52">_xlfn.IFNA(INDEX('from website'!$C$2:$C$4766, MATCH(1, ('from website'!$B$2:$B$4766="World Bank income group:") * ('from website'!D:D=A52), 0)), "No WB income group")</f>
        <v>Upper middle income</v>
      </c>
    </row>
    <row r="53" spans="1:4">
      <c r="A53" t="str">
        <f>INDEX('from website'!C1163:C5927,MATCH("ISO:",'from website'!B1163:B5927,0))</f>
        <v>DOM</v>
      </c>
      <c r="B53" t="str" cm="1">
        <f t="array" ref="B53">_xlfn.IFNA(INDEX('from website'!$C$2:$C$4766, MATCH(1, ('from website'!$B$2:$B$4766="WHO_REGION:") * ('from website'!D:D=A53), 0)), "No WHO region")</f>
        <v>Americas</v>
      </c>
      <c r="C53" t="str">
        <f t="shared" si="0"/>
        <v>upper middle income</v>
      </c>
      <c r="D53" t="str" cm="1">
        <f t="array" ref="D53">_xlfn.IFNA(INDEX('from website'!$C$2:$C$4766, MATCH(1, ('from website'!$B$2:$B$4766="World Bank income group:") * ('from website'!D:D=A53), 0)), "No WB income group")</f>
        <v>Upper middle income</v>
      </c>
    </row>
    <row r="54" spans="1:4">
      <c r="A54" t="str">
        <f>INDEX('from website'!C1180:C5944,MATCH("ISO:",'from website'!B1180:B5944,0))</f>
        <v>ECU</v>
      </c>
      <c r="B54" t="str" cm="1">
        <f t="array" ref="B54">_xlfn.IFNA(INDEX('from website'!$C$2:$C$4766, MATCH(1, ('from website'!$B$2:$B$4766="WHO_REGION:") * ('from website'!D:D=A54), 0)), "No WHO region")</f>
        <v>Americas</v>
      </c>
      <c r="C54" t="str">
        <f t="shared" si="0"/>
        <v>upper middle income</v>
      </c>
      <c r="D54" t="str" cm="1">
        <f t="array" ref="D54">_xlfn.IFNA(INDEX('from website'!$C$2:$C$4766, MATCH(1, ('from website'!$B$2:$B$4766="World Bank income group:") * ('from website'!D:D=A54), 0)), "No WB income group")</f>
        <v>Upper middle income</v>
      </c>
    </row>
    <row r="55" spans="1:4">
      <c r="A55" t="str">
        <f>INDEX('from website'!C1203:C5967,MATCH("ISO:",'from website'!B1203:B5967,0))</f>
        <v>EGY</v>
      </c>
      <c r="B55" t="str" cm="1">
        <f t="array" ref="B55">_xlfn.IFNA(INDEX('from website'!$C$2:$C$4766, MATCH(1, ('from website'!$B$2:$B$4766="WHO_REGION:") * ('from website'!D:D=A55), 0)), "No WHO region")</f>
        <v>Eastern Mediterranean</v>
      </c>
      <c r="C55" t="str">
        <f t="shared" si="0"/>
        <v>lower middle income</v>
      </c>
      <c r="D55" t="str" cm="1">
        <f t="array" ref="D55">_xlfn.IFNA(INDEX('from website'!$C$2:$C$4766, MATCH(1, ('from website'!$B$2:$B$4766="World Bank income group:") * ('from website'!D:D=A55), 0)), "No WB income group")</f>
        <v>Lower middle income</v>
      </c>
    </row>
    <row r="56" spans="1:4">
      <c r="A56" t="str">
        <f>INDEX('from website'!C1226:C5990,MATCH("ISO:",'from website'!B1226:B5990,0))</f>
        <v>SLV</v>
      </c>
      <c r="B56" t="str" cm="1">
        <f t="array" ref="B56">_xlfn.IFNA(INDEX('from website'!$C$2:$C$4766, MATCH(1, ('from website'!$B$2:$B$4766="WHO_REGION:") * ('from website'!D:D=A56), 0)), "No WHO region")</f>
        <v>Americas</v>
      </c>
      <c r="C56" t="str">
        <f t="shared" si="0"/>
        <v>lower middle income</v>
      </c>
      <c r="D56" t="str" cm="1">
        <f t="array" ref="D56">_xlfn.IFNA(INDEX('from website'!$C$2:$C$4766, MATCH(1, ('from website'!$B$2:$B$4766="World Bank income group:") * ('from website'!D:D=A56), 0)), "No WB income group")</f>
        <v>Lower middle income</v>
      </c>
    </row>
    <row r="57" spans="1:4">
      <c r="A57" t="str">
        <f>INDEX('from website'!C1249:C6013,MATCH("ISO:",'from website'!B1249:B6013,0))</f>
        <v>GNQ</v>
      </c>
      <c r="B57" t="str" cm="1">
        <f t="array" ref="B57">_xlfn.IFNA(INDEX('from website'!$C$2:$C$4766, MATCH(1, ('from website'!$B$2:$B$4766="WHO_REGION:") * ('from website'!D:D=A57), 0)), "No WHO region")</f>
        <v>Africa</v>
      </c>
      <c r="C57" t="str">
        <f t="shared" si="0"/>
        <v>upper middle income</v>
      </c>
      <c r="D57" t="str" cm="1">
        <f t="array" ref="D57">_xlfn.IFNA(INDEX('from website'!$C$2:$C$4766, MATCH(1, ('from website'!$B$2:$B$4766="World Bank income group:") * ('from website'!D:D=A57), 0)), "No WB income group")</f>
        <v>Upper middle income</v>
      </c>
    </row>
    <row r="58" spans="1:4">
      <c r="A58" t="str">
        <f>INDEX('from website'!C1275:C6039,MATCH("ISO:",'from website'!B1275:B6039,0))</f>
        <v>ERI</v>
      </c>
      <c r="B58" t="str" cm="1">
        <f t="array" ref="B58">_xlfn.IFNA(INDEX('from website'!$C$2:$C$4766, MATCH(1, ('from website'!$B$2:$B$4766="WHO_REGION:") * ('from website'!D:D=A58), 0)), "No WHO region")</f>
        <v>Africa</v>
      </c>
      <c r="C58" t="str">
        <f t="shared" si="0"/>
        <v>low income</v>
      </c>
      <c r="D58" t="str" cm="1">
        <f t="array" ref="D58">_xlfn.IFNA(INDEX('from website'!$C$2:$C$4766, MATCH(1, ('from website'!$B$2:$B$4766="World Bank income group:") * ('from website'!D:D=A58), 0)), "No WB income group")</f>
        <v>Low income</v>
      </c>
    </row>
    <row r="59" spans="1:4">
      <c r="A59" t="str">
        <f>INDEX('from website'!C1292:C6056,MATCH("ISO:",'from website'!B1292:B6056,0))</f>
        <v>EST</v>
      </c>
      <c r="B59" t="str" cm="1">
        <f t="array" ref="B59">_xlfn.IFNA(INDEX('from website'!$C$2:$C$4766, MATCH(1, ('from website'!$B$2:$B$4766="WHO_REGION:") * ('from website'!D:D=A59), 0)), "No WHO region")</f>
        <v>Europe</v>
      </c>
      <c r="C59" t="str">
        <f t="shared" si="0"/>
        <v>high income</v>
      </c>
      <c r="D59" t="str" cm="1">
        <f t="array" ref="D59">_xlfn.IFNA(INDEX('from website'!$C$2:$C$4766, MATCH(1, ('from website'!$B$2:$B$4766="World Bank income group:") * ('from website'!D:D=A59), 0)), "No WB income group")</f>
        <v>High income</v>
      </c>
    </row>
    <row r="60" spans="1:4">
      <c r="A60" t="str">
        <f>INDEX('from website'!C1315:C6079,MATCH("ISO:",'from website'!B1315:B6079,0))</f>
        <v>ETH</v>
      </c>
      <c r="B60" t="str" cm="1">
        <f t="array" ref="B60">_xlfn.IFNA(INDEX('from website'!$C$2:$C$4766, MATCH(1, ('from website'!$B$2:$B$4766="WHO_REGION:") * ('from website'!D:D=A60), 0)), "No WHO region")</f>
        <v>Africa</v>
      </c>
      <c r="C60" t="str">
        <f t="shared" si="0"/>
        <v>low income</v>
      </c>
      <c r="D60" t="str" cm="1">
        <f t="array" ref="D60">_xlfn.IFNA(INDEX('from website'!$C$2:$C$4766, MATCH(1, ('from website'!$B$2:$B$4766="World Bank income group:") * ('from website'!D:D=A60), 0)), "No WB income group")</f>
        <v>Low income</v>
      </c>
    </row>
    <row r="61" spans="1:4">
      <c r="A61" t="str">
        <f>INDEX('from website'!C1338:C6102,MATCH("ISO:",'from website'!B1338:B6102,0))</f>
        <v>FJI</v>
      </c>
      <c r="B61" t="str" cm="1">
        <f t="array" ref="B61">_xlfn.IFNA(INDEX('from website'!$C$2:$C$4766, MATCH(1, ('from website'!$B$2:$B$4766="WHO_REGION:") * ('from website'!D:D=A61), 0)), "No WHO region")</f>
        <v>Western Pacific</v>
      </c>
      <c r="C61" t="str">
        <f t="shared" si="0"/>
        <v>upper middle income</v>
      </c>
      <c r="D61" t="str" cm="1">
        <f t="array" ref="D61">_xlfn.IFNA(INDEX('from website'!$C$2:$C$4766, MATCH(1, ('from website'!$B$2:$B$4766="World Bank income group:") * ('from website'!D:D=A61), 0)), "No WB income group")</f>
        <v>Upper middle income</v>
      </c>
    </row>
    <row r="62" spans="1:4">
      <c r="A62" t="str">
        <f>INDEX('from website'!C1361:C6125,MATCH("ISO:",'from website'!B1361:B6125,0))</f>
        <v>FIN</v>
      </c>
      <c r="B62" t="str" cm="1">
        <f t="array" ref="B62">_xlfn.IFNA(INDEX('from website'!$C$2:$C$4766, MATCH(1, ('from website'!$B$2:$B$4766="WHO_REGION:") * ('from website'!D:D=A62), 0)), "No WHO region")</f>
        <v>Europe</v>
      </c>
      <c r="C62" t="str">
        <f t="shared" si="0"/>
        <v>high income</v>
      </c>
      <c r="D62" t="str" cm="1">
        <f t="array" ref="D62">_xlfn.IFNA(INDEX('from website'!$C$2:$C$4766, MATCH(1, ('from website'!$B$2:$B$4766="World Bank income group:") * ('from website'!D:D=A62), 0)), "No WB income group")</f>
        <v>High income</v>
      </c>
    </row>
    <row r="63" spans="1:4">
      <c r="A63" t="str">
        <f>INDEX('from website'!C1384:C6148,MATCH("ISO:",'from website'!B1384:B6148,0))</f>
        <v>FRA</v>
      </c>
      <c r="B63" t="str" cm="1">
        <f t="array" ref="B63">_xlfn.IFNA(INDEX('from website'!$C$2:$C$4766, MATCH(1, ('from website'!$B$2:$B$4766="WHO_REGION:") * ('from website'!D:D=A63), 0)), "No WHO region")</f>
        <v>Europe</v>
      </c>
      <c r="C63" t="str">
        <f t="shared" si="0"/>
        <v>high income</v>
      </c>
      <c r="D63" t="str" cm="1">
        <f t="array" ref="D63">_xlfn.IFNA(INDEX('from website'!$C$2:$C$4766, MATCH(1, ('from website'!$B$2:$B$4766="World Bank income group:") * ('from website'!D:D=A63), 0)), "No WB income group")</f>
        <v>High income</v>
      </c>
    </row>
    <row r="64" spans="1:4">
      <c r="A64" t="str">
        <f>INDEX('from website'!C1407:C6171,MATCH("ISO:",'from website'!B1407:B6171,0))</f>
        <v>GAB</v>
      </c>
      <c r="B64" t="str" cm="1">
        <f t="array" ref="B64">_xlfn.IFNA(INDEX('from website'!$C$2:$C$4766, MATCH(1, ('from website'!$B$2:$B$4766="WHO_REGION:") * ('from website'!D:D=A64), 0)), "No WHO region")</f>
        <v>Africa</v>
      </c>
      <c r="C64" t="str">
        <f t="shared" si="0"/>
        <v>upper middle income</v>
      </c>
      <c r="D64" t="str" cm="1">
        <f t="array" ref="D64">_xlfn.IFNA(INDEX('from website'!$C$2:$C$4766, MATCH(1, ('from website'!$B$2:$B$4766="World Bank income group:") * ('from website'!D:D=A64), 0)), "No WB income group")</f>
        <v>Upper middle income</v>
      </c>
    </row>
    <row r="65" spans="1:4">
      <c r="A65" t="str">
        <f>INDEX('from website'!C1430:C6194,MATCH("ISO:",'from website'!B1430:B6194,0))</f>
        <v>GMB</v>
      </c>
      <c r="B65" t="str" cm="1">
        <f t="array" ref="B65">_xlfn.IFNA(INDEX('from website'!$C$2:$C$4766, MATCH(1, ('from website'!$B$2:$B$4766="WHO_REGION:") * ('from website'!D:D=A65), 0)), "No WHO region")</f>
        <v>Africa</v>
      </c>
      <c r="C65" t="str">
        <f t="shared" si="0"/>
        <v>low income</v>
      </c>
      <c r="D65" t="str" cm="1">
        <f t="array" ref="D65">_xlfn.IFNA(INDEX('from website'!$C$2:$C$4766, MATCH(1, ('from website'!$B$2:$B$4766="World Bank income group:") * ('from website'!D:D=A65), 0)), "No WB income group")</f>
        <v>Low income</v>
      </c>
    </row>
    <row r="66" spans="1:4">
      <c r="A66" t="str">
        <f>INDEX('from website'!C1453:C6217,MATCH("ISO:",'from website'!B1453:B6217,0))</f>
        <v>GEO</v>
      </c>
      <c r="B66" t="str" cm="1">
        <f t="array" ref="B66">_xlfn.IFNA(INDEX('from website'!$C$2:$C$4766, MATCH(1, ('from website'!$B$2:$B$4766="WHO_REGION:") * ('from website'!D:D=A66), 0)), "No WHO region")</f>
        <v>Europe</v>
      </c>
      <c r="C66" t="str">
        <f t="shared" si="0"/>
        <v>lower middle income</v>
      </c>
      <c r="D66" t="str" cm="1">
        <f t="array" ref="D66">_xlfn.IFNA(INDEX('from website'!$C$2:$C$4766, MATCH(1, ('from website'!$B$2:$B$4766="World Bank income group:") * ('from website'!D:D=A66), 0)), "No WB income group")</f>
        <v>Lower middle income</v>
      </c>
    </row>
    <row r="67" spans="1:4">
      <c r="A67" t="str">
        <f>INDEX('from website'!C1476:C6240,MATCH("ISO:",'from website'!B1476:B6240,0))</f>
        <v>DEU</v>
      </c>
      <c r="B67" t="str" cm="1">
        <f t="array" ref="B67">_xlfn.IFNA(INDEX('from website'!$C$2:$C$4766, MATCH(1, ('from website'!$B$2:$B$4766="WHO_REGION:") * ('from website'!D:D=A67), 0)), "No WHO region")</f>
        <v>Europe</v>
      </c>
      <c r="C67" t="str">
        <f t="shared" ref="C67:C130" si="1">LOWER(SUBSTITUTE(D67,"-"," "))</f>
        <v>high income</v>
      </c>
      <c r="D67" t="str" cm="1">
        <f t="array" ref="D67">_xlfn.IFNA(INDEX('from website'!$C$2:$C$4766, MATCH(1, ('from website'!$B$2:$B$4766="World Bank income group:") * ('from website'!D:D=A67), 0)), "No WB income group")</f>
        <v>High income</v>
      </c>
    </row>
    <row r="68" spans="1:4">
      <c r="A68" t="str">
        <f>INDEX('from website'!C1499:C6263,MATCH("ISO:",'from website'!B1499:B6263,0))</f>
        <v>GHA</v>
      </c>
      <c r="B68" t="str" cm="1">
        <f t="array" ref="B68">_xlfn.IFNA(INDEX('from website'!$C$2:$C$4766, MATCH(1, ('from website'!$B$2:$B$4766="WHO_REGION:") * ('from website'!D:D=A68), 0)), "No WHO region")</f>
        <v>Africa</v>
      </c>
      <c r="C68" t="str">
        <f t="shared" si="1"/>
        <v>lower middle income</v>
      </c>
      <c r="D68" t="str" cm="1">
        <f t="array" ref="D68">_xlfn.IFNA(INDEX('from website'!$C$2:$C$4766, MATCH(1, ('from website'!$B$2:$B$4766="World Bank income group:") * ('from website'!D:D=A68), 0)), "No WB income group")</f>
        <v>Lower middle income</v>
      </c>
    </row>
    <row r="69" spans="1:4">
      <c r="A69" t="str">
        <f>INDEX('from website'!C1528:C6292,MATCH("ISO:",'from website'!B1528:B6292,0))</f>
        <v>GRC</v>
      </c>
      <c r="B69" t="str" cm="1">
        <f t="array" ref="B69">_xlfn.IFNA(INDEX('from website'!$C$2:$C$4766, MATCH(1, ('from website'!$B$2:$B$4766="WHO_REGION:") * ('from website'!D:D=A69), 0)), "No WHO region")</f>
        <v>Europe</v>
      </c>
      <c r="C69" t="str">
        <f t="shared" si="1"/>
        <v>high income</v>
      </c>
      <c r="D69" t="str" cm="1">
        <f t="array" ref="D69">_xlfn.IFNA(INDEX('from website'!$C$2:$C$4766, MATCH(1, ('from website'!$B$2:$B$4766="World Bank income group:") * ('from website'!D:D=A69), 0)), "No WB income group")</f>
        <v>High income</v>
      </c>
    </row>
    <row r="70" spans="1:4">
      <c r="A70" t="str">
        <f>INDEX('from website'!C1545:C6309,MATCH("ISO:",'from website'!B1545:B6309,0))</f>
        <v>GRD</v>
      </c>
      <c r="B70" t="str" cm="1">
        <f t="array" ref="B70">_xlfn.IFNA(INDEX('from website'!$C$2:$C$4766, MATCH(1, ('from website'!$B$2:$B$4766="WHO_REGION:") * ('from website'!D:D=A70), 0)), "No WHO region")</f>
        <v>Americas</v>
      </c>
      <c r="C70" t="str">
        <f t="shared" si="1"/>
        <v>upper middle income</v>
      </c>
      <c r="D70" t="str" cm="1">
        <f t="array" ref="D70">_xlfn.IFNA(INDEX('from website'!$C$2:$C$4766, MATCH(1, ('from website'!$B$2:$B$4766="World Bank income group:") * ('from website'!D:D=A70), 0)), "No WB income group")</f>
        <v>Upper middle income</v>
      </c>
    </row>
    <row r="71" spans="1:4">
      <c r="A71" t="str">
        <f>INDEX('from website'!C1572:C6336,MATCH("ISO:",'from website'!B1572:B6336,0))</f>
        <v>GTM</v>
      </c>
      <c r="B71" t="str" cm="1">
        <f t="array" ref="B71">_xlfn.IFNA(INDEX('from website'!$C$2:$C$4766, MATCH(1, ('from website'!$B$2:$B$4766="WHO_REGION:") * ('from website'!D:D=A71), 0)), "No WHO region")</f>
        <v>Americas</v>
      </c>
      <c r="C71" t="str">
        <f t="shared" si="1"/>
        <v>upper middle income</v>
      </c>
      <c r="D71" t="str" cm="1">
        <f t="array" ref="D71">_xlfn.IFNA(INDEX('from website'!$C$2:$C$4766, MATCH(1, ('from website'!$B$2:$B$4766="World Bank income group:") * ('from website'!D:D=A71), 0)), "No WB income group")</f>
        <v>Upper middle income</v>
      </c>
    </row>
    <row r="72" spans="1:4">
      <c r="A72" t="str">
        <f>INDEX('from website'!C1597:C6361,MATCH("ISO:",'from website'!B1597:B6361,0))</f>
        <v>GIN</v>
      </c>
      <c r="B72" t="str" cm="1">
        <f t="array" ref="B72">_xlfn.IFNA(INDEX('from website'!$C$2:$C$4766, MATCH(1, ('from website'!$B$2:$B$4766="WHO_REGION:") * ('from website'!D:D=A72), 0)), "No WHO region")</f>
        <v>Africa</v>
      </c>
      <c r="C72" t="str">
        <f t="shared" si="1"/>
        <v>low income</v>
      </c>
      <c r="D72" t="str" cm="1">
        <f t="array" ref="D72">_xlfn.IFNA(INDEX('from website'!$C$2:$C$4766, MATCH(1, ('from website'!$B$2:$B$4766="World Bank income group:") * ('from website'!D:D=A72), 0)), "No WB income group")</f>
        <v>Low income</v>
      </c>
    </row>
    <row r="73" spans="1:4">
      <c r="A73" t="str">
        <f>INDEX('from website'!C1614:C6378,MATCH("ISO:",'from website'!B1614:B6378,0))</f>
        <v>GNB</v>
      </c>
      <c r="B73" t="str" cm="1">
        <f t="array" ref="B73">_xlfn.IFNA(INDEX('from website'!$C$2:$C$4766, MATCH(1, ('from website'!$B$2:$B$4766="WHO_REGION:") * ('from website'!D:D=A73), 0)), "No WHO region")</f>
        <v>Africa</v>
      </c>
      <c r="C73" t="str">
        <f t="shared" si="1"/>
        <v>low income</v>
      </c>
      <c r="D73" t="str" cm="1">
        <f t="array" ref="D73">_xlfn.IFNA(INDEX('from website'!$C$2:$C$4766, MATCH(1, ('from website'!$B$2:$B$4766="World Bank income group:") * ('from website'!D:D=A73), 0)), "No WB income group")</f>
        <v>Low income</v>
      </c>
    </row>
    <row r="74" spans="1:4">
      <c r="A74" t="str">
        <f>INDEX('from website'!C1642:C6406,MATCH("ISO:",'from website'!B1642:B6406,0))</f>
        <v>GUY</v>
      </c>
      <c r="B74" t="str" cm="1">
        <f t="array" ref="B74">_xlfn.IFNA(INDEX('from website'!$C$2:$C$4766, MATCH(1, ('from website'!$B$2:$B$4766="WHO_REGION:") * ('from website'!D:D=A74), 0)), "No WHO region")</f>
        <v>Americas</v>
      </c>
      <c r="C74" t="str">
        <f t="shared" si="1"/>
        <v>upper middle income</v>
      </c>
      <c r="D74" t="str" cm="1">
        <f t="array" ref="D74">_xlfn.IFNA(INDEX('from website'!$C$2:$C$4766, MATCH(1, ('from website'!$B$2:$B$4766="World Bank income group:") * ('from website'!D:D=A74), 0)), "No WB income group")</f>
        <v>Upper middle income</v>
      </c>
    </row>
    <row r="75" spans="1:4">
      <c r="A75" t="str">
        <f>INDEX('from website'!C1659:C6423,MATCH("ISO:",'from website'!B1659:B6423,0))</f>
        <v>HTI</v>
      </c>
      <c r="B75" t="str" cm="1">
        <f t="array" ref="B75">_xlfn.IFNA(INDEX('from website'!$C$2:$C$4766, MATCH(1, ('from website'!$B$2:$B$4766="WHO_REGION:") * ('from website'!D:D=A75), 0)), "No WHO region")</f>
        <v>Americas</v>
      </c>
      <c r="C75" t="str">
        <f t="shared" si="1"/>
        <v>low income</v>
      </c>
      <c r="D75" t="str" cm="1">
        <f t="array" ref="D75">_xlfn.IFNA(INDEX('from website'!$C$2:$C$4766, MATCH(1, ('from website'!$B$2:$B$4766="World Bank income group:") * ('from website'!D:D=A75), 0)), "No WB income group")</f>
        <v>Low income</v>
      </c>
    </row>
    <row r="76" spans="1:4">
      <c r="A76" t="str">
        <f>INDEX('from website'!C1688:C6452,MATCH("ISO:",'from website'!B1688:B6452,0))</f>
        <v>HND</v>
      </c>
      <c r="B76" t="str" cm="1">
        <f t="array" ref="B76">_xlfn.IFNA(INDEX('from website'!$C$2:$C$4766, MATCH(1, ('from website'!$B$2:$B$4766="WHO_REGION:") * ('from website'!D:D=A76), 0)), "No WHO region")</f>
        <v>Americas</v>
      </c>
      <c r="C76" t="str">
        <f t="shared" si="1"/>
        <v>lower middle income</v>
      </c>
      <c r="D76" t="str" cm="1">
        <f t="array" ref="D76">_xlfn.IFNA(INDEX('from website'!$C$2:$C$4766, MATCH(1, ('from website'!$B$2:$B$4766="World Bank income group:") * ('from website'!D:D=A76), 0)), "No WB income group")</f>
        <v>Lower middle income</v>
      </c>
    </row>
    <row r="77" spans="1:4">
      <c r="A77" t="str">
        <f>INDEX('from website'!C1710:C6474,MATCH("ISO:",'from website'!B1710:B6474,0))</f>
        <v>HUN</v>
      </c>
      <c r="B77" t="str" cm="1">
        <f t="array" ref="B77">_xlfn.IFNA(INDEX('from website'!$C$2:$C$4766, MATCH(1, ('from website'!$B$2:$B$4766="WHO_REGION:") * ('from website'!D:D=A77), 0)), "No WHO region")</f>
        <v>Europe</v>
      </c>
      <c r="C77" t="str">
        <f t="shared" si="1"/>
        <v>high income</v>
      </c>
      <c r="D77" t="str" cm="1">
        <f t="array" ref="D77">_xlfn.IFNA(INDEX('from website'!$C$2:$C$4766, MATCH(1, ('from website'!$B$2:$B$4766="World Bank income group:") * ('from website'!D:D=A77), 0)), "No WB income group")</f>
        <v>High income</v>
      </c>
    </row>
    <row r="78" spans="1:4">
      <c r="A78" t="str">
        <f>INDEX('from website'!C1733:C6497,MATCH("ISO:",'from website'!B1733:B6497,0))</f>
        <v>ISL</v>
      </c>
      <c r="B78" t="str" cm="1">
        <f t="array" ref="B78">_xlfn.IFNA(INDEX('from website'!$C$2:$C$4766, MATCH(1, ('from website'!$B$2:$B$4766="WHO_REGION:") * ('from website'!D:D=A78), 0)), "No WHO region")</f>
        <v>Europe</v>
      </c>
      <c r="C78" t="str">
        <f t="shared" si="1"/>
        <v>high income</v>
      </c>
      <c r="D78" t="str" cm="1">
        <f t="array" ref="D78">_xlfn.IFNA(INDEX('from website'!$C$2:$C$4766, MATCH(1, ('from website'!$B$2:$B$4766="World Bank income group:") * ('from website'!D:D=A78), 0)), "No WB income group")</f>
        <v>High income</v>
      </c>
    </row>
    <row r="79" spans="1:4">
      <c r="A79" t="str">
        <f>INDEX('from website'!C1750:C6514,MATCH("ISO:",'from website'!B1750:B6514,0))</f>
        <v>IND</v>
      </c>
      <c r="B79" t="str" cm="1">
        <f t="array" ref="B79">_xlfn.IFNA(INDEX('from website'!$C$2:$C$4766, MATCH(1, ('from website'!$B$2:$B$4766="WHO_REGION:") * ('from website'!D:D=A79), 0)), "No WHO region")</f>
        <v>South-East Asia</v>
      </c>
      <c r="C79" t="str">
        <f t="shared" si="1"/>
        <v>lower middle income</v>
      </c>
      <c r="D79" t="str" cm="1">
        <f t="array" ref="D79">_xlfn.IFNA(INDEX('from website'!$C$2:$C$4766, MATCH(1, ('from website'!$B$2:$B$4766="World Bank income group:") * ('from website'!D:D=A79), 0)), "No WB income group")</f>
        <v>Lower middle income</v>
      </c>
    </row>
    <row r="80" spans="1:4">
      <c r="A80" t="str">
        <f>INDEX('from website'!C1773:C6537,MATCH("ISO:",'from website'!B1773:B6537,0))</f>
        <v>IDN</v>
      </c>
      <c r="B80" t="str" cm="1">
        <f t="array" ref="B80">_xlfn.IFNA(INDEX('from website'!$C$2:$C$4766, MATCH(1, ('from website'!$B$2:$B$4766="WHO_REGION:") * ('from website'!D:D=A80), 0)), "No WHO region")</f>
        <v>South-East Asia</v>
      </c>
      <c r="C80" t="str">
        <f t="shared" si="1"/>
        <v>lower middle income</v>
      </c>
      <c r="D80" t="str" cm="1">
        <f t="array" ref="D80">_xlfn.IFNA(INDEX('from website'!$C$2:$C$4766, MATCH(1, ('from website'!$B$2:$B$4766="World Bank income group:") * ('from website'!D:D=A80), 0)), "No WB income group")</f>
        <v>Lower middle income</v>
      </c>
    </row>
    <row r="81" spans="1:4">
      <c r="A81" t="str">
        <f>INDEX('from website'!C1802:C6566,MATCH("ISO:",'from website'!B1802:B6566,0))</f>
        <v>IRN</v>
      </c>
      <c r="B81" t="str" cm="1">
        <f t="array" ref="B81">_xlfn.IFNA(INDEX('from website'!$C$2:$C$4766, MATCH(1, ('from website'!$B$2:$B$4766="WHO_REGION:") * ('from website'!D:D=A81), 0)), "No WHO region")</f>
        <v>Eastern Mediterranean</v>
      </c>
      <c r="C81" t="str">
        <f t="shared" si="1"/>
        <v>upper middle income</v>
      </c>
      <c r="D81" t="str" cm="1">
        <f t="array" ref="D81">_xlfn.IFNA(INDEX('from website'!$C$2:$C$4766, MATCH(1, ('from website'!$B$2:$B$4766="World Bank income group:") * ('from website'!D:D=A81), 0)), "No WB income group")</f>
        <v>Upper middle income</v>
      </c>
    </row>
    <row r="82" spans="1:4">
      <c r="A82" t="str">
        <f>INDEX('from website'!C1825:C6589,MATCH("ISO:",'from website'!B1825:B6589,0))</f>
        <v>IRQ</v>
      </c>
      <c r="B82" t="str" cm="1">
        <f t="array" ref="B82">_xlfn.IFNA(INDEX('from website'!$C$2:$C$4766, MATCH(1, ('from website'!$B$2:$B$4766="WHO_REGION:") * ('from website'!D:D=A82), 0)), "No WHO region")</f>
        <v>Eastern Mediterranean</v>
      </c>
      <c r="C82" t="str">
        <f t="shared" si="1"/>
        <v>upper middle income</v>
      </c>
      <c r="D82" t="str" cm="1">
        <f t="array" ref="D82">_xlfn.IFNA(INDEX('from website'!$C$2:$C$4766, MATCH(1, ('from website'!$B$2:$B$4766="World Bank income group:") * ('from website'!D:D=A82), 0)), "No WB income group")</f>
        <v>Upper middle income</v>
      </c>
    </row>
    <row r="83" spans="1:4">
      <c r="A83" t="str">
        <f>INDEX('from website'!C1842:C6606,MATCH("ISO:",'from website'!B1842:B6606,0))</f>
        <v>IRL</v>
      </c>
      <c r="B83" t="str" cm="1">
        <f t="array" ref="B83">_xlfn.IFNA(INDEX('from website'!$C$2:$C$4766, MATCH(1, ('from website'!$B$2:$B$4766="WHO_REGION:") * ('from website'!D:D=A83), 0)), "No WHO region")</f>
        <v>Europe</v>
      </c>
      <c r="C83" t="str">
        <f t="shared" si="1"/>
        <v>high income</v>
      </c>
      <c r="D83" t="str" cm="1">
        <f t="array" ref="D83">_xlfn.IFNA(INDEX('from website'!$C$2:$C$4766, MATCH(1, ('from website'!$B$2:$B$4766="World Bank income group:") * ('from website'!D:D=A83), 0)), "No WB income group")</f>
        <v>High income</v>
      </c>
    </row>
    <row r="84" spans="1:4">
      <c r="A84" t="str">
        <f>INDEX('from website'!C1865:C6629,MATCH("ISO:",'from website'!B1865:B6629,0))</f>
        <v>ISR</v>
      </c>
      <c r="B84" t="str" cm="1">
        <f t="array" ref="B84">_xlfn.IFNA(INDEX('from website'!$C$2:$C$4766, MATCH(1, ('from website'!$B$2:$B$4766="WHO_REGION:") * ('from website'!D:D=A84), 0)), "No WHO region")</f>
        <v>Europe</v>
      </c>
      <c r="C84" t="str">
        <f t="shared" si="1"/>
        <v>high income</v>
      </c>
      <c r="D84" t="str" cm="1">
        <f t="array" ref="D84">_xlfn.IFNA(INDEX('from website'!$C$2:$C$4766, MATCH(1, ('from website'!$B$2:$B$4766="World Bank income group:") * ('from website'!D:D=A84), 0)), "No WB income group")</f>
        <v>High income</v>
      </c>
    </row>
    <row r="85" spans="1:4">
      <c r="A85" t="str">
        <f>INDEX('from website'!C1888:C6652,MATCH("ISO:",'from website'!B1888:B6652,0))</f>
        <v>ITA</v>
      </c>
      <c r="B85" t="str" cm="1">
        <f t="array" ref="B85">_xlfn.IFNA(INDEX('from website'!$C$2:$C$4766, MATCH(1, ('from website'!$B$2:$B$4766="WHO_REGION:") * ('from website'!D:D=A85), 0)), "No WHO region")</f>
        <v>Europe</v>
      </c>
      <c r="C85" t="str">
        <f t="shared" si="1"/>
        <v>high income</v>
      </c>
      <c r="D85" t="str" cm="1">
        <f t="array" ref="D85">_xlfn.IFNA(INDEX('from website'!$C$2:$C$4766, MATCH(1, ('from website'!$B$2:$B$4766="World Bank income group:") * ('from website'!D:D=A85), 0)), "No WB income group")</f>
        <v>High income</v>
      </c>
    </row>
    <row r="86" spans="1:4">
      <c r="A86" t="str">
        <f>INDEX('from website'!C1911:C6675,MATCH("ISO:",'from website'!B1911:B6675,0))</f>
        <v>JAM</v>
      </c>
      <c r="B86" t="str" cm="1">
        <f t="array" ref="B86">_xlfn.IFNA(INDEX('from website'!$C$2:$C$4766, MATCH(1, ('from website'!$B$2:$B$4766="WHO_REGION:") * ('from website'!D:D=A86), 0)), "No WHO region")</f>
        <v>Americas</v>
      </c>
      <c r="C86" t="str">
        <f t="shared" si="1"/>
        <v>upper middle income</v>
      </c>
      <c r="D86" t="str" cm="1">
        <f t="array" ref="D86">_xlfn.IFNA(INDEX('from website'!$C$2:$C$4766, MATCH(1, ('from website'!$B$2:$B$4766="World Bank income group:") * ('from website'!D:D=A86), 0)), "No WB income group")</f>
        <v>Upper middle income</v>
      </c>
    </row>
    <row r="87" spans="1:4">
      <c r="A87" t="str">
        <f>INDEX('from website'!C1938:C6702,MATCH("ISO:",'from website'!B1938:B6702,0))</f>
        <v>JPN</v>
      </c>
      <c r="B87" t="str" cm="1">
        <f t="array" ref="B87">_xlfn.IFNA(INDEX('from website'!$C$2:$C$4766, MATCH(1, ('from website'!$B$2:$B$4766="WHO_REGION:") * ('from website'!D:D=A87), 0)), "No WHO region")</f>
        <v>Western Pacific</v>
      </c>
      <c r="C87" t="str">
        <f t="shared" si="1"/>
        <v>high income</v>
      </c>
      <c r="D87" t="str" cm="1">
        <f t="array" ref="D87">_xlfn.IFNA(INDEX('from website'!$C$2:$C$4766, MATCH(1, ('from website'!$B$2:$B$4766="World Bank income group:") * ('from website'!D:D=A87), 0)), "No WB income group")</f>
        <v>High income</v>
      </c>
    </row>
    <row r="88" spans="1:4">
      <c r="A88" t="str">
        <f>INDEX('from website'!C1957:C6721,MATCH("ISO:",'from website'!B1957:B6721,0))</f>
        <v>JOR</v>
      </c>
      <c r="B88" t="str" cm="1">
        <f t="array" ref="B88">_xlfn.IFNA(INDEX('from website'!$C$2:$C$4766, MATCH(1, ('from website'!$B$2:$B$4766="WHO_REGION:") * ('from website'!D:D=A88), 0)), "No WHO region")</f>
        <v>Eastern Mediterranean</v>
      </c>
      <c r="C88" t="str">
        <f t="shared" si="1"/>
        <v>upper middle income</v>
      </c>
      <c r="D88" t="str" cm="1">
        <f t="array" ref="D88">_xlfn.IFNA(INDEX('from website'!$C$2:$C$4766, MATCH(1, ('from website'!$B$2:$B$4766="World Bank income group:") * ('from website'!D:D=A88), 0)), "No WB income group")</f>
        <v>Upper middle income</v>
      </c>
    </row>
    <row r="89" spans="1:4">
      <c r="A89" t="str">
        <f>INDEX('from website'!C1980:C6744,MATCH("ISO:",'from website'!B1980:B6744,0))</f>
        <v>KAZ</v>
      </c>
      <c r="B89" t="str" cm="1">
        <f t="array" ref="B89">_xlfn.IFNA(INDEX('from website'!$C$2:$C$4766, MATCH(1, ('from website'!$B$2:$B$4766="WHO_REGION:") * ('from website'!D:D=A89), 0)), "No WHO region")</f>
        <v>Europe</v>
      </c>
      <c r="C89" t="str">
        <f t="shared" si="1"/>
        <v>upper middle income</v>
      </c>
      <c r="D89" t="str" cm="1">
        <f t="array" ref="D89">_xlfn.IFNA(INDEX('from website'!$C$2:$C$4766, MATCH(1, ('from website'!$B$2:$B$4766="World Bank income group:") * ('from website'!D:D=A89), 0)), "No WB income group")</f>
        <v>Upper middle income</v>
      </c>
    </row>
    <row r="90" spans="1:4">
      <c r="A90" t="str">
        <f>INDEX('from website'!C2006:C6770,MATCH("ISO:",'from website'!B2006:B6770,0))</f>
        <v>KEN</v>
      </c>
      <c r="B90" t="str" cm="1">
        <f t="array" ref="B90">_xlfn.IFNA(INDEX('from website'!$C$2:$C$4766, MATCH(1, ('from website'!$B$2:$B$4766="WHO_REGION:") * ('from website'!D:D=A90), 0)), "No WHO region")</f>
        <v>Africa</v>
      </c>
      <c r="C90" t="str">
        <f t="shared" si="1"/>
        <v>lower middle income</v>
      </c>
      <c r="D90" t="str" cm="1">
        <f t="array" ref="D90">_xlfn.IFNA(INDEX('from website'!$C$2:$C$4766, MATCH(1, ('from website'!$B$2:$B$4766="World Bank income group:") * ('from website'!D:D=A90), 0)), "No WB income group")</f>
        <v>Lower middle income</v>
      </c>
    </row>
    <row r="91" spans="1:4">
      <c r="A91" t="str">
        <f>INDEX('from website'!C2026:C6790,MATCH("ISO:",'from website'!B2026:B6790,0))</f>
        <v>KIR</v>
      </c>
      <c r="B91" t="str" cm="1">
        <f t="array" ref="B91">_xlfn.IFNA(INDEX('from website'!$C$2:$C$4766, MATCH(1, ('from website'!$B$2:$B$4766="WHO_REGION:") * ('from website'!D:D=A91), 0)), "No WHO region")</f>
        <v>Western Pacific</v>
      </c>
      <c r="C91" t="str">
        <f t="shared" si="1"/>
        <v>lower middle income</v>
      </c>
      <c r="D91" t="str" cm="1">
        <f t="array" ref="D91">_xlfn.IFNA(INDEX('from website'!$C$2:$C$4766, MATCH(1, ('from website'!$B$2:$B$4766="World Bank income group:") * ('from website'!D:D=A91), 0)), "No WB income group")</f>
        <v>Lower middle income</v>
      </c>
    </row>
    <row r="92" spans="1:4">
      <c r="A92" t="str">
        <f>INDEX('from website'!C2052:C6816,MATCH("ISO:",'from website'!B2052:B6816,0))</f>
        <v>KWT</v>
      </c>
      <c r="B92" t="str" cm="1">
        <f t="array" ref="B92">_xlfn.IFNA(INDEX('from website'!$C$2:$C$4766, MATCH(1, ('from website'!$B$2:$B$4766="WHO_REGION:") * ('from website'!D:D=A92), 0)), "No WHO region")</f>
        <v>Eastern Mediterranean</v>
      </c>
      <c r="C92" t="str">
        <f t="shared" si="1"/>
        <v>high income</v>
      </c>
      <c r="D92" t="str" cm="1">
        <f t="array" ref="D92">_xlfn.IFNA(INDEX('from website'!$C$2:$C$4766, MATCH(1, ('from website'!$B$2:$B$4766="World Bank income group:") * ('from website'!D:D=A92), 0)), "No WB income group")</f>
        <v>High income</v>
      </c>
    </row>
    <row r="93" spans="1:4">
      <c r="A93" t="str">
        <f>INDEX('from website'!C2077:C6841,MATCH("ISO:",'from website'!B2077:B6841,0))</f>
        <v>KGZ</v>
      </c>
      <c r="B93" t="str" cm="1">
        <f t="array" ref="B93">_xlfn.IFNA(INDEX('from website'!$C$2:$C$4766, MATCH(1, ('from website'!$B$2:$B$4766="WHO_REGION:") * ('from website'!D:D=A93), 0)), "No WHO region")</f>
        <v>Europe</v>
      </c>
      <c r="C93" t="str">
        <f t="shared" si="1"/>
        <v>lower middle income</v>
      </c>
      <c r="D93" t="str" cm="1">
        <f t="array" ref="D93">_xlfn.IFNA(INDEX('from website'!$C$2:$C$4766, MATCH(1, ('from website'!$B$2:$B$4766="World Bank income group:") * ('from website'!D:D=A93), 0)), "No WB income group")</f>
        <v>Lower middle income</v>
      </c>
    </row>
    <row r="94" spans="1:4">
      <c r="A94" t="str">
        <f>INDEX('from website'!C2098:C6862,MATCH("ISO:",'from website'!B2098:B6862,0))</f>
        <v>LAO</v>
      </c>
      <c r="B94" t="str" cm="1">
        <f t="array" ref="B94">_xlfn.IFNA(INDEX('from website'!$C$2:$C$4766, MATCH(1, ('from website'!$B$2:$B$4766="WHO_REGION:") * ('from website'!D:D=A94), 0)), "No WHO region")</f>
        <v>Western Pacific</v>
      </c>
      <c r="C94" t="str">
        <f t="shared" si="1"/>
        <v>lower middle income</v>
      </c>
      <c r="D94" t="str" cm="1">
        <f t="array" ref="D94">_xlfn.IFNA(INDEX('from website'!$C$2:$C$4766, MATCH(1, ('from website'!$B$2:$B$4766="World Bank income group:") * ('from website'!D:D=A94), 0)), "No WB income group")</f>
        <v>Lower middle income</v>
      </c>
    </row>
    <row r="95" spans="1:4">
      <c r="A95" t="str">
        <f>INDEX('from website'!C2123:C6887,MATCH("ISO:",'from website'!B2123:B6887,0))</f>
        <v>LVA</v>
      </c>
      <c r="B95" t="str" cm="1">
        <f t="array" ref="B95">_xlfn.IFNA(INDEX('from website'!$C$2:$C$4766, MATCH(1, ('from website'!$B$2:$B$4766="WHO_REGION:") * ('from website'!D:D=A95), 0)), "No WHO region")</f>
        <v>Europe</v>
      </c>
      <c r="C95" t="str">
        <f t="shared" si="1"/>
        <v>high income</v>
      </c>
      <c r="D95" t="str" cm="1">
        <f t="array" ref="D95">_xlfn.IFNA(INDEX('from website'!$C$2:$C$4766, MATCH(1, ('from website'!$B$2:$B$4766="World Bank income group:") * ('from website'!D:D=A95), 0)), "No WB income group")</f>
        <v>High income</v>
      </c>
    </row>
    <row r="96" spans="1:4">
      <c r="A96" t="str">
        <f>INDEX('from website'!C2140:C6904,MATCH("ISO:",'from website'!B2140:B6904,0))</f>
        <v>LBN</v>
      </c>
      <c r="B96" t="str" cm="1">
        <f t="array" ref="B96">_xlfn.IFNA(INDEX('from website'!$C$2:$C$4766, MATCH(1, ('from website'!$B$2:$B$4766="WHO_REGION:") * ('from website'!D:D=A96), 0)), "No WHO region")</f>
        <v>Eastern Mediterranean</v>
      </c>
      <c r="C96" t="str">
        <f t="shared" si="1"/>
        <v>upper middle income</v>
      </c>
      <c r="D96" t="str" cm="1">
        <f t="array" ref="D96">_xlfn.IFNA(INDEX('from website'!$C$2:$C$4766, MATCH(1, ('from website'!$B$2:$B$4766="World Bank income group:") * ('from website'!D:D=A96), 0)), "No WB income group")</f>
        <v>Upper middle income</v>
      </c>
    </row>
    <row r="97" spans="1:4">
      <c r="A97" t="str">
        <f>INDEX('from website'!C2163:C6927,MATCH("ISO:",'from website'!B2163:B6927,0))</f>
        <v>LSO</v>
      </c>
      <c r="B97" t="str" cm="1">
        <f t="array" ref="B97">_xlfn.IFNA(INDEX('from website'!$C$2:$C$4766, MATCH(1, ('from website'!$B$2:$B$4766="WHO_REGION:") * ('from website'!D:D=A97), 0)), "No WHO region")</f>
        <v>Africa</v>
      </c>
      <c r="C97" t="str">
        <f t="shared" si="1"/>
        <v>lower middle income</v>
      </c>
      <c r="D97" t="str" cm="1">
        <f t="array" ref="D97">_xlfn.IFNA(INDEX('from website'!$C$2:$C$4766, MATCH(1, ('from website'!$B$2:$B$4766="World Bank income group:") * ('from website'!D:D=A97), 0)), "No WB income group")</f>
        <v>Lower middle income</v>
      </c>
    </row>
    <row r="98" spans="1:4">
      <c r="A98" t="str">
        <f>INDEX('from website'!C2186:C6950,MATCH("ISO:",'from website'!B2186:B6950,0))</f>
        <v>LBR</v>
      </c>
      <c r="B98" t="str" cm="1">
        <f t="array" ref="B98">_xlfn.IFNA(INDEX('from website'!$C$2:$C$4766, MATCH(1, ('from website'!$B$2:$B$4766="WHO_REGION:") * ('from website'!D:D=A98), 0)), "No WHO region")</f>
        <v>Africa</v>
      </c>
      <c r="C98" t="str">
        <f t="shared" si="1"/>
        <v>low income</v>
      </c>
      <c r="D98" t="str" cm="1">
        <f t="array" ref="D98">_xlfn.IFNA(INDEX('from website'!$C$2:$C$4766, MATCH(1, ('from website'!$B$2:$B$4766="World Bank income group:") * ('from website'!D:D=A98), 0)), "No WB income group")</f>
        <v>Low income</v>
      </c>
    </row>
    <row r="99" spans="1:4">
      <c r="A99" t="str">
        <f>INDEX('from website'!C2209:C6973,MATCH("ISO:",'from website'!B2209:B6973,0))</f>
        <v>LBY</v>
      </c>
      <c r="B99" t="str" cm="1">
        <f t="array" ref="B99">_xlfn.IFNA(INDEX('from website'!$C$2:$C$4766, MATCH(1, ('from website'!$B$2:$B$4766="WHO_REGION:") * ('from website'!D:D=A99), 0)), "No WHO region")</f>
        <v>Eastern Mediterranean</v>
      </c>
      <c r="C99" t="str">
        <f t="shared" si="1"/>
        <v>upper middle income</v>
      </c>
      <c r="D99" t="str" cm="1">
        <f t="array" ref="D99">_xlfn.IFNA(INDEX('from website'!$C$2:$C$4766, MATCH(1, ('from website'!$B$2:$B$4766="World Bank income group:") * ('from website'!D:D=A99), 0)), "No WB income group")</f>
        <v>Upper middle income</v>
      </c>
    </row>
    <row r="100" spans="1:4">
      <c r="A100" t="str">
        <f>INDEX('from website'!C2238:C7002,MATCH("ISO:",'from website'!B2238:B7002,0))</f>
        <v>LTU</v>
      </c>
      <c r="B100" t="str" cm="1">
        <f t="array" ref="B100">_xlfn.IFNA(INDEX('from website'!$C$2:$C$4766, MATCH(1, ('from website'!$B$2:$B$4766="WHO_REGION:") * ('from website'!D:D=A100), 0)), "No WHO region")</f>
        <v>Europe</v>
      </c>
      <c r="C100" t="str">
        <f t="shared" si="1"/>
        <v>high income</v>
      </c>
      <c r="D100" t="str" cm="1">
        <f t="array" ref="D100">_xlfn.IFNA(INDEX('from website'!$C$2:$C$4766, MATCH(1, ('from website'!$B$2:$B$4766="World Bank income group:") * ('from website'!D:D=A100), 0)), "No WB income group")</f>
        <v>High income</v>
      </c>
    </row>
    <row r="101" spans="1:4">
      <c r="A101" t="str">
        <f>INDEX('from website'!C2261:C7025,MATCH("ISO:",'from website'!B2261:B7025,0))</f>
        <v>LUX</v>
      </c>
      <c r="B101" t="str" cm="1">
        <f t="array" ref="B101">_xlfn.IFNA(INDEX('from website'!$C$2:$C$4766, MATCH(1, ('from website'!$B$2:$B$4766="WHO_REGION:") * ('from website'!D:D=A101), 0)), "No WHO region")</f>
        <v>Europe</v>
      </c>
      <c r="C101" t="str">
        <f t="shared" si="1"/>
        <v>high income</v>
      </c>
      <c r="D101" t="str" cm="1">
        <f t="array" ref="D101">_xlfn.IFNA(INDEX('from website'!$C$2:$C$4766, MATCH(1, ('from website'!$B$2:$B$4766="World Bank income group:") * ('from website'!D:D=A101), 0)), "No WB income group")</f>
        <v>High income</v>
      </c>
    </row>
    <row r="102" spans="1:4">
      <c r="A102" t="str">
        <f>INDEX('from website'!C2284:C7048,MATCH("ISO:",'from website'!B2284:B7048,0))</f>
        <v>MDG</v>
      </c>
      <c r="B102" t="str" cm="1">
        <f t="array" ref="B102">_xlfn.IFNA(INDEX('from website'!$C$2:$C$4766, MATCH(1, ('from website'!$B$2:$B$4766="WHO_REGION:") * ('from website'!D:D=A102), 0)), "No WHO region")</f>
        <v>Africa</v>
      </c>
      <c r="C102" t="str">
        <f t="shared" si="1"/>
        <v>low income</v>
      </c>
      <c r="D102" t="str" cm="1">
        <f t="array" ref="D102">_xlfn.IFNA(INDEX('from website'!$C$2:$C$4766, MATCH(1, ('from website'!$B$2:$B$4766="World Bank income group:") * ('from website'!D:D=A102), 0)), "No WB income group")</f>
        <v>Low income</v>
      </c>
    </row>
    <row r="103" spans="1:4">
      <c r="A103" t="str">
        <f>INDEX('from website'!C2307:C7071,MATCH("ISO:",'from website'!B2307:B7071,0))</f>
        <v>MWI</v>
      </c>
      <c r="B103" t="str" cm="1">
        <f t="array" ref="B103">_xlfn.IFNA(INDEX('from website'!$C$2:$C$4766, MATCH(1, ('from website'!$B$2:$B$4766="WHO_REGION:") * ('from website'!D:D=A103), 0)), "No WHO region")</f>
        <v>Africa</v>
      </c>
      <c r="C103" t="str">
        <f t="shared" si="1"/>
        <v>low income</v>
      </c>
      <c r="D103" t="str" cm="1">
        <f t="array" ref="D103">_xlfn.IFNA(INDEX('from website'!$C$2:$C$4766, MATCH(1, ('from website'!$B$2:$B$4766="World Bank income group:") * ('from website'!D:D=A103), 0)), "No WB income group")</f>
        <v>Low income</v>
      </c>
    </row>
    <row r="104" spans="1:4">
      <c r="A104" t="str">
        <f>INDEX('from website'!C2328:C7092,MATCH("ISO:",'from website'!B2328:B7092,0))</f>
        <v>MYS</v>
      </c>
      <c r="B104" t="str" cm="1">
        <f t="array" ref="B104">_xlfn.IFNA(INDEX('from website'!$C$2:$C$4766, MATCH(1, ('from website'!$B$2:$B$4766="WHO_REGION:") * ('from website'!D:D=A104), 0)), "No WHO region")</f>
        <v>Western Pacific</v>
      </c>
      <c r="C104" t="str">
        <f t="shared" si="1"/>
        <v>upper middle income</v>
      </c>
      <c r="D104" t="str" cm="1">
        <f t="array" ref="D104">_xlfn.IFNA(INDEX('from website'!$C$2:$C$4766, MATCH(1, ('from website'!$B$2:$B$4766="World Bank income group:") * ('from website'!D:D=A104), 0)), "No WB income group")</f>
        <v>Upper middle income</v>
      </c>
    </row>
    <row r="105" spans="1:4">
      <c r="A105" t="str">
        <f>INDEX('from website'!C2347:C7111,MATCH("ISO:",'from website'!B2347:B7111,0))</f>
        <v>MDV</v>
      </c>
      <c r="B105" t="str" cm="1">
        <f t="array" ref="B105">_xlfn.IFNA(INDEX('from website'!$C$2:$C$4766, MATCH(1, ('from website'!$B$2:$B$4766="WHO_REGION:") * ('from website'!D:D=A105), 0)), "No WHO region")</f>
        <v>South-East Asia</v>
      </c>
      <c r="C105" t="str">
        <f t="shared" si="1"/>
        <v>upper middle income</v>
      </c>
      <c r="D105" t="str" cm="1">
        <f t="array" ref="D105">_xlfn.IFNA(INDEX('from website'!$C$2:$C$4766, MATCH(1, ('from website'!$B$2:$B$4766="World Bank income group:") * ('from website'!D:D=A105), 0)), "No WB income group")</f>
        <v>Upper middle income</v>
      </c>
    </row>
    <row r="106" spans="1:4">
      <c r="A106" t="str">
        <f>INDEX('from website'!C2369:C7133,MATCH("ISO:",'from website'!B2369:B7133,0))</f>
        <v>MLI</v>
      </c>
      <c r="B106" t="str" cm="1">
        <f t="array" ref="B106">_xlfn.IFNA(INDEX('from website'!$C$2:$C$4766, MATCH(1, ('from website'!$B$2:$B$4766="WHO_REGION:") * ('from website'!D:D=A106), 0)), "No WHO region")</f>
        <v>Africa</v>
      </c>
      <c r="C106" t="str">
        <f t="shared" si="1"/>
        <v>low income</v>
      </c>
      <c r="D106" t="str" cm="1">
        <f t="array" ref="D106">_xlfn.IFNA(INDEX('from website'!$C$2:$C$4766, MATCH(1, ('from website'!$B$2:$B$4766="World Bank income group:") * ('from website'!D:D=A106), 0)), "No WB income group")</f>
        <v>Low income</v>
      </c>
    </row>
    <row r="107" spans="1:4">
      <c r="A107" t="str">
        <f>INDEX('from website'!C2392:C7156,MATCH("ISO:",'from website'!B2392:B7156,0))</f>
        <v>MLT</v>
      </c>
      <c r="B107" t="str" cm="1">
        <f t="array" ref="B107">_xlfn.IFNA(INDEX('from website'!$C$2:$C$4766, MATCH(1, ('from website'!$B$2:$B$4766="WHO_REGION:") * ('from website'!D:D=A107), 0)), "No WHO region")</f>
        <v>Europe</v>
      </c>
      <c r="C107" t="str">
        <f t="shared" si="1"/>
        <v>high income</v>
      </c>
      <c r="D107" t="str" cm="1">
        <f t="array" ref="D107">_xlfn.IFNA(INDEX('from website'!$C$2:$C$4766, MATCH(1, ('from website'!$B$2:$B$4766="World Bank income group:") * ('from website'!D:D=A107), 0)), "No WB income group")</f>
        <v>High income</v>
      </c>
    </row>
    <row r="108" spans="1:4">
      <c r="A108" t="str">
        <f>INDEX('from website'!C2415:C7179,MATCH("ISO:",'from website'!B2415:B7179,0))</f>
        <v>MHL</v>
      </c>
      <c r="B108" t="str" cm="1">
        <f t="array" ref="B108">_xlfn.IFNA(INDEX('from website'!$C$2:$C$4766, MATCH(1, ('from website'!$B$2:$B$4766="WHO_REGION:") * ('from website'!D:D=A108), 0)), "No WHO region")</f>
        <v>Western Pacific</v>
      </c>
      <c r="C108" t="str">
        <f t="shared" si="1"/>
        <v>upper middle income</v>
      </c>
      <c r="D108" t="str" cm="1">
        <f t="array" ref="D108">_xlfn.IFNA(INDEX('from website'!$C$2:$C$4766, MATCH(1, ('from website'!$B$2:$B$4766="World Bank income group:") * ('from website'!D:D=A108), 0)), "No WB income group")</f>
        <v>Upper middle income</v>
      </c>
    </row>
    <row r="109" spans="1:4">
      <c r="A109" t="str">
        <f>INDEX('from website'!C2441:C7205,MATCH("ISO:",'from website'!B2441:B7205,0))</f>
        <v>MRT</v>
      </c>
      <c r="B109" t="str" cm="1">
        <f t="array" ref="B109">_xlfn.IFNA(INDEX('from website'!$C$2:$C$4766, MATCH(1, ('from website'!$B$2:$B$4766="WHO_REGION:") * ('from website'!D:D=A109), 0)), "No WHO region")</f>
        <v>Africa</v>
      </c>
      <c r="C109" t="str">
        <f t="shared" si="1"/>
        <v>lower middle income</v>
      </c>
      <c r="D109" t="str" cm="1">
        <f t="array" ref="D109">_xlfn.IFNA(INDEX('from website'!$C$2:$C$4766, MATCH(1, ('from website'!$B$2:$B$4766="World Bank income group:") * ('from website'!D:D=A109), 0)), "No WB income group")</f>
        <v>Lower middle income</v>
      </c>
    </row>
    <row r="110" spans="1:4">
      <c r="A110" t="str">
        <f>INDEX('from website'!C2458:C7222,MATCH("ISO:",'from website'!B2458:B7222,0))</f>
        <v>MUS</v>
      </c>
      <c r="B110" t="str" cm="1">
        <f t="array" ref="B110">_xlfn.IFNA(INDEX('from website'!$C$2:$C$4766, MATCH(1, ('from website'!$B$2:$B$4766="WHO_REGION:") * ('from website'!D:D=A110), 0)), "No WHO region")</f>
        <v>Africa</v>
      </c>
      <c r="C110" t="str">
        <f t="shared" si="1"/>
        <v>upper middle income</v>
      </c>
      <c r="D110" t="str" cm="1">
        <f t="array" ref="D110">_xlfn.IFNA(INDEX('from website'!$C$2:$C$4766, MATCH(1, ('from website'!$B$2:$B$4766="World Bank income group:") * ('from website'!D:D=A110), 0)), "No WB income group")</f>
        <v>Upper middle income</v>
      </c>
    </row>
    <row r="111" spans="1:4">
      <c r="A111" t="str">
        <f>INDEX('from website'!C2481:C7245,MATCH("ISO:",'from website'!B2481:B7245,0))</f>
        <v>MEX</v>
      </c>
      <c r="B111" t="str" cm="1">
        <f t="array" ref="B111">_xlfn.IFNA(INDEX('from website'!$C$2:$C$4766, MATCH(1, ('from website'!$B$2:$B$4766="WHO_REGION:") * ('from website'!D:D=A111), 0)), "No WHO region")</f>
        <v>Americas</v>
      </c>
      <c r="C111" t="str">
        <f t="shared" si="1"/>
        <v>upper middle income</v>
      </c>
      <c r="D111" t="str" cm="1">
        <f t="array" ref="D111">_xlfn.IFNA(INDEX('from website'!$C$2:$C$4766, MATCH(1, ('from website'!$B$2:$B$4766="World Bank income group:") * ('from website'!D:D=A111), 0)), "No WB income group")</f>
        <v>Upper middle income</v>
      </c>
    </row>
    <row r="112" spans="1:4">
      <c r="A112" t="str">
        <f>INDEX('from website'!C2504:C7268,MATCH("ISO:",'from website'!B2504:B7268,0))</f>
        <v>FSM</v>
      </c>
      <c r="B112" t="str" cm="1">
        <f t="array" ref="B112">_xlfn.IFNA(INDEX('from website'!$C$2:$C$4766, MATCH(1, ('from website'!$B$2:$B$4766="WHO_REGION:") * ('from website'!D:D=A112), 0)), "No WHO region")</f>
        <v>Western Pacific</v>
      </c>
      <c r="C112" t="str">
        <f t="shared" si="1"/>
        <v>lower middle income</v>
      </c>
      <c r="D112" t="str" cm="1">
        <f t="array" ref="D112">_xlfn.IFNA(INDEX('from website'!$C$2:$C$4766, MATCH(1, ('from website'!$B$2:$B$4766="World Bank income group:") * ('from website'!D:D=A112), 0)), "No WB income group")</f>
        <v>Lower middle income</v>
      </c>
    </row>
    <row r="113" spans="1:4">
      <c r="A113" t="str">
        <f>INDEX('from website'!C2529:C7293,MATCH("ISO:",'from website'!B2529:B7293,0))</f>
        <v>MCO</v>
      </c>
      <c r="B113" t="str" cm="1">
        <f t="array" ref="B113">_xlfn.IFNA(INDEX('from website'!$C$2:$C$4766, MATCH(1, ('from website'!$B$2:$B$4766="WHO_REGION:") * ('from website'!D:D=A113), 0)), "No WHO region")</f>
        <v>Europe</v>
      </c>
      <c r="C113" t="str">
        <f t="shared" si="1"/>
        <v>high income</v>
      </c>
      <c r="D113" t="str" cm="1">
        <f t="array" ref="D113">_xlfn.IFNA(INDEX('from website'!$C$2:$C$4766, MATCH(1, ('from website'!$B$2:$B$4766="World Bank income group:") * ('from website'!D:D=A113), 0)), "No WB income group")</f>
        <v>High income</v>
      </c>
    </row>
    <row r="114" spans="1:4">
      <c r="A114" t="str">
        <f>INDEX('from website'!C2546:C7310,MATCH("ISO:",'from website'!B2546:B7310,0))</f>
        <v>MNG</v>
      </c>
      <c r="B114" t="str" cm="1">
        <f t="array" ref="B114">_xlfn.IFNA(INDEX('from website'!$C$2:$C$4766, MATCH(1, ('from website'!$B$2:$B$4766="WHO_REGION:") * ('from website'!D:D=A114), 0)), "No WHO region")</f>
        <v>Western Pacific</v>
      </c>
      <c r="C114" t="str">
        <f t="shared" si="1"/>
        <v>lower middle income</v>
      </c>
      <c r="D114" t="str" cm="1">
        <f t="array" ref="D114">_xlfn.IFNA(INDEX('from website'!$C$2:$C$4766, MATCH(1, ('from website'!$B$2:$B$4766="World Bank income group:") * ('from website'!D:D=A114), 0)), "No WB income group")</f>
        <v>Lower middle income</v>
      </c>
    </row>
    <row r="115" spans="1:4">
      <c r="A115" t="str">
        <f>INDEX('from website'!C2568:C7332,MATCH("ISO:",'from website'!B2568:B7332,0))</f>
        <v>ME1</v>
      </c>
      <c r="B115" t="str" cm="1">
        <f t="array" ref="B115">_xlfn.IFNA(INDEX('from website'!$C$2:$C$4766, MATCH(1, ('from website'!$B$2:$B$4766="WHO_REGION:") * ('from website'!D:D=A115), 0)), "No WHO region")</f>
        <v>South-East Asia</v>
      </c>
      <c r="C115" t="str">
        <f t="shared" si="1"/>
        <v>lower middle income</v>
      </c>
      <c r="D115" t="str" cm="1">
        <f t="array" ref="D115">_xlfn.IFNA(INDEX('from website'!$C$2:$C$4766, MATCH(1, ('from website'!$B$2:$B$4766="World Bank income group:") * ('from website'!D:D=A115), 0)), "No WB income group")</f>
        <v>Lower-middle-income</v>
      </c>
    </row>
    <row r="116" spans="1:4">
      <c r="A116" t="str">
        <f>INDEX('from website'!C2587:C7351,MATCH("ISO:",'from website'!B2587:B7351,0))</f>
        <v>MAR</v>
      </c>
      <c r="B116" t="str" cm="1">
        <f t="array" ref="B116">_xlfn.IFNA(INDEX('from website'!$C$2:$C$4766, MATCH(1, ('from website'!$B$2:$B$4766="WHO_REGION:") * ('from website'!D:D=A116), 0)), "No WHO region")</f>
        <v>Eastern Mediterranean</v>
      </c>
      <c r="C116" t="str">
        <f t="shared" si="1"/>
        <v>lower middle income</v>
      </c>
      <c r="D116" t="str" cm="1">
        <f t="array" ref="D116">_xlfn.IFNA(INDEX('from website'!$C$2:$C$4766, MATCH(1, ('from website'!$B$2:$B$4766="World Bank income group:") * ('from website'!D:D=A116), 0)), "No WB income group")</f>
        <v>Lower middle income</v>
      </c>
    </row>
    <row r="117" spans="1:4">
      <c r="A117" t="str">
        <f>INDEX('from website'!C2606:C7370,MATCH("ISO:",'from website'!B2606:B7370,0))</f>
        <v>MOZ</v>
      </c>
      <c r="B117" t="str" cm="1">
        <f t="array" ref="B117">_xlfn.IFNA(INDEX('from website'!$C$2:$C$4766, MATCH(1, ('from website'!$B$2:$B$4766="WHO_REGION:") * ('from website'!D:D=A117), 0)), "No WHO region")</f>
        <v>Africa</v>
      </c>
      <c r="C117" t="str">
        <f t="shared" si="1"/>
        <v>low income</v>
      </c>
      <c r="D117" t="str" cm="1">
        <f t="array" ref="D117">_xlfn.IFNA(INDEX('from website'!$C$2:$C$4766, MATCH(1, ('from website'!$B$2:$B$4766="World Bank income group:") * ('from website'!D:D=A117), 0)), "No WB income group")</f>
        <v>Low income</v>
      </c>
    </row>
    <row r="118" spans="1:4">
      <c r="A118" t="str">
        <f>INDEX('from website'!C2629:C7393,MATCH("ISO:",'from website'!B2629:B7393,0))</f>
        <v>MMR</v>
      </c>
      <c r="B118" t="str" cm="1">
        <f t="array" ref="B118">_xlfn.IFNA(INDEX('from website'!$C$2:$C$4766, MATCH(1, ('from website'!$B$2:$B$4766="WHO_REGION:") * ('from website'!D:D=A118), 0)), "No WHO region")</f>
        <v>South-East Asia</v>
      </c>
      <c r="C118" t="str">
        <f t="shared" si="1"/>
        <v>lower middle income</v>
      </c>
      <c r="D118" t="str" cm="1">
        <f t="array" ref="D118">_xlfn.IFNA(INDEX('from website'!$C$2:$C$4766, MATCH(1, ('from website'!$B$2:$B$4766="World Bank income group:") * ('from website'!D:D=A118), 0)), "No WB income group")</f>
        <v>Lower middle income</v>
      </c>
    </row>
    <row r="119" spans="1:4">
      <c r="A119" t="str">
        <f>INDEX('from website'!C2652:C7416,MATCH("ISO:",'from website'!B2652:B7416,0))</f>
        <v>NAM</v>
      </c>
      <c r="B119" t="str" cm="1">
        <f t="array" ref="B119">_xlfn.IFNA(INDEX('from website'!$C$2:$C$4766, MATCH(1, ('from website'!$B$2:$B$4766="WHO_REGION:") * ('from website'!D:D=A119), 0)), "No WHO region")</f>
        <v>Africa</v>
      </c>
      <c r="C119" t="str">
        <f t="shared" si="1"/>
        <v>upper middle income</v>
      </c>
      <c r="D119" t="str" cm="1">
        <f t="array" ref="D119">_xlfn.IFNA(INDEX('from website'!$C$2:$C$4766, MATCH(1, ('from website'!$B$2:$B$4766="World Bank income group:") * ('from website'!D:D=A119), 0)), "No WB income group")</f>
        <v>Upper middle income</v>
      </c>
    </row>
    <row r="120" spans="1:4">
      <c r="A120" t="str">
        <f>INDEX('from website'!C2681:C7445,MATCH("ISO:",'from website'!B2681:B7445,0))</f>
        <v>NRU</v>
      </c>
      <c r="B120" t="str" cm="1">
        <f t="array" ref="B120">_xlfn.IFNA(INDEX('from website'!$C$2:$C$4766, MATCH(1, ('from website'!$B$2:$B$4766="WHO_REGION:") * ('from website'!D:D=A120), 0)), "No WHO region")</f>
        <v>Western Pacific</v>
      </c>
      <c r="C120" t="str">
        <f t="shared" si="1"/>
        <v>upper middle income</v>
      </c>
      <c r="D120" t="str" cm="1">
        <f t="array" ref="D120">_xlfn.IFNA(INDEX('from website'!$C$2:$C$4766, MATCH(1, ('from website'!$B$2:$B$4766="World Bank income group:") * ('from website'!D:D=A120), 0)), "No WB income group")</f>
        <v>Upper middle income</v>
      </c>
    </row>
    <row r="121" spans="1:4">
      <c r="A121" t="str">
        <f>INDEX('from website'!C2694:C7458,MATCH("ISO:",'from website'!B2694:B7458,0))</f>
        <v>NPL</v>
      </c>
      <c r="B121" t="str" cm="1">
        <f t="array" ref="B121">_xlfn.IFNA(INDEX('from website'!$C$2:$C$4766, MATCH(1, ('from website'!$B$2:$B$4766="WHO_REGION:") * ('from website'!D:D=A121), 0)), "No WHO region")</f>
        <v>South-East Asia</v>
      </c>
      <c r="C121" t="str">
        <f t="shared" si="1"/>
        <v>low income</v>
      </c>
      <c r="D121" t="str" cm="1">
        <f t="array" ref="D121">_xlfn.IFNA(INDEX('from website'!$C$2:$C$4766, MATCH(1, ('from website'!$B$2:$B$4766="World Bank income group:") * ('from website'!D:D=A121), 0)), "No WB income group")</f>
        <v>Low income</v>
      </c>
    </row>
    <row r="122" spans="1:4">
      <c r="A122" t="str">
        <f>INDEX('from website'!C2721:C7485,MATCH("ISO:",'from website'!B2721:B7485,0))</f>
        <v>NLD</v>
      </c>
      <c r="B122" t="str" cm="1">
        <f t="array" ref="B122">_xlfn.IFNA(INDEX('from website'!$C$2:$C$4766, MATCH(1, ('from website'!$B$2:$B$4766="WHO_REGION:") * ('from website'!D:D=A122), 0)), "No WHO region")</f>
        <v>Europe</v>
      </c>
      <c r="C122" t="str">
        <f t="shared" si="1"/>
        <v>high income</v>
      </c>
      <c r="D122" t="str" cm="1">
        <f t="array" ref="D122">_xlfn.IFNA(INDEX('from website'!$C$2:$C$4766, MATCH(1, ('from website'!$B$2:$B$4766="World Bank income group:") * ('from website'!D:D=A122), 0)), "No WB income group")</f>
        <v>High income</v>
      </c>
    </row>
    <row r="123" spans="1:4">
      <c r="A123" t="str">
        <f>INDEX('from website'!C2738:C7502,MATCH("ISO:",'from website'!B2738:B7502,0))</f>
        <v>NZL</v>
      </c>
      <c r="B123" t="str" cm="1">
        <f t="array" ref="B123">_xlfn.IFNA(INDEX('from website'!$C$2:$C$4766, MATCH(1, ('from website'!$B$2:$B$4766="WHO_REGION:") * ('from website'!D:D=A123), 0)), "No WHO region")</f>
        <v>Western Pacific</v>
      </c>
      <c r="C123" t="str">
        <f t="shared" si="1"/>
        <v>high income</v>
      </c>
      <c r="D123" t="str" cm="1">
        <f t="array" ref="D123">_xlfn.IFNA(INDEX('from website'!$C$2:$C$4766, MATCH(1, ('from website'!$B$2:$B$4766="World Bank income group:") * ('from website'!D:D=A123), 0)), "No WB income group")</f>
        <v>High income</v>
      </c>
    </row>
    <row r="124" spans="1:4">
      <c r="A124" t="str">
        <f>INDEX('from website'!C2767:C7531,MATCH("ISO:",'from website'!B2767:B7531,0))</f>
        <v>NIC</v>
      </c>
      <c r="B124" t="str" cm="1">
        <f t="array" ref="B124">_xlfn.IFNA(INDEX('from website'!$C$2:$C$4766, MATCH(1, ('from website'!$B$2:$B$4766="WHO_REGION:") * ('from website'!D:D=A124), 0)), "No WHO region")</f>
        <v>Americas</v>
      </c>
      <c r="C124" t="str">
        <f t="shared" si="1"/>
        <v>lower middle income</v>
      </c>
      <c r="D124" t="str" cm="1">
        <f t="array" ref="D124">_xlfn.IFNA(INDEX('from website'!$C$2:$C$4766, MATCH(1, ('from website'!$B$2:$B$4766="World Bank income group:") * ('from website'!D:D=A124), 0)), "No WB income group")</f>
        <v>Lower middle income</v>
      </c>
    </row>
    <row r="125" spans="1:4">
      <c r="A125" t="str">
        <f>INDEX('from website'!C2790:C7554,MATCH("ISO:",'from website'!B2790:B7554,0))</f>
        <v>NER</v>
      </c>
      <c r="B125" t="str" cm="1">
        <f t="array" ref="B125">_xlfn.IFNA(INDEX('from website'!$C$2:$C$4766, MATCH(1, ('from website'!$B$2:$B$4766="WHO_REGION:") * ('from website'!D:D=A125), 0)), "No WHO region")</f>
        <v>Africa</v>
      </c>
      <c r="C125" t="str">
        <f t="shared" si="1"/>
        <v>low income</v>
      </c>
      <c r="D125" t="str" cm="1">
        <f t="array" ref="D125">_xlfn.IFNA(INDEX('from website'!$C$2:$C$4766, MATCH(1, ('from website'!$B$2:$B$4766="World Bank income group:") * ('from website'!D:D=A125), 0)), "No WB income group")</f>
        <v>Low income</v>
      </c>
    </row>
    <row r="126" spans="1:4">
      <c r="A126" t="str">
        <f>INDEX('from website'!C2807:C7571,MATCH("ISO:",'from website'!B2807:B7571,0))</f>
        <v>NGA</v>
      </c>
      <c r="B126" t="str" cm="1">
        <f t="array" ref="B126">_xlfn.IFNA(INDEX('from website'!$C$2:$C$4766, MATCH(1, ('from website'!$B$2:$B$4766="WHO_REGION:") * ('from website'!D:D=A126), 0)), "No WHO region")</f>
        <v>Africa</v>
      </c>
      <c r="C126" t="str">
        <f t="shared" si="1"/>
        <v>lower middle income</v>
      </c>
      <c r="D126" t="str" cm="1">
        <f t="array" ref="D126">_xlfn.IFNA(INDEX('from website'!$C$2:$C$4766, MATCH(1, ('from website'!$B$2:$B$4766="World Bank income group:") * ('from website'!D:D=A126), 0)), "No WB income group")</f>
        <v>Lower middle income</v>
      </c>
    </row>
    <row r="127" spans="1:4">
      <c r="A127" t="str">
        <f>INDEX('from website'!C2830:C7594,MATCH("ISO:",'from website'!B2830:B7594,0))</f>
        <v>NIU</v>
      </c>
      <c r="B127" t="str" cm="1">
        <f t="array" ref="B127">_xlfn.IFNA(INDEX('from website'!$C$2:$C$4766, MATCH(1, ('from website'!$B$2:$B$4766="WHO_REGION:") * ('from website'!D:D=A127), 0)), "No WHO region")</f>
        <v>Western Pacific</v>
      </c>
      <c r="C127" t="str">
        <f t="shared" si="1"/>
        <v>low income</v>
      </c>
      <c r="D127" t="str" cm="1">
        <f t="array" ref="D127">_xlfn.IFNA(INDEX('from website'!$C$2:$C$4766, MATCH(1, ('from website'!$B$2:$B$4766="World Bank income group:") * ('from website'!D:D=A127), 0)), "No WB income group")</f>
        <v>Low-income</v>
      </c>
    </row>
    <row r="128" spans="1:4">
      <c r="A128" t="str">
        <f>INDEX('from website'!C2855:C7619,MATCH("ISO:",'from website'!B2855:B7619,0))</f>
        <v>NOR</v>
      </c>
      <c r="B128" t="str" cm="1">
        <f t="array" ref="B128">_xlfn.IFNA(INDEX('from website'!$C$2:$C$4766, MATCH(1, ('from website'!$B$2:$B$4766="WHO_REGION:") * ('from website'!D:D=A128), 0)), "No WHO region")</f>
        <v>Europe</v>
      </c>
      <c r="C128" t="str">
        <f t="shared" si="1"/>
        <v>high income</v>
      </c>
      <c r="D128" t="str" cm="1">
        <f t="array" ref="D128">_xlfn.IFNA(INDEX('from website'!$C$2:$C$4766, MATCH(1, ('from website'!$B$2:$B$4766="World Bank income group:") * ('from website'!D:D=A128), 0)), "No WB income group")</f>
        <v>High income</v>
      </c>
    </row>
    <row r="129" spans="1:4">
      <c r="A129" t="str">
        <f>INDEX('from website'!C2874:C7638,MATCH("ISO:",'from website'!B2874:B7638,0))</f>
        <v>OMN</v>
      </c>
      <c r="B129" t="str" cm="1">
        <f t="array" ref="B129">_xlfn.IFNA(INDEX('from website'!$C$2:$C$4766, MATCH(1, ('from website'!$B$2:$B$4766="WHO_REGION:") * ('from website'!D:D=A129), 0)), "No WHO region")</f>
        <v>Eastern Mediterranean</v>
      </c>
      <c r="C129" t="str">
        <f t="shared" si="1"/>
        <v>high income</v>
      </c>
      <c r="D129" t="str" cm="1">
        <f t="array" ref="D129">_xlfn.IFNA(INDEX('from website'!$C$2:$C$4766, MATCH(1, ('from website'!$B$2:$B$4766="World Bank income group:") * ('from website'!D:D=A129), 0)), "No WB income group")</f>
        <v>High income</v>
      </c>
    </row>
    <row r="130" spans="1:4">
      <c r="A130" t="str">
        <f>INDEX('from website'!C2900:C7664,MATCH("ISO:",'from website'!B2900:B7664,0))</f>
        <v>PAK</v>
      </c>
      <c r="B130" t="str" cm="1">
        <f t="array" ref="B130">_xlfn.IFNA(INDEX('from website'!$C$2:$C$4766, MATCH(1, ('from website'!$B$2:$B$4766="WHO_REGION:") * ('from website'!D:D=A130), 0)), "No WHO region")</f>
        <v>Eastern Mediterranean</v>
      </c>
      <c r="C130" t="str">
        <f t="shared" si="1"/>
        <v>lower middle income</v>
      </c>
      <c r="D130" t="str" cm="1">
        <f t="array" ref="D130">_xlfn.IFNA(INDEX('from website'!$C$2:$C$4766, MATCH(1, ('from website'!$B$2:$B$4766="World Bank income group:") * ('from website'!D:D=A130), 0)), "No WB income group")</f>
        <v>Lower middle income</v>
      </c>
    </row>
    <row r="131" spans="1:4">
      <c r="A131" t="str">
        <f>INDEX('from website'!C2919:C7683,MATCH("ISO:",'from website'!B2919:B7683,0))</f>
        <v>PLW</v>
      </c>
      <c r="B131" t="str" cm="1">
        <f t="array" ref="B131">_xlfn.IFNA(INDEX('from website'!$C$2:$C$4766, MATCH(1, ('from website'!$B$2:$B$4766="WHO_REGION:") * ('from website'!D:D=A131), 0)), "No WHO region")</f>
        <v>Western Pacific</v>
      </c>
      <c r="C131" t="str">
        <f t="shared" ref="C131:C194" si="2">LOWER(SUBSTITUTE(D131,"-"," "))</f>
        <v>high income</v>
      </c>
      <c r="D131" t="str" cm="1">
        <f t="array" ref="D131">_xlfn.IFNA(INDEX('from website'!$C$2:$C$4766, MATCH(1, ('from website'!$B$2:$B$4766="World Bank income group:") * ('from website'!D:D=A131), 0)), "No WB income group")</f>
        <v>High income</v>
      </c>
    </row>
    <row r="132" spans="1:4">
      <c r="A132" t="str">
        <f>INDEX('from website'!C2946:C7710,MATCH("ISO:",'from website'!B2946:B7710,0))</f>
        <v>PAN</v>
      </c>
      <c r="B132" t="str" cm="1">
        <f t="array" ref="B132">_xlfn.IFNA(INDEX('from website'!$C$2:$C$4766, MATCH(1, ('from website'!$B$2:$B$4766="WHO_REGION:") * ('from website'!D:D=A132), 0)), "No WHO region")</f>
        <v>Americas</v>
      </c>
      <c r="C132" t="str">
        <f t="shared" si="2"/>
        <v>high income</v>
      </c>
      <c r="D132" t="str" cm="1">
        <f t="array" ref="D132">_xlfn.IFNA(INDEX('from website'!$C$2:$C$4766, MATCH(1, ('from website'!$B$2:$B$4766="World Bank income group:") * ('from website'!D:D=A132), 0)), "No WB income group")</f>
        <v>High income</v>
      </c>
    </row>
    <row r="133" spans="1:4">
      <c r="A133" t="str">
        <f>INDEX('from website'!C2963:C7727,MATCH("ISO:",'from website'!B2963:B7727,0))</f>
        <v>PNG</v>
      </c>
      <c r="B133" t="str" cm="1">
        <f t="array" ref="B133">_xlfn.IFNA(INDEX('from website'!$C$2:$C$4766, MATCH(1, ('from website'!$B$2:$B$4766="WHO_REGION:") * ('from website'!D:D=A133), 0)), "No WHO region")</f>
        <v>Western Pacific</v>
      </c>
      <c r="C133" t="str">
        <f t="shared" si="2"/>
        <v>lower middle income</v>
      </c>
      <c r="D133" t="str" cm="1">
        <f t="array" ref="D133">_xlfn.IFNA(INDEX('from website'!$C$2:$C$4766, MATCH(1, ('from website'!$B$2:$B$4766="World Bank income group:") * ('from website'!D:D=A133), 0)), "No WB income group")</f>
        <v>Lower middle income</v>
      </c>
    </row>
    <row r="134" spans="1:4">
      <c r="A134" t="str">
        <f>INDEX('from website'!C2986:C7750,MATCH("ISO:",'from website'!B2986:B7750,0))</f>
        <v>PRY</v>
      </c>
      <c r="B134" t="str" cm="1">
        <f t="array" ref="B134">_xlfn.IFNA(INDEX('from website'!$C$2:$C$4766, MATCH(1, ('from website'!$B$2:$B$4766="WHO_REGION:") * ('from website'!D:D=A134), 0)), "No WHO region")</f>
        <v>Americas</v>
      </c>
      <c r="C134" t="str">
        <f t="shared" si="2"/>
        <v>upper middle income</v>
      </c>
      <c r="D134" t="str" cm="1">
        <f t="array" ref="D134">_xlfn.IFNA(INDEX('from website'!$C$2:$C$4766, MATCH(1, ('from website'!$B$2:$B$4766="World Bank income group:") * ('from website'!D:D=A134), 0)), "No WB income group")</f>
        <v>Upper middle income</v>
      </c>
    </row>
    <row r="135" spans="1:4">
      <c r="A135" t="str">
        <f>INDEX('from website'!C3015:C7779,MATCH("ISO:",'from website'!B3015:B7779,0))</f>
        <v>PER</v>
      </c>
      <c r="B135" t="str" cm="1">
        <f t="array" ref="B135">_xlfn.IFNA(INDEX('from website'!$C$2:$C$4766, MATCH(1, ('from website'!$B$2:$B$4766="WHO_REGION:") * ('from website'!D:D=A135), 0)), "No WHO region")</f>
        <v>Americas</v>
      </c>
      <c r="C135" t="str">
        <f t="shared" si="2"/>
        <v>upper middle income</v>
      </c>
      <c r="D135" t="str" cm="1">
        <f t="array" ref="D135">_xlfn.IFNA(INDEX('from website'!$C$2:$C$4766, MATCH(1, ('from website'!$B$2:$B$4766="World Bank income group:") * ('from website'!D:D=A135), 0)), "No WB income group")</f>
        <v>Upper middle income</v>
      </c>
    </row>
    <row r="136" spans="1:4">
      <c r="A136" t="str">
        <f>INDEX('from website'!C3032:C7796,MATCH("ISO:",'from website'!B3032:B7796,0))</f>
        <v>PHL</v>
      </c>
      <c r="B136" t="str" cm="1">
        <f t="array" ref="B136">_xlfn.IFNA(INDEX('from website'!$C$2:$C$4766, MATCH(1, ('from website'!$B$2:$B$4766="WHO_REGION:") * ('from website'!D:D=A136), 0)), "No WHO region")</f>
        <v>Western Pacific</v>
      </c>
      <c r="C136" t="str">
        <f t="shared" si="2"/>
        <v>lower middle income</v>
      </c>
      <c r="D136" t="str" cm="1">
        <f t="array" ref="D136">_xlfn.IFNA(INDEX('from website'!$C$2:$C$4766, MATCH(1, ('from website'!$B$2:$B$4766="World Bank income group:") * ('from website'!D:D=A136), 0)), "No WB income group")</f>
        <v>Lower middle income</v>
      </c>
    </row>
    <row r="137" spans="1:4">
      <c r="A137" t="str">
        <f>INDEX('from website'!C3055:C7819,MATCH("ISO:",'from website'!B3055:B7819,0))</f>
        <v>POL</v>
      </c>
      <c r="B137" t="str" cm="1">
        <f t="array" ref="B137">_xlfn.IFNA(INDEX('from website'!$C$2:$C$4766, MATCH(1, ('from website'!$B$2:$B$4766="WHO_REGION:") * ('from website'!D:D=A137), 0)), "No WHO region")</f>
        <v>Europe</v>
      </c>
      <c r="C137" t="str">
        <f t="shared" si="2"/>
        <v>high income</v>
      </c>
      <c r="D137" t="str" cm="1">
        <f t="array" ref="D137">_xlfn.IFNA(INDEX('from website'!$C$2:$C$4766, MATCH(1, ('from website'!$B$2:$B$4766="World Bank income group:") * ('from website'!D:D=A137), 0)), "No WB income group")</f>
        <v>High income</v>
      </c>
    </row>
    <row r="138" spans="1:4">
      <c r="A138" t="str">
        <f>INDEX('from website'!C3084:C7848,MATCH("ISO:",'from website'!B3084:B7848,0))</f>
        <v>PRT</v>
      </c>
      <c r="B138" t="str" cm="1">
        <f t="array" ref="B138">_xlfn.IFNA(INDEX('from website'!$C$2:$C$4766, MATCH(1, ('from website'!$B$2:$B$4766="WHO_REGION:") * ('from website'!D:D=A138), 0)), "No WHO region")</f>
        <v>Europe</v>
      </c>
      <c r="C138" t="str">
        <f t="shared" si="2"/>
        <v>high income</v>
      </c>
      <c r="D138" t="str" cm="1">
        <f t="array" ref="D138">_xlfn.IFNA(INDEX('from website'!$C$2:$C$4766, MATCH(1, ('from website'!$B$2:$B$4766="World Bank income group:") * ('from website'!D:D=A138), 0)), "No WB income group")</f>
        <v>High income</v>
      </c>
    </row>
    <row r="139" spans="1:4">
      <c r="A139" t="str">
        <f>INDEX('from website'!C3101:C7865,MATCH("ISO:",'from website'!B3101:B7865,0))</f>
        <v>QAT</v>
      </c>
      <c r="B139" t="str" cm="1">
        <f t="array" ref="B139">_xlfn.IFNA(INDEX('from website'!$C$2:$C$4766, MATCH(1, ('from website'!$B$2:$B$4766="WHO_REGION:") * ('from website'!D:D=A139), 0)), "No WHO region")</f>
        <v>Eastern Mediterranean</v>
      </c>
      <c r="C139" t="str">
        <f t="shared" si="2"/>
        <v>high income</v>
      </c>
      <c r="D139" t="str" cm="1">
        <f t="array" ref="D139">_xlfn.IFNA(INDEX('from website'!$C$2:$C$4766, MATCH(1, ('from website'!$B$2:$B$4766="World Bank income group:") * ('from website'!D:D=A139), 0)), "No WB income group")</f>
        <v>High income</v>
      </c>
    </row>
    <row r="140" spans="1:4">
      <c r="A140" t="str">
        <f>INDEX('from website'!C3124:C7888,MATCH("ISO:",'from website'!B3124:B7888,0))</f>
        <v>KOR</v>
      </c>
      <c r="B140" t="str" cm="1">
        <f t="array" ref="B140">_xlfn.IFNA(INDEX('from website'!$C$2:$C$4766, MATCH(1, ('from website'!$B$2:$B$4766="WHO_REGION:") * ('from website'!D:D=A140), 0)), "No WHO region")</f>
        <v>Western Pacific</v>
      </c>
      <c r="C140" t="str">
        <f t="shared" si="2"/>
        <v>high income</v>
      </c>
      <c r="D140" t="str" cm="1">
        <f t="array" ref="D140">_xlfn.IFNA(INDEX('from website'!$C$2:$C$4766, MATCH(1, ('from website'!$B$2:$B$4766="World Bank income group:") * ('from website'!D:D=A140), 0)), "No WB income group")</f>
        <v>High income</v>
      </c>
    </row>
    <row r="141" spans="1:4">
      <c r="A141" t="str">
        <f>INDEX('from website'!C3153:C7917,MATCH("ISO:",'from website'!B3153:B7917,0))</f>
        <v>MDA</v>
      </c>
      <c r="B141" t="str" cm="1">
        <f t="array" ref="B141">_xlfn.IFNA(INDEX('from website'!$C$2:$C$4766, MATCH(1, ('from website'!$B$2:$B$4766="WHO_REGION:") * ('from website'!D:D=A141), 0)), "No WHO region")</f>
        <v>Europe</v>
      </c>
      <c r="C141" t="str">
        <f t="shared" si="2"/>
        <v>lower middle income</v>
      </c>
      <c r="D141" t="str" cm="1">
        <f t="array" ref="D141">_xlfn.IFNA(INDEX('from website'!$C$2:$C$4766, MATCH(1, ('from website'!$B$2:$B$4766="World Bank income group:") * ('from website'!D:D=A141), 0)), "No WB income group")</f>
        <v>Lower middle income</v>
      </c>
    </row>
    <row r="142" spans="1:4">
      <c r="A142" t="str">
        <f>INDEX('from website'!C3170:C7934,MATCH("ISO:",'from website'!B3170:B7934,0))</f>
        <v>ROU</v>
      </c>
      <c r="B142" t="str" cm="1">
        <f t="array" ref="B142">_xlfn.IFNA(INDEX('from website'!$C$2:$C$4766, MATCH(1, ('from website'!$B$2:$B$4766="WHO_REGION:") * ('from website'!D:D=A142), 0)), "No WHO region")</f>
        <v>Europe</v>
      </c>
      <c r="C142" t="str">
        <f t="shared" si="2"/>
        <v>upper middle income</v>
      </c>
      <c r="D142" t="str" cm="1">
        <f t="array" ref="D142">_xlfn.IFNA(INDEX('from website'!$C$2:$C$4766, MATCH(1, ('from website'!$B$2:$B$4766="World Bank income group:") * ('from website'!D:D=A142), 0)), "No WB income group")</f>
        <v>Upper middle income</v>
      </c>
    </row>
    <row r="143" spans="1:4">
      <c r="A143" t="str">
        <f>INDEX('from website'!C3199:C7963,MATCH("ISO:",'from website'!B3199:B7963,0))</f>
        <v>RUS</v>
      </c>
      <c r="B143" t="str" cm="1">
        <f t="array" ref="B143">_xlfn.IFNA(INDEX('from website'!$C$2:$C$4766, MATCH(1, ('from website'!$B$2:$B$4766="WHO_REGION:") * ('from website'!D:D=A143), 0)), "No WHO region")</f>
        <v>Europe</v>
      </c>
      <c r="C143" t="str">
        <f t="shared" si="2"/>
        <v>upper middle income</v>
      </c>
      <c r="D143" t="str" cm="1">
        <f t="array" ref="D143">_xlfn.IFNA(INDEX('from website'!$C$2:$C$4766, MATCH(1, ('from website'!$B$2:$B$4766="World Bank income group:") * ('from website'!D:D=A143), 0)), "No WB income group")</f>
        <v>Upper middle income</v>
      </c>
    </row>
    <row r="144" spans="1:4">
      <c r="A144" t="str">
        <f>INDEX('from website'!C3222:C7986,MATCH("ISO:",'from website'!B3222:B7986,0))</f>
        <v>RWA</v>
      </c>
      <c r="B144" t="str" cm="1">
        <f t="array" ref="B144">_xlfn.IFNA(INDEX('from website'!$C$2:$C$4766, MATCH(1, ('from website'!$B$2:$B$4766="WHO_REGION:") * ('from website'!D:D=A144), 0)), "No WHO region")</f>
        <v>Africa</v>
      </c>
      <c r="C144" t="str">
        <f t="shared" si="2"/>
        <v>low income</v>
      </c>
      <c r="D144" t="str" cm="1">
        <f t="array" ref="D144">_xlfn.IFNA(INDEX('from website'!$C$2:$C$4766, MATCH(1, ('from website'!$B$2:$B$4766="World Bank income group:") * ('from website'!D:D=A144), 0)), "No WB income group")</f>
        <v>Low income</v>
      </c>
    </row>
    <row r="145" spans="1:4">
      <c r="A145" t="str">
        <f>INDEX('from website'!C3239:C8003,MATCH("ISO:",'from website'!B3239:B8003,0))</f>
        <v>KNA</v>
      </c>
      <c r="B145" t="str" cm="1">
        <f t="array" ref="B145">_xlfn.IFNA(INDEX('from website'!$C$2:$C$4766, MATCH(1, ('from website'!$B$2:$B$4766="WHO_REGION:") * ('from website'!D:D=A145), 0)), "No WHO region")</f>
        <v>Americas</v>
      </c>
      <c r="C145" t="str">
        <f t="shared" si="2"/>
        <v>high income</v>
      </c>
      <c r="D145" t="str" cm="1">
        <f t="array" ref="D145">_xlfn.IFNA(INDEX('from website'!$C$2:$C$4766, MATCH(1, ('from website'!$B$2:$B$4766="World Bank income group:") * ('from website'!D:D=A145), 0)), "No WB income group")</f>
        <v>High income</v>
      </c>
    </row>
    <row r="146" spans="1:4">
      <c r="A146" t="str">
        <f>INDEX('from website'!C3266:C8030,MATCH("ISO:",'from website'!B3266:B8030,0))</f>
        <v>LCA</v>
      </c>
      <c r="B146" t="str" cm="1">
        <f t="array" ref="B146">_xlfn.IFNA(INDEX('from website'!$C$2:$C$4766, MATCH(1, ('from website'!$B$2:$B$4766="WHO_REGION:") * ('from website'!D:D=A146), 0)), "No WHO region")</f>
        <v>Americas</v>
      </c>
      <c r="C146" t="str">
        <f t="shared" si="2"/>
        <v>upper middle income</v>
      </c>
      <c r="D146" t="str" cm="1">
        <f t="array" ref="D146">_xlfn.IFNA(INDEX('from website'!$C$2:$C$4766, MATCH(1, ('from website'!$B$2:$B$4766="World Bank income group:") * ('from website'!D:D=A146), 0)), "No WB income group")</f>
        <v>Upper middle income</v>
      </c>
    </row>
    <row r="147" spans="1:4">
      <c r="A147" t="str">
        <f>INDEX('from website'!C3288:C8052,MATCH("ISO:",'from website'!B3288:B8052,0))</f>
        <v>VCT</v>
      </c>
      <c r="B147" t="str" cm="1">
        <f t="array" ref="B147">_xlfn.IFNA(INDEX('from website'!$C$2:$C$4766, MATCH(1, ('from website'!$B$2:$B$4766="WHO_REGION:") * ('from website'!D:D=A147), 0)), "No WHO region")</f>
        <v>Americas</v>
      </c>
      <c r="C147" t="str">
        <f t="shared" si="2"/>
        <v>upper middle income</v>
      </c>
      <c r="D147" t="str" cm="1">
        <f t="array" ref="D147">_xlfn.IFNA(INDEX('from website'!$C$2:$C$4766, MATCH(1, ('from website'!$B$2:$B$4766="World Bank income group:") * ('from website'!D:D=A147), 0)), "No WB income group")</f>
        <v>Upper middle income</v>
      </c>
    </row>
    <row r="148" spans="1:4">
      <c r="A148" t="str">
        <f>INDEX('from website'!C3304:C8068,MATCH("ISO:",'from website'!B3304:B8068,0))</f>
        <v>WSM</v>
      </c>
      <c r="B148" t="str" cm="1">
        <f t="array" ref="B148">_xlfn.IFNA(INDEX('from website'!$C$2:$C$4766, MATCH(1, ('from website'!$B$2:$B$4766="WHO_REGION:") * ('from website'!D:D=A148), 0)), "No WHO region")</f>
        <v>Western Pacific</v>
      </c>
      <c r="C148" t="str">
        <f t="shared" si="2"/>
        <v>upper middle income</v>
      </c>
      <c r="D148" t="str" cm="1">
        <f t="array" ref="D148">_xlfn.IFNA(INDEX('from website'!$C$2:$C$4766, MATCH(1, ('from website'!$B$2:$B$4766="World Bank income group:") * ('from website'!D:D=A148), 0)), "No WB income group")</f>
        <v>Upper middle income</v>
      </c>
    </row>
    <row r="149" spans="1:4">
      <c r="A149" t="str">
        <f>INDEX('from website'!C3333:C8097,MATCH("ISO:",'from website'!B3333:B8097,0))</f>
        <v>SMR</v>
      </c>
      <c r="B149" t="str" cm="1">
        <f t="array" ref="B149">_xlfn.IFNA(INDEX('from website'!$C$2:$C$4766, MATCH(1, ('from website'!$B$2:$B$4766="WHO_REGION:") * ('from website'!D:D=A149), 0)), "No WHO region")</f>
        <v>Europe</v>
      </c>
      <c r="C149" t="str">
        <f t="shared" si="2"/>
        <v>high income</v>
      </c>
      <c r="D149" t="str" cm="1">
        <f t="array" ref="D149">_xlfn.IFNA(INDEX('from website'!$C$2:$C$4766, MATCH(1, ('from website'!$B$2:$B$4766="World Bank income group:") * ('from website'!D:D=A149), 0)), "No WB income group")</f>
        <v>High income</v>
      </c>
    </row>
    <row r="150" spans="1:4">
      <c r="A150" t="str">
        <f>INDEX('from website'!C3350:C8114,MATCH("ISO:",'from website'!B3350:B8114,0))</f>
        <v>STP</v>
      </c>
      <c r="B150" t="str" cm="1">
        <f t="array" ref="B150">_xlfn.IFNA(INDEX('from website'!$C$2:$C$4766, MATCH(1, ('from website'!$B$2:$B$4766="WHO_REGION:") * ('from website'!D:D=A150), 0)), "No WHO region")</f>
        <v>Africa</v>
      </c>
      <c r="C150" t="str">
        <f t="shared" si="2"/>
        <v>lower middle income</v>
      </c>
      <c r="D150" t="str" cm="1">
        <f t="array" ref="D150">_xlfn.IFNA(INDEX('from website'!$C$2:$C$4766, MATCH(1, ('from website'!$B$2:$B$4766="World Bank income group:") * ('from website'!D:D=A150), 0)), "No WB income group")</f>
        <v>Lower middle income</v>
      </c>
    </row>
    <row r="151" spans="1:4">
      <c r="A151" t="str">
        <f>INDEX('from website'!C3379:C8143,MATCH("ISO:",'from website'!B3379:B8143,0))</f>
        <v>SAU</v>
      </c>
      <c r="B151" t="str" cm="1">
        <f t="array" ref="B151">_xlfn.IFNA(INDEX('from website'!$C$2:$C$4766, MATCH(1, ('from website'!$B$2:$B$4766="WHO_REGION:") * ('from website'!D:D=A151), 0)), "No WHO region")</f>
        <v>Eastern Mediterranean</v>
      </c>
      <c r="C151" t="str">
        <f t="shared" si="2"/>
        <v>high income</v>
      </c>
      <c r="D151" t="str" cm="1">
        <f t="array" ref="D151">_xlfn.IFNA(INDEX('from website'!$C$2:$C$4766, MATCH(1, ('from website'!$B$2:$B$4766="World Bank income group:") * ('from website'!D:D=A151), 0)), "No WB income group")</f>
        <v>High income</v>
      </c>
    </row>
    <row r="152" spans="1:4">
      <c r="A152" t="str">
        <f>INDEX('from website'!C3398:C8162,MATCH("ISO:",'from website'!B3398:B8162,0))</f>
        <v>SEN</v>
      </c>
      <c r="B152" t="str" cm="1">
        <f t="array" ref="B152">_xlfn.IFNA(INDEX('from website'!$C$2:$C$4766, MATCH(1, ('from website'!$B$2:$B$4766="WHO_REGION:") * ('from website'!D:D=A152), 0)), "No WHO region")</f>
        <v>Africa</v>
      </c>
      <c r="C152" t="str">
        <f t="shared" si="2"/>
        <v>low income</v>
      </c>
      <c r="D152" t="str" cm="1">
        <f t="array" ref="D152">_xlfn.IFNA(INDEX('from website'!$C$2:$C$4766, MATCH(1, ('from website'!$B$2:$B$4766="World Bank income group:") * ('from website'!D:D=A152), 0)), "No WB income group")</f>
        <v>Low income</v>
      </c>
    </row>
    <row r="153" spans="1:4">
      <c r="A153" t="str">
        <f>INDEX('from website'!C3425:C8189,MATCH("ISO:",'from website'!B3425:B8189,0))</f>
        <v>SRB</v>
      </c>
      <c r="B153" t="str" cm="1">
        <f t="array" ref="B153">_xlfn.IFNA(INDEX('from website'!$C$2:$C$4766, MATCH(1, ('from website'!$B$2:$B$4766="WHO_REGION:") * ('from website'!D:D=A153), 0)), "No WHO region")</f>
        <v>Europe</v>
      </c>
      <c r="C153" t="str">
        <f t="shared" si="2"/>
        <v>upper middle income</v>
      </c>
      <c r="D153" t="str" cm="1">
        <f t="array" ref="D153">_xlfn.IFNA(INDEX('from website'!$C$2:$C$4766, MATCH(1, ('from website'!$B$2:$B$4766="World Bank income group:") * ('from website'!D:D=A153), 0)), "No WB income group")</f>
        <v>Upper middle income</v>
      </c>
    </row>
    <row r="154" spans="1:4">
      <c r="A154" t="str">
        <f>INDEX('from website'!C3450:C8214,MATCH("ISO:",'from website'!B3450:B8214,0))</f>
        <v>SYC</v>
      </c>
      <c r="B154" t="str" cm="1">
        <f t="array" ref="B154">_xlfn.IFNA(INDEX('from website'!$C$2:$C$4766, MATCH(1, ('from website'!$B$2:$B$4766="WHO_REGION:") * ('from website'!D:D=A154), 0)), "No WHO region")</f>
        <v>Africa</v>
      </c>
      <c r="C154" t="str">
        <f t="shared" si="2"/>
        <v>high income</v>
      </c>
      <c r="D154" t="str" cm="1">
        <f t="array" ref="D154">_xlfn.IFNA(INDEX('from website'!$C$2:$C$4766, MATCH(1, ('from website'!$B$2:$B$4766="World Bank income group:") * ('from website'!D:D=A154), 0)), "No WB income group")</f>
        <v>High income</v>
      </c>
    </row>
    <row r="155" spans="1:4">
      <c r="A155" t="str">
        <f>INDEX('from website'!C3467:C8231,MATCH("ISO:",'from website'!B3467:B8231,0))</f>
        <v>SLE</v>
      </c>
      <c r="B155" t="str" cm="1">
        <f t="array" ref="B155">_xlfn.IFNA(INDEX('from website'!$C$2:$C$4766, MATCH(1, ('from website'!$B$2:$B$4766="WHO_REGION:") * ('from website'!D:D=A155), 0)), "No WHO region")</f>
        <v>Africa</v>
      </c>
      <c r="C155" t="str">
        <f t="shared" si="2"/>
        <v>low income</v>
      </c>
      <c r="D155" t="str" cm="1">
        <f t="array" ref="D155">_xlfn.IFNA(INDEX('from website'!$C$2:$C$4766, MATCH(1, ('from website'!$B$2:$B$4766="World Bank income group:") * ('from website'!D:D=A155), 0)), "No WB income group")</f>
        <v>Low income</v>
      </c>
    </row>
    <row r="156" spans="1:4">
      <c r="A156" t="str">
        <f>INDEX('from website'!C3496:C8260,MATCH("ISO:",'from website'!B3496:B8260,0))</f>
        <v>SGP</v>
      </c>
      <c r="B156" t="str" cm="1">
        <f t="array" ref="B156">_xlfn.IFNA(INDEX('from website'!$C$2:$C$4766, MATCH(1, ('from website'!$B$2:$B$4766="WHO_REGION:") * ('from website'!D:D=A156), 0)), "No WHO region")</f>
        <v>Western Pacific</v>
      </c>
      <c r="C156" t="str">
        <f t="shared" si="2"/>
        <v>high income</v>
      </c>
      <c r="D156" t="str" cm="1">
        <f t="array" ref="D156">_xlfn.IFNA(INDEX('from website'!$C$2:$C$4766, MATCH(1, ('from website'!$B$2:$B$4766="World Bank income group:") * ('from website'!D:D=A156), 0)), "No WB income group")</f>
        <v>High income</v>
      </c>
    </row>
    <row r="157" spans="1:4">
      <c r="A157" t="str">
        <f>INDEX('from website'!C3519:C8283,MATCH("ISO:",'from website'!B3519:B8283,0))</f>
        <v>SVK</v>
      </c>
      <c r="B157" t="str" cm="1">
        <f t="array" ref="B157">_xlfn.IFNA(INDEX('from website'!$C$2:$C$4766, MATCH(1, ('from website'!$B$2:$B$4766="WHO_REGION:") * ('from website'!D:D=A157), 0)), "No WHO region")</f>
        <v>Europe</v>
      </c>
      <c r="C157" t="str">
        <f t="shared" si="2"/>
        <v>high income</v>
      </c>
      <c r="D157" t="str" cm="1">
        <f t="array" ref="D157">_xlfn.IFNA(INDEX('from website'!$C$2:$C$4766, MATCH(1, ('from website'!$B$2:$B$4766="World Bank income group:") * ('from website'!D:D=A157), 0)), "No WB income group")</f>
        <v>High income</v>
      </c>
    </row>
    <row r="158" spans="1:4">
      <c r="A158" t="str">
        <f>INDEX('from website'!C3536:C8300,MATCH("ISO:",'from website'!B3536:B8300,0))</f>
        <v>SVN</v>
      </c>
      <c r="B158" t="str" cm="1">
        <f t="array" ref="B158">_xlfn.IFNA(INDEX('from website'!$C$2:$C$4766, MATCH(1, ('from website'!$B$2:$B$4766="WHO_REGION:") * ('from website'!D:D=A158), 0)), "No WHO region")</f>
        <v>Europe</v>
      </c>
      <c r="C158" t="str">
        <f t="shared" si="2"/>
        <v>high income</v>
      </c>
      <c r="D158" t="str" cm="1">
        <f t="array" ref="D158">_xlfn.IFNA(INDEX('from website'!$C$2:$C$4766, MATCH(1, ('from website'!$B$2:$B$4766="World Bank income group:") * ('from website'!D:D=A158), 0)), "No WB income group")</f>
        <v>High income</v>
      </c>
    </row>
    <row r="159" spans="1:4">
      <c r="A159" t="str">
        <f>INDEX('from website'!C3565:C8329,MATCH("ISO:",'from website'!B3565:B8329,0))</f>
        <v>SLB</v>
      </c>
      <c r="B159" t="str" cm="1">
        <f t="array" ref="B159">_xlfn.IFNA(INDEX('from website'!$C$2:$C$4766, MATCH(1, ('from website'!$B$2:$B$4766="WHO_REGION:") * ('from website'!D:D=A159), 0)), "No WHO region")</f>
        <v>Western Pacific</v>
      </c>
      <c r="C159" t="str">
        <f t="shared" si="2"/>
        <v>lower middle income</v>
      </c>
      <c r="D159" t="str" cm="1">
        <f t="array" ref="D159">_xlfn.IFNA(INDEX('from website'!$C$2:$C$4766, MATCH(1, ('from website'!$B$2:$B$4766="World Bank income group:") * ('from website'!D:D=A159), 0)), "No WB income group")</f>
        <v>Lower middle income</v>
      </c>
    </row>
    <row r="160" spans="1:4">
      <c r="A160" t="str">
        <f>INDEX('from website'!C3581:C8345,MATCH("ISO:",'from website'!B3581:B8345,0))</f>
        <v>SOM</v>
      </c>
      <c r="B160" t="str" cm="1">
        <f t="array" ref="B160">_xlfn.IFNA(INDEX('from website'!$C$2:$C$4766, MATCH(1, ('from website'!$B$2:$B$4766="WHO_REGION:") * ('from website'!D:D=A160), 0)), "No WHO region")</f>
        <v>Eastern Mediterranean</v>
      </c>
      <c r="C160" t="str">
        <f t="shared" si="2"/>
        <v>low income</v>
      </c>
      <c r="D160" t="str" cm="1">
        <f t="array" ref="D160">_xlfn.IFNA(INDEX('from website'!$C$2:$C$4766, MATCH(1, ('from website'!$B$2:$B$4766="World Bank income group:") * ('from website'!D:D=A160), 0)), "No WB income group")</f>
        <v>Low income</v>
      </c>
    </row>
    <row r="161" spans="1:4">
      <c r="A161" t="str">
        <f>INDEX('from website'!C3604:C8368,MATCH("ISO:",'from website'!B3604:B8368,0))</f>
        <v>ZAF</v>
      </c>
      <c r="B161" t="str" cm="1">
        <f t="array" ref="B161">_xlfn.IFNA(INDEX('from website'!$C$2:$C$4766, MATCH(1, ('from website'!$B$2:$B$4766="WHO_REGION:") * ('from website'!D:D=A161), 0)), "No WHO region")</f>
        <v>Africa</v>
      </c>
      <c r="C161" t="str">
        <f t="shared" si="2"/>
        <v>upper middle income</v>
      </c>
      <c r="D161" t="str" cm="1">
        <f t="array" ref="D161">_xlfn.IFNA(INDEX('from website'!$C$2:$C$4766, MATCH(1, ('from website'!$B$2:$B$4766="World Bank income group:") * ('from website'!D:D=A161), 0)), "No WB income group")</f>
        <v>Upper middle income</v>
      </c>
    </row>
    <row r="162" spans="1:4">
      <c r="A162" t="str">
        <f>INDEX('from website'!C3627:C8391,MATCH("ISO:",'from website'!B3627:B8391,0))</f>
        <v>ESP</v>
      </c>
      <c r="B162" t="str" cm="1">
        <f t="array" ref="B162">_xlfn.IFNA(INDEX('from website'!$C$2:$C$4766, MATCH(1, ('from website'!$B$2:$B$4766="WHO_REGION:") * ('from website'!D:D=A162), 0)), "No WHO region")</f>
        <v>Europe</v>
      </c>
      <c r="C162" t="str">
        <f t="shared" si="2"/>
        <v>high income</v>
      </c>
      <c r="D162" t="str" cm="1">
        <f t="array" ref="D162">_xlfn.IFNA(INDEX('from website'!$C$2:$C$4766, MATCH(1, ('from website'!$B$2:$B$4766="World Bank income group:") * ('from website'!D:D=A162), 0)), "No WB income group")</f>
        <v>High income</v>
      </c>
    </row>
    <row r="163" spans="1:4">
      <c r="A163" t="str">
        <f>INDEX('from website'!C3650:C8414,MATCH("ISO:",'from website'!B3650:B8414,0))</f>
        <v>LKA</v>
      </c>
      <c r="B163" t="str" cm="1">
        <f t="array" ref="B163">_xlfn.IFNA(INDEX('from website'!$C$2:$C$4766, MATCH(1, ('from website'!$B$2:$B$4766="WHO_REGION:") * ('from website'!D:D=A163), 0)), "No WHO region")</f>
        <v>South-East Asia</v>
      </c>
      <c r="C163" t="str">
        <f t="shared" si="2"/>
        <v>lower middle income</v>
      </c>
      <c r="D163" t="str" cm="1">
        <f t="array" ref="D163">_xlfn.IFNA(INDEX('from website'!$C$2:$C$4766, MATCH(1, ('from website'!$B$2:$B$4766="World Bank income group:") * ('from website'!D:D=A163), 0)), "No WB income group")</f>
        <v>Lower middle income</v>
      </c>
    </row>
    <row r="164" spans="1:4">
      <c r="A164" t="str">
        <f>INDEX('from website'!C3677:C8441,MATCH("ISO:",'from website'!B3677:B8441,0))</f>
        <v>SDN</v>
      </c>
      <c r="B164" t="str" cm="1">
        <f t="array" ref="B164">_xlfn.IFNA(INDEX('from website'!$C$2:$C$4766, MATCH(1, ('from website'!$B$2:$B$4766="WHO_REGION:") * ('from website'!D:D=A164), 0)), "No WHO region")</f>
        <v>Eastern Mediterranean</v>
      </c>
      <c r="C164" t="str">
        <f t="shared" si="2"/>
        <v>lower middle income</v>
      </c>
      <c r="D164" t="str" cm="1">
        <f t="array" ref="D164">_xlfn.IFNA(INDEX('from website'!$C$2:$C$4766, MATCH(1, ('from website'!$B$2:$B$4766="World Bank income group:") * ('from website'!D:D=A164), 0)), "No WB income group")</f>
        <v>Lower middle income</v>
      </c>
    </row>
    <row r="165" spans="1:4">
      <c r="A165" t="str">
        <f>INDEX('from website'!C3702:C8466,MATCH("ISO:",'from website'!B3702:B8466,0))</f>
        <v>SUR</v>
      </c>
      <c r="B165" t="str" cm="1">
        <f t="array" ref="B165">_xlfn.IFNA(INDEX('from website'!$C$2:$C$4766, MATCH(1, ('from website'!$B$2:$B$4766="WHO_REGION:") * ('from website'!D:D=A165), 0)), "No WHO region")</f>
        <v>Americas</v>
      </c>
      <c r="C165" t="str">
        <f t="shared" si="2"/>
        <v>upper middle income</v>
      </c>
      <c r="D165" t="str" cm="1">
        <f t="array" ref="D165">_xlfn.IFNA(INDEX('from website'!$C$2:$C$4766, MATCH(1, ('from website'!$B$2:$B$4766="World Bank income group:") * ('from website'!D:D=A165), 0)), "No WB income group")</f>
        <v>Upper middle income</v>
      </c>
    </row>
    <row r="166" spans="1:4">
      <c r="A166" t="str">
        <f>INDEX('from website'!C3719:C8483,MATCH("ISO:",'from website'!B3719:B8483,0))</f>
        <v>SWZ</v>
      </c>
      <c r="B166" t="str" cm="1">
        <f t="array" ref="B166">_xlfn.IFNA(INDEX('from website'!$C$2:$C$4766, MATCH(1, ('from website'!$B$2:$B$4766="WHO_REGION:") * ('from website'!D:D=A166), 0)), "No WHO region")</f>
        <v>Africa</v>
      </c>
      <c r="C166" t="str">
        <f t="shared" si="2"/>
        <v>lower middle income</v>
      </c>
      <c r="D166" t="str" cm="1">
        <f t="array" ref="D166">_xlfn.IFNA(INDEX('from website'!$C$2:$C$4766, MATCH(1, ('from website'!$B$2:$B$4766="World Bank income group:") * ('from website'!D:D=A166), 0)), "No WB income group")</f>
        <v>Lower middle income</v>
      </c>
    </row>
    <row r="167" spans="1:4">
      <c r="A167" t="str">
        <f>INDEX('from website'!C3742:C8506,MATCH("ISO:",'from website'!B3742:B8506,0))</f>
        <v>SWE</v>
      </c>
      <c r="B167" t="str" cm="1">
        <f t="array" ref="B167">_xlfn.IFNA(INDEX('from website'!$C$2:$C$4766, MATCH(1, ('from website'!$B$2:$B$4766="WHO_REGION:") * ('from website'!D:D=A167), 0)), "No WHO region")</f>
        <v>Europe</v>
      </c>
      <c r="C167" t="str">
        <f t="shared" si="2"/>
        <v>high income</v>
      </c>
      <c r="D167" t="str" cm="1">
        <f t="array" ref="D167">_xlfn.IFNA(INDEX('from website'!$C$2:$C$4766, MATCH(1, ('from website'!$B$2:$B$4766="World Bank income group:") * ('from website'!D:D=A167), 0)), "No WB income group")</f>
        <v>High income</v>
      </c>
    </row>
    <row r="168" spans="1:4">
      <c r="A168" t="str">
        <f>INDEX('from website'!C3767:C8531,MATCH("ISO:",'from website'!B3767:B8531,0))</f>
        <v>CHE</v>
      </c>
      <c r="B168" t="str" cm="1">
        <f t="array" ref="B168">_xlfn.IFNA(INDEX('from website'!$C$2:$C$4766, MATCH(1, ('from website'!$B$2:$B$4766="WHO_REGION:") * ('from website'!D:D=A168), 0)), "No WHO region")</f>
        <v>Europe</v>
      </c>
      <c r="C168" t="str">
        <f t="shared" si="2"/>
        <v>high income</v>
      </c>
      <c r="D168" t="str" cm="1">
        <f t="array" ref="D168">_xlfn.IFNA(INDEX('from website'!$C$2:$C$4766, MATCH(1, ('from website'!$B$2:$B$4766="World Bank income group:") * ('from website'!D:D=A168), 0)), "No WB income group")</f>
        <v>High income</v>
      </c>
    </row>
    <row r="169" spans="1:4">
      <c r="A169" t="str">
        <f>INDEX('from website'!C3786:C8550,MATCH("ISO:",'from website'!B3786:B8550,0))</f>
        <v>SYR</v>
      </c>
      <c r="B169" t="str" cm="1">
        <f t="array" ref="B169">_xlfn.IFNA(INDEX('from website'!$C$2:$C$4766, MATCH(1, ('from website'!$B$2:$B$4766="WHO_REGION:") * ('from website'!D:D=A169), 0)), "No WHO region")</f>
        <v>Eastern Mediterranean</v>
      </c>
      <c r="C169" t="str">
        <f t="shared" si="2"/>
        <v>low income</v>
      </c>
      <c r="D169" t="str" cm="1">
        <f t="array" ref="D169">_xlfn.IFNA(INDEX('from website'!$C$2:$C$4766, MATCH(1, ('from website'!$B$2:$B$4766="World Bank income group:") * ('from website'!D:D=A169), 0)), "No WB income group")</f>
        <v>Low income</v>
      </c>
    </row>
    <row r="170" spans="1:4">
      <c r="A170" t="str">
        <f>INDEX('from website'!C3809:C8573,MATCH("ISO:",'from website'!B3809:B8573,0))</f>
        <v>TJK</v>
      </c>
      <c r="B170" t="str" cm="1">
        <f t="array" ref="B170">_xlfn.IFNA(INDEX('from website'!$C$2:$C$4766, MATCH(1, ('from website'!$B$2:$B$4766="WHO_REGION:") * ('from website'!D:D=A170), 0)), "No WHO region")</f>
        <v>Europe</v>
      </c>
      <c r="C170" t="str">
        <f t="shared" si="2"/>
        <v>low income</v>
      </c>
      <c r="D170" t="str" cm="1">
        <f t="array" ref="D170">_xlfn.IFNA(INDEX('from website'!$C$2:$C$4766, MATCH(1, ('from website'!$B$2:$B$4766="World Bank income group:") * ('from website'!D:D=A170), 0)), "No WB income group")</f>
        <v>Low income</v>
      </c>
    </row>
    <row r="171" spans="1:4">
      <c r="A171" t="str">
        <f>INDEX('from website'!C3832:C8596,MATCH("ISO:",'from website'!B3832:B8596,0))</f>
        <v>THA</v>
      </c>
      <c r="B171" t="str" cm="1">
        <f t="array" ref="B171">_xlfn.IFNA(INDEX('from website'!$C$2:$C$4766, MATCH(1, ('from website'!$B$2:$B$4766="WHO_REGION:") * ('from website'!D:D=A171), 0)), "No WHO region")</f>
        <v>South-East Asia</v>
      </c>
      <c r="C171" t="str">
        <f t="shared" si="2"/>
        <v>upper middle income</v>
      </c>
      <c r="D171" t="str" cm="1">
        <f t="array" ref="D171">_xlfn.IFNA(INDEX('from website'!$C$2:$C$4766, MATCH(1, ('from website'!$B$2:$B$4766="World Bank income group:") * ('from website'!D:D=A171), 0)), "No WB income group")</f>
        <v>Upper middle income</v>
      </c>
    </row>
    <row r="172" spans="1:4">
      <c r="A172" t="str">
        <f>INDEX('from website'!C3861:C8625,MATCH("ISO:",'from website'!B3861:B8625,0))</f>
        <v>MKD</v>
      </c>
      <c r="B172" t="str" cm="1">
        <f t="array" ref="B172">_xlfn.IFNA(INDEX('from website'!$C$2:$C$4766, MATCH(1, ('from website'!$B$2:$B$4766="WHO_REGION:") * ('from website'!D:D=A172), 0)), "No WHO region")</f>
        <v>Europe</v>
      </c>
      <c r="C172" t="str">
        <f t="shared" si="2"/>
        <v>upper middle income</v>
      </c>
      <c r="D172" t="str" cm="1">
        <f t="array" ref="D172">_xlfn.IFNA(INDEX('from website'!$C$2:$C$4766, MATCH(1, ('from website'!$B$2:$B$4766="World Bank income group:") * ('from website'!D:D=A172), 0)), "No WB income group")</f>
        <v>Upper middle income</v>
      </c>
    </row>
    <row r="173" spans="1:4">
      <c r="A173" t="str">
        <f>INDEX('from website'!C3878:C8642,MATCH("ISO:",'from website'!B3878:B8642,0))</f>
        <v>TLS</v>
      </c>
      <c r="B173" t="str" cm="1">
        <f t="array" ref="B173">_xlfn.IFNA(INDEX('from website'!$C$2:$C$4766, MATCH(1, ('from website'!$B$2:$B$4766="WHO_REGION:") * ('from website'!D:D=A173), 0)), "No WHO region")</f>
        <v>South-East Asia</v>
      </c>
      <c r="C173" t="str">
        <f t="shared" si="2"/>
        <v>lower middle income</v>
      </c>
      <c r="D173" t="str" cm="1">
        <f t="array" ref="D173">_xlfn.IFNA(INDEX('from website'!$C$2:$C$4766, MATCH(1, ('from website'!$B$2:$B$4766="World Bank income group:") * ('from website'!D:D=A173), 0)), "No WB income group")</f>
        <v>Lower middle income</v>
      </c>
    </row>
    <row r="174" spans="1:4">
      <c r="A174" t="str">
        <f>INDEX('from website'!C3900:C8664,MATCH("ISO:",'from website'!B3900:B8664,0))</f>
        <v>TGO</v>
      </c>
      <c r="B174" t="str" cm="1">
        <f t="array" ref="B174">_xlfn.IFNA(INDEX('from website'!$C$2:$C$4766, MATCH(1, ('from website'!$B$2:$B$4766="WHO_REGION:") * ('from website'!D:D=A174), 0)), "No WHO region")</f>
        <v>Africa</v>
      </c>
      <c r="C174" t="str">
        <f t="shared" si="2"/>
        <v>low income</v>
      </c>
      <c r="D174" t="str" cm="1">
        <f t="array" ref="D174">_xlfn.IFNA(INDEX('from website'!$C$2:$C$4766, MATCH(1, ('from website'!$B$2:$B$4766="World Bank income group:") * ('from website'!D:D=A174), 0)), "No WB income group")</f>
        <v>Low income</v>
      </c>
    </row>
    <row r="175" spans="1:4">
      <c r="A175" t="str">
        <f>INDEX('from website'!C3923:C8687,MATCH("ISO:",'from website'!B3923:B8687,0))</f>
        <v>TON</v>
      </c>
      <c r="B175" t="str" cm="1">
        <f t="array" ref="B175">_xlfn.IFNA(INDEX('from website'!$C$2:$C$4766, MATCH(1, ('from website'!$B$2:$B$4766="WHO_REGION:") * ('from website'!D:D=A175), 0)), "No WHO region")</f>
        <v>Western Pacific</v>
      </c>
      <c r="C175" t="str">
        <f t="shared" si="2"/>
        <v>upper middle income</v>
      </c>
      <c r="D175" t="str" cm="1">
        <f t="array" ref="D175">_xlfn.IFNA(INDEX('from website'!$C$2:$C$4766, MATCH(1, ('from website'!$B$2:$B$4766="World Bank income group:") * ('from website'!D:D=A175), 0)), "No WB income group")</f>
        <v>Upper middle income</v>
      </c>
    </row>
    <row r="176" spans="1:4">
      <c r="A176" t="str">
        <f>INDEX('from website'!C3949:C8713,MATCH("ISO:",'from website'!B3949:B8713,0))</f>
        <v>TTO</v>
      </c>
      <c r="B176" t="str" cm="1">
        <f t="array" ref="B176">_xlfn.IFNA(INDEX('from website'!$C$2:$C$4766, MATCH(1, ('from website'!$B$2:$B$4766="WHO_REGION:") * ('from website'!D:D=A176), 0)), "No WHO region")</f>
        <v>Americas</v>
      </c>
      <c r="C176" t="str">
        <f t="shared" si="2"/>
        <v>high income</v>
      </c>
      <c r="D176" t="str" cm="1">
        <f t="array" ref="D176">_xlfn.IFNA(INDEX('from website'!$C$2:$C$4766, MATCH(1, ('from website'!$B$2:$B$4766="World Bank income group:") * ('from website'!D:D=A176), 0)), "No WB income group")</f>
        <v>High income</v>
      </c>
    </row>
    <row r="177" spans="1:4">
      <c r="A177" t="str">
        <f>INDEX('from website'!C3976:C8740,MATCH("ISO:",'from website'!B3976:B8740,0))</f>
        <v>TUN</v>
      </c>
      <c r="B177" t="str" cm="1">
        <f t="array" ref="B177">_xlfn.IFNA(INDEX('from website'!$C$2:$C$4766, MATCH(1, ('from website'!$B$2:$B$4766="WHO_REGION:") * ('from website'!D:D=A177), 0)), "No WHO region")</f>
        <v>Eastern Mediterranean</v>
      </c>
      <c r="C177" t="str">
        <f t="shared" si="2"/>
        <v>lower middle income</v>
      </c>
      <c r="D177" t="str" cm="1">
        <f t="array" ref="D177">_xlfn.IFNA(INDEX('from website'!$C$2:$C$4766, MATCH(1, ('from website'!$B$2:$B$4766="World Bank income group:") * ('from website'!D:D=A177), 0)), "No WB income group")</f>
        <v>Lower middle income</v>
      </c>
    </row>
    <row r="178" spans="1:4">
      <c r="A178" t="str">
        <f>INDEX('from website'!C3993:C8757,MATCH("ISO:",'from website'!B3993:B8757,0))</f>
        <v>TUR</v>
      </c>
      <c r="B178" t="str" cm="1">
        <f t="array" ref="B178">_xlfn.IFNA(INDEX('from website'!$C$2:$C$4766, MATCH(1, ('from website'!$B$2:$B$4766="WHO_REGION:") * ('from website'!D:D=A178), 0)), "No WHO region")</f>
        <v>Europe</v>
      </c>
      <c r="C178" t="str">
        <f t="shared" si="2"/>
        <v>upper middle income</v>
      </c>
      <c r="D178" t="str" cm="1">
        <f t="array" ref="D178">_xlfn.IFNA(INDEX('from website'!$C$2:$C$4766, MATCH(1, ('from website'!$B$2:$B$4766="World Bank income group:") * ('from website'!D:D=A178), 0)), "No WB income group")</f>
        <v>Upper middle income</v>
      </c>
    </row>
    <row r="179" spans="1:4">
      <c r="A179" t="str">
        <f>INDEX('from website'!C4016:C8780,MATCH("ISO:",'from website'!B4016:B8780,0))</f>
        <v>TKM</v>
      </c>
      <c r="B179" t="str" cm="1">
        <f t="array" ref="B179">_xlfn.IFNA(INDEX('from website'!$C$2:$C$4766, MATCH(1, ('from website'!$B$2:$B$4766="WHO_REGION:") * ('from website'!D:D=A179), 0)), "No WHO region")</f>
        <v>Europe</v>
      </c>
      <c r="C179" t="str">
        <f t="shared" si="2"/>
        <v>upper middle income</v>
      </c>
      <c r="D179" t="str" cm="1">
        <f t="array" ref="D179">_xlfn.IFNA(INDEX('from website'!$C$2:$C$4766, MATCH(1, ('from website'!$B$2:$B$4766="World Bank income group:") * ('from website'!D:D=A179), 0)), "No WB income group")</f>
        <v>Upper middle income</v>
      </c>
    </row>
    <row r="180" spans="1:4">
      <c r="A180" t="str">
        <f>INDEX('from website'!C4039:C8803,MATCH("ISO:",'from website'!B4039:B8803,0))</f>
        <v>TUV</v>
      </c>
      <c r="B180" t="str" cm="1">
        <f t="array" ref="B180">_xlfn.IFNA(INDEX('from website'!$C$2:$C$4766, MATCH(1, ('from website'!$B$2:$B$4766="WHO_REGION:") * ('from website'!D:D=A180), 0)), "No WHO region")</f>
        <v>Western Pacific</v>
      </c>
      <c r="C180" t="str">
        <f t="shared" si="2"/>
        <v>upper middle income</v>
      </c>
      <c r="D180" t="str" cm="1">
        <f t="array" ref="D180">_xlfn.IFNA(INDEX('from website'!$C$2:$C$4766, MATCH(1, ('from website'!$B$2:$B$4766="World Bank income group:") * ('from website'!D:D=A180), 0)), "No WB income group")</f>
        <v>Upper middle income</v>
      </c>
    </row>
    <row r="181" spans="1:4">
      <c r="A181" t="str">
        <f>INDEX('from website'!C4061:C8825,MATCH("ISO:",'from website'!B4061:B8825,0))</f>
        <v>UGA</v>
      </c>
      <c r="B181" t="str" cm="1">
        <f t="array" ref="B181">_xlfn.IFNA(INDEX('from website'!$C$2:$C$4766, MATCH(1, ('from website'!$B$2:$B$4766="WHO_REGION:") * ('from website'!D:D=A181), 0)), "No WHO region")</f>
        <v>Africa</v>
      </c>
      <c r="C181" t="str">
        <f t="shared" si="2"/>
        <v>low income</v>
      </c>
      <c r="D181" t="str" cm="1">
        <f t="array" ref="D181">_xlfn.IFNA(INDEX('from website'!$C$2:$C$4766, MATCH(1, ('from website'!$B$2:$B$4766="World Bank income group:") * ('from website'!D:D=A181), 0)), "No WB income group")</f>
        <v>Low income</v>
      </c>
    </row>
    <row r="182" spans="1:4">
      <c r="A182" t="str">
        <f>INDEX('from website'!C4084:C8848,MATCH("ISO:",'from website'!B4084:B8848,0))</f>
        <v>UKR</v>
      </c>
      <c r="B182" t="str" cm="1">
        <f t="array" ref="B182">_xlfn.IFNA(INDEX('from website'!$C$2:$C$4766, MATCH(1, ('from website'!$B$2:$B$4766="WHO_REGION:") * ('from website'!D:D=A182), 0)), "No WHO region")</f>
        <v>Europe</v>
      </c>
      <c r="C182" t="str">
        <f t="shared" si="2"/>
        <v>lower middle income</v>
      </c>
      <c r="D182" t="str" cm="1">
        <f t="array" ref="D182">_xlfn.IFNA(INDEX('from website'!$C$2:$C$4766, MATCH(1, ('from website'!$B$2:$B$4766="World Bank income group:") * ('from website'!D:D=A182), 0)), "No WB income group")</f>
        <v>Lower middle income</v>
      </c>
    </row>
    <row r="183" spans="1:4">
      <c r="A183" t="str">
        <f>INDEX('from website'!C4113:C8877,MATCH("ISO:",'from website'!B4113:B8877,0))</f>
        <v>ARE</v>
      </c>
      <c r="B183" t="str" cm="1">
        <f t="array" ref="B183">_xlfn.IFNA(INDEX('from website'!$C$2:$C$4766, MATCH(1, ('from website'!$B$2:$B$4766="WHO_REGION:") * ('from website'!D:D=A183), 0)), "No WHO region")</f>
        <v>Eastern Mediterranean</v>
      </c>
      <c r="C183" t="str">
        <f t="shared" si="2"/>
        <v>high income</v>
      </c>
      <c r="D183" t="str" cm="1">
        <f t="array" ref="D183">_xlfn.IFNA(INDEX('from website'!$C$2:$C$4766, MATCH(1, ('from website'!$B$2:$B$4766="World Bank income group:") * ('from website'!D:D=A183), 0)), "No WB income group")</f>
        <v>High income</v>
      </c>
    </row>
    <row r="184" spans="1:4">
      <c r="A184" t="str">
        <f>INDEX('from website'!C4126:C8890,MATCH("ISO:",'from website'!B4126:B8890,0))</f>
        <v>GBR</v>
      </c>
      <c r="B184" t="str" cm="1">
        <f t="array" ref="B184">_xlfn.IFNA(INDEX('from website'!$C$2:$C$4766, MATCH(1, ('from website'!$B$2:$B$4766="WHO_REGION:") * ('from website'!D:D=A184), 0)), "No WHO region")</f>
        <v>Europe</v>
      </c>
      <c r="C184" t="str">
        <f t="shared" si="2"/>
        <v>high income</v>
      </c>
      <c r="D184" t="str" cm="1">
        <f t="array" ref="D184">_xlfn.IFNA(INDEX('from website'!$C$2:$C$4766, MATCH(1, ('from website'!$B$2:$B$4766="World Bank income group:") * ('from website'!D:D=A184), 0)), "No WB income group")</f>
        <v>High income</v>
      </c>
    </row>
    <row r="185" spans="1:4">
      <c r="A185" t="str">
        <f>INDEX('from website'!C4158:C8922,MATCH("ISO:",'from website'!B4158:B8922,0))</f>
        <v>TZA</v>
      </c>
      <c r="B185" t="str" cm="1">
        <f t="array" ref="B185">_xlfn.IFNA(INDEX('from website'!$C$2:$C$4766, MATCH(1, ('from website'!$B$2:$B$4766="WHO_REGION:") * ('from website'!D:D=A185), 0)), "No WHO region")</f>
        <v>Africa</v>
      </c>
      <c r="C185" t="str">
        <f t="shared" si="2"/>
        <v>low income</v>
      </c>
      <c r="D185" t="str" cm="1">
        <f t="array" ref="D185">_xlfn.IFNA(INDEX('from website'!$C$2:$C$4766, MATCH(1, ('from website'!$B$2:$B$4766="World Bank income group:") * ('from website'!D:D=A185), 0)), "No WB income group")</f>
        <v>Low income</v>
      </c>
    </row>
    <row r="186" spans="1:4">
      <c r="A186" t="str">
        <f>INDEX('from website'!C4181:C8945,MATCH("ISO:",'from website'!B4181:B8945,0))</f>
        <v>USA</v>
      </c>
      <c r="B186" t="str" cm="1">
        <f t="array" ref="B186">_xlfn.IFNA(INDEX('from website'!$C$2:$C$4766, MATCH(1, ('from website'!$B$2:$B$4766="WHO_REGION:") * ('from website'!D:D=A186), 0)), "No WHO region")</f>
        <v>Americas</v>
      </c>
      <c r="C186" t="str">
        <f t="shared" si="2"/>
        <v>high income</v>
      </c>
      <c r="D186" t="str" cm="1">
        <f t="array" ref="D186">_xlfn.IFNA(INDEX('from website'!$C$2:$C$4766, MATCH(1, ('from website'!$B$2:$B$4766="World Bank income group:") * ('from website'!D:D=A186), 0)), "No WB income group")</f>
        <v>High income</v>
      </c>
    </row>
    <row r="187" spans="1:4">
      <c r="A187" t="str">
        <f>INDEX('from website'!C4198:C8962,MATCH("ISO:",'from website'!B4198:B8962,0))</f>
        <v>URY</v>
      </c>
      <c r="B187" t="str" cm="1">
        <f t="array" ref="B187">_xlfn.IFNA(INDEX('from website'!$C$2:$C$4766, MATCH(1, ('from website'!$B$2:$B$4766="WHO_REGION:") * ('from website'!D:D=A187), 0)), "No WHO region")</f>
        <v>Americas</v>
      </c>
      <c r="C187" t="str">
        <f t="shared" si="2"/>
        <v>high income</v>
      </c>
      <c r="D187" t="str" cm="1">
        <f t="array" ref="D187">_xlfn.IFNA(INDEX('from website'!$C$2:$C$4766, MATCH(1, ('from website'!$B$2:$B$4766="World Bank income group:") * ('from website'!D:D=A187), 0)), "No WB income group")</f>
        <v>High income</v>
      </c>
    </row>
    <row r="188" spans="1:4">
      <c r="A188" t="str">
        <f>INDEX('from website'!C4221:C8985,MATCH("ISO:",'from website'!B4221:B8985,0))</f>
        <v>UZB</v>
      </c>
      <c r="B188" t="str" cm="1">
        <f t="array" ref="B188">_xlfn.IFNA(INDEX('from website'!$C$2:$C$4766, MATCH(1, ('from website'!$B$2:$B$4766="WHO_REGION:") * ('from website'!D:D=A188), 0)), "No WHO region")</f>
        <v>Europe</v>
      </c>
      <c r="C188" t="str">
        <f t="shared" si="2"/>
        <v>lower middle income</v>
      </c>
      <c r="D188" t="str" cm="1">
        <f t="array" ref="D188">_xlfn.IFNA(INDEX('from website'!$C$2:$C$4766, MATCH(1, ('from website'!$B$2:$B$4766="World Bank income group:") * ('from website'!D:D=A188), 0)), "No WB income group")</f>
        <v>Lower middle income</v>
      </c>
    </row>
    <row r="189" spans="1:4">
      <c r="A189" t="str">
        <f>INDEX('from website'!C4244:C9008,MATCH("ISO:",'from website'!B4244:B9008,0))</f>
        <v>VUT</v>
      </c>
      <c r="B189" t="str" cm="1">
        <f t="array" ref="B189">_xlfn.IFNA(INDEX('from website'!$C$2:$C$4766, MATCH(1, ('from website'!$B$2:$B$4766="WHO_REGION:") * ('from website'!D:D=A189), 0)), "No WHO region")</f>
        <v>Western Pacific</v>
      </c>
      <c r="C189" t="str">
        <f t="shared" si="2"/>
        <v>lower middle income</v>
      </c>
      <c r="D189" t="str" cm="1">
        <f t="array" ref="D189">_xlfn.IFNA(INDEX('from website'!$C$2:$C$4766, MATCH(1, ('from website'!$B$2:$B$4766="World Bank income group:") * ('from website'!D:D=A189), 0)), "No WB income group")</f>
        <v>Lower middle income</v>
      </c>
    </row>
    <row r="190" spans="1:4">
      <c r="A190" t="str">
        <f>INDEX('from website'!C4266:C9030,MATCH("ISO:",'from website'!B4266:B9030,0))</f>
        <v>VEN</v>
      </c>
      <c r="B190" t="str" cm="1">
        <f t="array" ref="B190">_xlfn.IFNA(INDEX('from website'!$C$2:$C$4766, MATCH(1, ('from website'!$B$2:$B$4766="WHO_REGION:") * ('from website'!D:D=A190), 0)), "No WHO region")</f>
        <v>Americas</v>
      </c>
      <c r="C190" t="str">
        <f t="shared" si="2"/>
        <v>upper middle income</v>
      </c>
      <c r="D190" t="str" cm="1">
        <f t="array" ref="D190">_xlfn.IFNA(INDEX('from website'!$C$2:$C$4766, MATCH(1, ('from website'!$B$2:$B$4766="World Bank income group:") * ('from website'!D:D=A190), 0)), "No WB income group")</f>
        <v>Upper middle income</v>
      </c>
    </row>
    <row r="191" spans="1:4">
      <c r="A191" t="str">
        <f>INDEX('from website'!C4289:C9053,MATCH("ISO:",'from website'!B4289:B9053,0))</f>
        <v>VNM</v>
      </c>
      <c r="B191" t="str" cm="1">
        <f t="array" ref="B191">_xlfn.IFNA(INDEX('from website'!$C$2:$C$4766, MATCH(1, ('from website'!$B$2:$B$4766="WHO_REGION:") * ('from website'!D:D=A191), 0)), "No WHO region")</f>
        <v>Western Pacific</v>
      </c>
      <c r="C191" t="str">
        <f t="shared" si="2"/>
        <v>lower middle income</v>
      </c>
      <c r="D191" t="str" cm="1">
        <f t="array" ref="D191">_xlfn.IFNA(INDEX('from website'!$C$2:$C$4766, MATCH(1, ('from website'!$B$2:$B$4766="World Bank income group:") * ('from website'!D:D=A191), 0)), "No WB income group")</f>
        <v>Lower middle income</v>
      </c>
    </row>
    <row r="192" spans="1:4">
      <c r="A192" t="str">
        <f>INDEX('from website'!C4312:C9076,MATCH("ISO:",'from website'!B4312:B9076,0))</f>
        <v>YEM</v>
      </c>
      <c r="B192" t="str" cm="1">
        <f t="array" ref="B192">_xlfn.IFNA(INDEX('from website'!$C$2:$C$4766, MATCH(1, ('from website'!$B$2:$B$4766="WHO_REGION:") * ('from website'!D:D=A192), 0)), "No WHO region")</f>
        <v>Eastern Mediterranean</v>
      </c>
      <c r="C192" t="str">
        <f t="shared" si="2"/>
        <v>low income</v>
      </c>
      <c r="D192" t="str" cm="1">
        <f t="array" ref="D192">_xlfn.IFNA(INDEX('from website'!$C$2:$C$4766, MATCH(1, ('from website'!$B$2:$B$4766="World Bank income group:") * ('from website'!D:D=A192), 0)), "No WB income group")</f>
        <v>Low income</v>
      </c>
    </row>
    <row r="193" spans="1:4">
      <c r="A193" t="str">
        <f>INDEX('from website'!C4335:C9099,MATCH("ISO:",'from website'!B4335:B9099,0))</f>
        <v>ZMB</v>
      </c>
      <c r="B193" t="str" cm="1">
        <f t="array" ref="B193">_xlfn.IFNA(INDEX('from website'!$C$2:$C$4766, MATCH(1, ('from website'!$B$2:$B$4766="WHO_REGION:") * ('from website'!D:D=A193), 0)), "No WHO region")</f>
        <v>Africa</v>
      </c>
      <c r="C193" t="str">
        <f t="shared" si="2"/>
        <v>lower middle income</v>
      </c>
      <c r="D193" t="str" cm="1">
        <f t="array" ref="D193">_xlfn.IFNA(INDEX('from website'!$C$2:$C$4766, MATCH(1, ('from website'!$B$2:$B$4766="World Bank income group:") * ('from website'!D:D=A193), 0)), "No WB income group")</f>
        <v>Lower middle income</v>
      </c>
    </row>
    <row r="194" spans="1:4">
      <c r="A194" t="str">
        <f>INDEX('from website'!C4358:C9122,MATCH("ISO:",'from website'!B4358:B9122,0))</f>
        <v>ZWE</v>
      </c>
      <c r="B194" t="str" cm="1">
        <f t="array" ref="B194">_xlfn.IFNA(INDEX('from website'!$C$2:$C$4766, MATCH(1, ('from website'!$B$2:$B$4766="WHO_REGION:") * ('from website'!D:D=A194), 0)), "No WHO region")</f>
        <v>Africa</v>
      </c>
      <c r="C194" t="str">
        <f t="shared" si="2"/>
        <v>low income</v>
      </c>
      <c r="D194" t="str" cm="1">
        <f t="array" ref="D194">_xlfn.IFNA(INDEX('from website'!$C$2:$C$4766, MATCH(1, ('from website'!$B$2:$B$4766="World Bank income group:") * ('from website'!D:D=A194), 0)), "No WB income group")</f>
        <v>Low income</v>
      </c>
    </row>
    <row r="195" spans="1:4">
      <c r="A195" t="str">
        <f>INDEX('from website'!C4385:C9149,MATCH("ISO:",'from website'!B4385:B9149,0))</f>
        <v>MNE</v>
      </c>
      <c r="B195" t="str" cm="1">
        <f t="array" ref="B195">_xlfn.IFNA(INDEX('from website'!$C$2:$C$4766, MATCH(1, ('from website'!$B$2:$B$4766="WHO_REGION:") * ('from website'!D:D=A195), 0)), "No WHO region")</f>
        <v>Europe</v>
      </c>
      <c r="C195" t="str">
        <f t="shared" ref="C195:C248" si="3">LOWER(SUBSTITUTE(D195,"-"," "))</f>
        <v>upper middle income</v>
      </c>
      <c r="D195" t="str" cm="1">
        <f t="array" ref="D195">_xlfn.IFNA(INDEX('from website'!$C$2:$C$4766, MATCH(1, ('from website'!$B$2:$B$4766="World Bank income group:") * ('from website'!D:D=A195), 0)), "No WB income group")</f>
        <v>Upper middle income</v>
      </c>
    </row>
    <row r="196" spans="1:4">
      <c r="A196" t="str">
        <f>INDEX('from website'!C4400:C9164,MATCH("ISO:",'from website'!B4400:B9164,0))</f>
        <v>REU</v>
      </c>
      <c r="B196" t="str" cm="1">
        <f t="array" ref="B196">_xlfn.IFNA(INDEX('from website'!$C$2:$C$4766, MATCH(1, ('from website'!$B$2:$B$4766="WHO_REGION:") * ('from website'!D:D=A196), 0)), "No WHO region")</f>
        <v>No WHO region</v>
      </c>
      <c r="C196" t="str">
        <f t="shared" si="3"/>
        <v>no wb income group</v>
      </c>
      <c r="D196" t="str" cm="1">
        <f t="array" ref="D196">_xlfn.IFNA(INDEX('from website'!$C$2:$C$4766, MATCH(1, ('from website'!$B$2:$B$4766="World Bank income group:") * ('from website'!D:D=A196), 0)), "No WB income group")</f>
        <v>No WB income group</v>
      </c>
    </row>
    <row r="197" spans="1:4">
      <c r="A197" t="str">
        <f>INDEX('from website'!C4406:C9170,MATCH("ISO:",'from website'!B4406:B9170,0))</f>
        <v>XOD</v>
      </c>
      <c r="B197" t="str" cm="1">
        <f t="array" ref="B197">_xlfn.IFNA(INDEX('from website'!$C$2:$C$4766, MATCH(1, ('from website'!$B$2:$B$4766="WHO_REGION:") * ('from website'!D:D=A197), 0)), "No WHO region")</f>
        <v>No WHO region</v>
      </c>
      <c r="C197" t="str">
        <f t="shared" si="3"/>
        <v>no wb income group</v>
      </c>
      <c r="D197" t="str" cm="1">
        <f t="array" ref="D197">_xlfn.IFNA(INDEX('from website'!$C$2:$C$4766, MATCH(1, ('from website'!$B$2:$B$4766="World Bank income group:") * ('from website'!D:D=A197), 0)), "No WB income group")</f>
        <v>No WB income group</v>
      </c>
    </row>
    <row r="198" spans="1:4">
      <c r="A198" t="str">
        <f>INDEX('from website'!C4410:C9174,MATCH("ISO:",'from website'!B4410:B9174,0))</f>
        <v>AIA</v>
      </c>
      <c r="B198" t="str" cm="1">
        <f t="array" ref="B198">_xlfn.IFNA(INDEX('from website'!$C$2:$C$4766, MATCH(1, ('from website'!$B$2:$B$4766="WHO_REGION:") * ('from website'!D:D=A198), 0)), "No WHO region")</f>
        <v>Americas</v>
      </c>
      <c r="C198" t="str">
        <f t="shared" si="3"/>
        <v>lower middle income</v>
      </c>
      <c r="D198" t="str" cm="1">
        <f t="array" ref="D198">_xlfn.IFNA(INDEX('from website'!$C$2:$C$4766, MATCH(1, ('from website'!$B$2:$B$4766="World Bank income group:") * ('from website'!D:D=A198), 0)), "No WB income group")</f>
        <v>Lower-middle-income</v>
      </c>
    </row>
    <row r="199" spans="1:4">
      <c r="A199" t="str">
        <f>INDEX('from website'!C4422:C9186,MATCH("ISO:",'from website'!B4422:B9186,0))</f>
        <v>ABW</v>
      </c>
      <c r="B199" t="str" cm="1">
        <f t="array" ref="B199">_xlfn.IFNA(INDEX('from website'!$C$2:$C$4766, MATCH(1, ('from website'!$B$2:$B$4766="WHO_REGION:") * ('from website'!D:D=A199), 0)), "No WHO region")</f>
        <v>No WHO region</v>
      </c>
      <c r="C199" t="str">
        <f t="shared" si="3"/>
        <v>high income</v>
      </c>
      <c r="D199" t="str" cm="1">
        <f t="array" ref="D199">_xlfn.IFNA(INDEX('from website'!$C$2:$C$4766, MATCH(1, ('from website'!$B$2:$B$4766="World Bank income group:") * ('from website'!D:D=A199), 0)), "No WB income group")</f>
        <v>High income</v>
      </c>
    </row>
    <row r="200" spans="1:4">
      <c r="A200" t="str">
        <f>INDEX('from website'!C4431:C9195,MATCH("ISO:",'from website'!B4431:B9195,0))</f>
        <v>BMU</v>
      </c>
      <c r="B200" t="str" cm="1">
        <f t="array" ref="B200">_xlfn.IFNA(INDEX('from website'!$C$2:$C$4766, MATCH(1, ('from website'!$B$2:$B$4766="WHO_REGION:") * ('from website'!D:D=A200), 0)), "No WHO region")</f>
        <v>No WHO region</v>
      </c>
      <c r="C200" t="str">
        <f t="shared" si="3"/>
        <v>high income</v>
      </c>
      <c r="D200" t="str" cm="1">
        <f t="array" ref="D200">_xlfn.IFNA(INDEX('from website'!$C$2:$C$4766, MATCH(1, ('from website'!$B$2:$B$4766="World Bank income group:") * ('from website'!D:D=A200), 0)), "No WB income group")</f>
        <v>High income</v>
      </c>
    </row>
    <row r="201" spans="1:4">
      <c r="A201" t="str">
        <f>INDEX('from website'!C4440:C9204,MATCH("ISO:",'from website'!B4440:B9204,0))</f>
        <v>VGB</v>
      </c>
      <c r="B201" t="str" cm="1">
        <f t="array" ref="B201">_xlfn.IFNA(INDEX('from website'!$C$2:$C$4766, MATCH(1, ('from website'!$B$2:$B$4766="WHO_REGION:") * ('from website'!D:D=A201), 0)), "No WHO region")</f>
        <v>No WHO region</v>
      </c>
      <c r="C201" t="str">
        <f t="shared" si="3"/>
        <v>high income</v>
      </c>
      <c r="D201" t="str" cm="1">
        <f t="array" ref="D201">_xlfn.IFNA(INDEX('from website'!$C$2:$C$4766, MATCH(1, ('from website'!$B$2:$B$4766="World Bank income group:") * ('from website'!D:D=A201), 0)), "No WB income group")</f>
        <v>High income</v>
      </c>
    </row>
    <row r="202" spans="1:4">
      <c r="A202" t="str">
        <f>INDEX('from website'!C4442:C9206,MATCH("ISO:",'from website'!B4442:B9206,0))</f>
        <v>CYM</v>
      </c>
      <c r="B202" t="str" cm="1">
        <f t="array" ref="B202">_xlfn.IFNA(INDEX('from website'!$C$2:$C$4766, MATCH(1, ('from website'!$B$2:$B$4766="WHO_REGION:") * ('from website'!D:D=A202), 0)), "No WHO region")</f>
        <v>No WHO region</v>
      </c>
      <c r="C202" t="str">
        <f t="shared" si="3"/>
        <v>high income</v>
      </c>
      <c r="D202" t="str" cm="1">
        <f t="array" ref="D202">_xlfn.IFNA(INDEX('from website'!$C$2:$C$4766, MATCH(1, ('from website'!$B$2:$B$4766="World Bank income group:") * ('from website'!D:D=A202), 0)), "No WB income group")</f>
        <v>High income</v>
      </c>
    </row>
    <row r="203" spans="1:4">
      <c r="A203" t="str">
        <f>INDEX('from website'!C4456:C9220,MATCH("ISO:",'from website'!B4456:B9220,0))</f>
        <v>FLK</v>
      </c>
      <c r="B203" t="str" cm="1">
        <f t="array" ref="B203">_xlfn.IFNA(INDEX('from website'!$C$2:$C$4766, MATCH(1, ('from website'!$B$2:$B$4766="WHO_REGION:") * ('from website'!D:D=A203), 0)), "No WHO region")</f>
        <v>No WHO region</v>
      </c>
      <c r="C203" t="str">
        <f t="shared" si="3"/>
        <v>no wb income group</v>
      </c>
      <c r="D203" t="str" cm="1">
        <f t="array" ref="D203">_xlfn.IFNA(INDEX('from website'!$C$2:$C$4766, MATCH(1, ('from website'!$B$2:$B$4766="World Bank income group:") * ('from website'!D:D=A203), 0)), "No WB income group")</f>
        <v>No WB income group</v>
      </c>
    </row>
    <row r="204" spans="1:4">
      <c r="A204" t="str">
        <f>INDEX('from website'!C4460:C9224,MATCH("ISO:",'from website'!B4460:B9224,0))</f>
        <v>GLP</v>
      </c>
      <c r="B204" t="str" cm="1">
        <f t="array" ref="B204">_xlfn.IFNA(INDEX('from website'!$C$2:$C$4766, MATCH(1, ('from website'!$B$2:$B$4766="WHO_REGION:") * ('from website'!D:D=A204), 0)), "No WHO region")</f>
        <v>No WHO region</v>
      </c>
      <c r="C204" t="str">
        <f t="shared" si="3"/>
        <v>no wb income group</v>
      </c>
      <c r="D204" t="str" cm="1">
        <f t="array" ref="D204">_xlfn.IFNA(INDEX('from website'!$C$2:$C$4766, MATCH(1, ('from website'!$B$2:$B$4766="World Bank income group:") * ('from website'!D:D=A204), 0)), "No WB income group")</f>
        <v>No WB income group</v>
      </c>
    </row>
    <row r="205" spans="1:4">
      <c r="A205" t="str">
        <f>INDEX('from website'!C4464:C9228,MATCH("ISO:",'from website'!B4464:B9228,0))</f>
        <v>MTQ</v>
      </c>
      <c r="B205" t="str" cm="1">
        <f t="array" ref="B205">_xlfn.IFNA(INDEX('from website'!$C$2:$C$4766, MATCH(1, ('from website'!$B$2:$B$4766="WHO_REGION:") * ('from website'!D:D=A205), 0)), "No WHO region")</f>
        <v>No WHO region</v>
      </c>
      <c r="C205" t="str">
        <f t="shared" si="3"/>
        <v>no wb income group</v>
      </c>
      <c r="D205" t="str" cm="1">
        <f t="array" ref="D205">_xlfn.IFNA(INDEX('from website'!$C$2:$C$4766, MATCH(1, ('from website'!$B$2:$B$4766="World Bank income group:") * ('from website'!D:D=A205), 0)), "No WB income group")</f>
        <v>No WB income group</v>
      </c>
    </row>
    <row r="206" spans="1:4">
      <c r="A206" t="str">
        <f>INDEX('from website'!C4470:C9234,MATCH("ISO:",'from website'!B4470:B9234,0))</f>
        <v>MSR</v>
      </c>
      <c r="B206" t="str" cm="1">
        <f t="array" ref="B206">_xlfn.IFNA(INDEX('from website'!$C$2:$C$4766, MATCH(1, ('from website'!$B$2:$B$4766="WHO_REGION:") * ('from website'!D:D=A206), 0)), "No WHO region")</f>
        <v>No WHO region</v>
      </c>
      <c r="C206" t="str">
        <f t="shared" si="3"/>
        <v>no wb income group</v>
      </c>
      <c r="D206" t="str" cm="1">
        <f t="array" ref="D206">_xlfn.IFNA(INDEX('from website'!$C$2:$C$4766, MATCH(1, ('from website'!$B$2:$B$4766="World Bank income group:") * ('from website'!D:D=A206), 0)), "No WB income group")</f>
        <v>No WB income group</v>
      </c>
    </row>
    <row r="207" spans="1:4">
      <c r="A207" t="str">
        <f>INDEX('from website'!C4478:C9242,MATCH("ISO:",'from website'!B4478:B9242,0))</f>
        <v>ANT</v>
      </c>
      <c r="B207" t="str" cm="1">
        <f t="array" ref="B207">_xlfn.IFNA(INDEX('from website'!$C$2:$C$4766, MATCH(1, ('from website'!$B$2:$B$4766="WHO_REGION:") * ('from website'!D:D=A207), 0)), "No WHO region")</f>
        <v>No WHO region</v>
      </c>
      <c r="C207" t="str">
        <f t="shared" si="3"/>
        <v>no wb income group</v>
      </c>
      <c r="D207" t="str" cm="1">
        <f t="array" ref="D207">_xlfn.IFNA(INDEX('from website'!$C$2:$C$4766, MATCH(1, ('from website'!$B$2:$B$4766="World Bank income group:") * ('from website'!D:D=A207), 0)), "No WB income group")</f>
        <v>No WB income group</v>
      </c>
    </row>
    <row r="208" spans="1:4">
      <c r="A208" t="str">
        <f>INDEX('from website'!C4482:C9246,MATCH("ISO:",'from website'!B4482:B9246,0))</f>
        <v>PRI</v>
      </c>
      <c r="B208" t="str" cm="1">
        <f t="array" ref="B208">_xlfn.IFNA(INDEX('from website'!$C$2:$C$4766, MATCH(1, ('from website'!$B$2:$B$4766="WHO_REGION:") * ('from website'!D:D=A208), 0)), "No WHO region")</f>
        <v>No WHO region</v>
      </c>
      <c r="C208" t="str">
        <f t="shared" si="3"/>
        <v>high income</v>
      </c>
      <c r="D208" t="str" cm="1">
        <f t="array" ref="D208">_xlfn.IFNA(INDEX('from website'!$C$2:$C$4766, MATCH(1, ('from website'!$B$2:$B$4766="World Bank income group:") * ('from website'!D:D=A208), 0)), "No WB income group")</f>
        <v>High income</v>
      </c>
    </row>
    <row r="209" spans="1:4">
      <c r="A209" t="str">
        <f>INDEX('from website'!C4493:C9257,MATCH("ISO:",'from website'!B4493:B9257,0))</f>
        <v>SPM</v>
      </c>
      <c r="B209" t="str" cm="1">
        <f t="array" ref="B209">_xlfn.IFNA(INDEX('from website'!$C$2:$C$4766, MATCH(1, ('from website'!$B$2:$B$4766="WHO_REGION:") * ('from website'!D:D=A209), 0)), "No WHO region")</f>
        <v>No WHO region</v>
      </c>
      <c r="C209" t="str">
        <f t="shared" si="3"/>
        <v>no wb income group</v>
      </c>
      <c r="D209" t="str" cm="1">
        <f t="array" ref="D209">_xlfn.IFNA(INDEX('from website'!$C$2:$C$4766, MATCH(1, ('from website'!$B$2:$B$4766="World Bank income group:") * ('from website'!D:D=A209), 0)), "No WB income group")</f>
        <v>No WB income group</v>
      </c>
    </row>
    <row r="210" spans="1:4">
      <c r="A210" t="str">
        <f>INDEX('from website'!C4499:C9263,MATCH("ISO:",'from website'!B4499:B9263,0))</f>
        <v>TCA</v>
      </c>
      <c r="B210" t="str" cm="1">
        <f t="array" ref="B210">_xlfn.IFNA(INDEX('from website'!$C$2:$C$4766, MATCH(1, ('from website'!$B$2:$B$4766="WHO_REGION:") * ('from website'!D:D=A210), 0)), "No WHO region")</f>
        <v>No WHO region</v>
      </c>
      <c r="C210" t="str">
        <f t="shared" si="3"/>
        <v>high income</v>
      </c>
      <c r="D210" t="str" cm="1">
        <f t="array" ref="D210">_xlfn.IFNA(INDEX('from website'!$C$2:$C$4766, MATCH(1, ('from website'!$B$2:$B$4766="World Bank income group:") * ('from website'!D:D=A210), 0)), "No WB income group")</f>
        <v>High income</v>
      </c>
    </row>
    <row r="211" spans="1:4">
      <c r="A211" t="str">
        <f>INDEX('from website'!C4508:C9272,MATCH("ISO:",'from website'!B4508:B9272,0))</f>
        <v>VIR</v>
      </c>
      <c r="B211" t="str" cm="1">
        <f t="array" ref="B211">_xlfn.IFNA(INDEX('from website'!$C$2:$C$4766, MATCH(1, ('from website'!$B$2:$B$4766="WHO_REGION:") * ('from website'!D:D=A211), 0)), "No WHO region")</f>
        <v>No WHO region</v>
      </c>
      <c r="C211" t="str">
        <f t="shared" si="3"/>
        <v>high income</v>
      </c>
      <c r="D211" t="str" cm="1">
        <f t="array" ref="D211">_xlfn.IFNA(INDEX('from website'!$C$2:$C$4766, MATCH(1, ('from website'!$B$2:$B$4766="World Bank income group:") * ('from website'!D:D=A211), 0)), "No WB income group")</f>
        <v>High income</v>
      </c>
    </row>
    <row r="212" spans="1:4">
      <c r="A212" t="str">
        <f>INDEX('from website'!C4515:C9279,MATCH("ISO:",'from website'!B4515:B9279,0))</f>
        <v>XX1</v>
      </c>
      <c r="B212" t="str" cm="1">
        <f t="array" ref="B212">_xlfn.IFNA(INDEX('from website'!$C$2:$C$4766, MATCH(1, ('from website'!$B$2:$B$4766="WHO_REGION:") * ('from website'!D:D=A212), 0)), "No WHO region")</f>
        <v>No WHO region</v>
      </c>
      <c r="C212" t="str">
        <f t="shared" si="3"/>
        <v>no wb income group</v>
      </c>
      <c r="D212" t="str" cm="1">
        <f t="array" ref="D212">_xlfn.IFNA(INDEX('from website'!$C$2:$C$4766, MATCH(1, ('from website'!$B$2:$B$4766="World Bank income group:") * ('from website'!D:D=A212), 0)), "No WB income group")</f>
        <v>No WB income group</v>
      </c>
    </row>
    <row r="213" spans="1:4">
      <c r="A213" t="str">
        <f>INDEX('from website'!C4519:C9283,MATCH("ISO:",'from website'!B4519:B9283,0))</f>
        <v>HKG</v>
      </c>
      <c r="B213" t="str" cm="1">
        <f t="array" ref="B213">_xlfn.IFNA(INDEX('from website'!$C$2:$C$4766, MATCH(1, ('from website'!$B$2:$B$4766="WHO_REGION:") * ('from website'!D:D=A213), 0)), "No WHO region")</f>
        <v>No WHO region</v>
      </c>
      <c r="C213" t="str">
        <f t="shared" si="3"/>
        <v>high income</v>
      </c>
      <c r="D213" t="str" cm="1">
        <f t="array" ref="D213">_xlfn.IFNA(INDEX('from website'!$C$2:$C$4766, MATCH(1, ('from website'!$B$2:$B$4766="World Bank income group:") * ('from website'!D:D=A213), 0)), "No WB income group")</f>
        <v>High income</v>
      </c>
    </row>
    <row r="214" spans="1:4">
      <c r="A214" t="str">
        <f>INDEX('from website'!C4529:C9293,MATCH("ISO:",'from website'!B4529:B9293,0))</f>
        <v>MAC</v>
      </c>
      <c r="B214" t="str" cm="1">
        <f t="array" ref="B214">_xlfn.IFNA(INDEX('from website'!$C$2:$C$4766, MATCH(1, ('from website'!$B$2:$B$4766="WHO_REGION:") * ('from website'!D:D=A214), 0)), "No WHO region")</f>
        <v>No WHO region</v>
      </c>
      <c r="C214" t="str">
        <f t="shared" si="3"/>
        <v>high income</v>
      </c>
      <c r="D214" t="str" cm="1">
        <f t="array" ref="D214">_xlfn.IFNA(INDEX('from website'!$C$2:$C$4766, MATCH(1, ('from website'!$B$2:$B$4766="World Bank income group:") * ('from website'!D:D=A214), 0)), "No WB income group")</f>
        <v>High income</v>
      </c>
    </row>
    <row r="215" spans="1:4">
      <c r="A215" t="str">
        <f>INDEX('from website'!C4537:C9301,MATCH("ISO:",'from website'!B4537:B9301,0))</f>
        <v>XX4</v>
      </c>
      <c r="B215" t="str" cm="1">
        <f t="array" ref="B215">_xlfn.IFNA(INDEX('from website'!$C$2:$C$4766, MATCH(1, ('from website'!$B$2:$B$4766="WHO_REGION:") * ('from website'!D:D=A215), 0)), "No WHO region")</f>
        <v>No WHO region</v>
      </c>
      <c r="C215" t="str">
        <f t="shared" si="3"/>
        <v>no wb income group</v>
      </c>
      <c r="D215" t="str" cm="1">
        <f t="array" ref="D215">_xlfn.IFNA(INDEX('from website'!$C$2:$C$4766, MATCH(1, ('from website'!$B$2:$B$4766="World Bank income group:") * ('from website'!D:D=A215), 0)), "No WB income group")</f>
        <v>No WB income group</v>
      </c>
    </row>
    <row r="216" spans="1:4">
      <c r="A216" t="str">
        <f>INDEX('from website'!C4541:C9305,MATCH("ISO:",'from website'!B4541:B9305,0))</f>
        <v>XX5</v>
      </c>
      <c r="B216" t="str" cm="1">
        <f t="array" ref="B216">_xlfn.IFNA(INDEX('from website'!$C$2:$C$4766, MATCH(1, ('from website'!$B$2:$B$4766="WHO_REGION:") * ('from website'!D:D=A216), 0)), "No WHO region")</f>
        <v>No WHO region</v>
      </c>
      <c r="C216" t="str">
        <f t="shared" si="3"/>
        <v>no wb income group</v>
      </c>
      <c r="D216" t="str" cm="1">
        <f t="array" ref="D216">_xlfn.IFNA(INDEX('from website'!$C$2:$C$4766, MATCH(1, ('from website'!$B$2:$B$4766="World Bank income group:") * ('from website'!D:D=A216), 0)), "No WB income group")</f>
        <v>No WB income group</v>
      </c>
    </row>
    <row r="217" spans="1:4">
      <c r="A217" t="str">
        <f>INDEX('from website'!C4547:C9311,MATCH("ISO:",'from website'!B4547:B9311,0))</f>
        <v>XX6</v>
      </c>
      <c r="B217" t="str" cm="1">
        <f t="array" ref="B217">_xlfn.IFNA(INDEX('from website'!$C$2:$C$4766, MATCH(1, ('from website'!$B$2:$B$4766="WHO_REGION:") * ('from website'!D:D=A217), 0)), "No WHO region")</f>
        <v>No WHO region</v>
      </c>
      <c r="C217" t="str">
        <f t="shared" si="3"/>
        <v>no wb income group</v>
      </c>
      <c r="D217" t="str" cm="1">
        <f t="array" ref="D217">_xlfn.IFNA(INDEX('from website'!$C$2:$C$4766, MATCH(1, ('from website'!$B$2:$B$4766="World Bank income group:") * ('from website'!D:D=A217), 0)), "No WB income group")</f>
        <v>No WB income group</v>
      </c>
    </row>
    <row r="218" spans="1:4">
      <c r="A218" t="str">
        <f>INDEX('from website'!C4555:C9319,MATCH("ISO:",'from website'!B4555:B9319,0))</f>
        <v>XX7</v>
      </c>
      <c r="B218" t="str" cm="1">
        <f t="array" ref="B218">_xlfn.IFNA(INDEX('from website'!$C$2:$C$4766, MATCH(1, ('from website'!$B$2:$B$4766="WHO_REGION:") * ('from website'!D:D=A218), 0)), "No WHO region")</f>
        <v>No WHO region</v>
      </c>
      <c r="C218" t="str">
        <f t="shared" si="3"/>
        <v>no wb income group</v>
      </c>
      <c r="D218" t="str" cm="1">
        <f t="array" ref="D218">_xlfn.IFNA(INDEX('from website'!$C$2:$C$4766, MATCH(1, ('from website'!$B$2:$B$4766="World Bank income group:") * ('from website'!D:D=A218), 0)), "No WB income group")</f>
        <v>No WB income group</v>
      </c>
    </row>
    <row r="219" spans="1:4">
      <c r="A219" t="str">
        <f>INDEX('from website'!C4559:C9323,MATCH("ISO:",'from website'!B4559:B9323,0))</f>
        <v>XX8</v>
      </c>
      <c r="B219" t="str" cm="1">
        <f t="array" ref="B219">_xlfn.IFNA(INDEX('from website'!$C$2:$C$4766, MATCH(1, ('from website'!$B$2:$B$4766="WHO_REGION:") * ('from website'!D:D=A219), 0)), "No WHO region")</f>
        <v>No WHO region</v>
      </c>
      <c r="C219" t="str">
        <f t="shared" si="3"/>
        <v>no wb income group</v>
      </c>
      <c r="D219" t="str" cm="1">
        <f t="array" ref="D219">_xlfn.IFNA(INDEX('from website'!$C$2:$C$4766, MATCH(1, ('from website'!$B$2:$B$4766="World Bank income group:") * ('from website'!D:D=A219), 0)), "No WB income group")</f>
        <v>No WB income group</v>
      </c>
    </row>
    <row r="220" spans="1:4">
      <c r="A220" t="str">
        <f>INDEX('from website'!C4567:C9331,MATCH("ISO:",'from website'!B4567:B9331,0))</f>
        <v>XX9</v>
      </c>
      <c r="B220" t="str" cm="1">
        <f t="array" ref="B220">_xlfn.IFNA(INDEX('from website'!$C$2:$C$4766, MATCH(1, ('from website'!$B$2:$B$4766="WHO_REGION:") * ('from website'!D:D=A220), 0)), "No WHO region")</f>
        <v>No WHO region</v>
      </c>
      <c r="C220" t="str">
        <f t="shared" si="3"/>
        <v>no wb income group</v>
      </c>
      <c r="D220" t="str" cm="1">
        <f t="array" ref="D220">_xlfn.IFNA(INDEX('from website'!$C$2:$C$4766, MATCH(1, ('from website'!$B$2:$B$4766="World Bank income group:") * ('from website'!D:D=A220), 0)), "No WB income group")</f>
        <v>No WB income group</v>
      </c>
    </row>
    <row r="221" spans="1:4">
      <c r="A221" t="str">
        <f>INDEX('from website'!C4571:C9335,MATCH("ISO:",'from website'!B4571:B9335,0))</f>
        <v>GUF</v>
      </c>
      <c r="B221" t="str" cm="1">
        <f t="array" ref="B221">_xlfn.IFNA(INDEX('from website'!$C$2:$C$4766, MATCH(1, ('from website'!$B$2:$B$4766="WHO_REGION:") * ('from website'!D:D=A221), 0)), "No WHO region")</f>
        <v>No WHO region</v>
      </c>
      <c r="C221" t="str">
        <f t="shared" si="3"/>
        <v>no wb income group</v>
      </c>
      <c r="D221" t="str" cm="1">
        <f t="array" ref="D221">_xlfn.IFNA(INDEX('from website'!$C$2:$C$4766, MATCH(1, ('from website'!$B$2:$B$4766="World Bank income group:") * ('from website'!D:D=A221), 0)), "No WB income group")</f>
        <v>No WB income group</v>
      </c>
    </row>
    <row r="222" spans="1:4">
      <c r="A222" t="str">
        <f>INDEX('from website'!C4579:C9343,MATCH("ISO:",'from website'!B4579:B9343,0))</f>
        <v>X10</v>
      </c>
      <c r="B222" t="str" cm="1">
        <f t="array" ref="B222">_xlfn.IFNA(INDEX('from website'!$C$2:$C$4766, MATCH(1, ('from website'!$B$2:$B$4766="WHO_REGION:") * ('from website'!D:D=A222), 0)), "No WHO region")</f>
        <v>No WHO region</v>
      </c>
      <c r="C222" t="str">
        <f t="shared" si="3"/>
        <v>no wb income group</v>
      </c>
      <c r="D222" t="str" cm="1">
        <f t="array" ref="D222">_xlfn.IFNA(INDEX('from website'!$C$2:$C$4766, MATCH(1, ('from website'!$B$2:$B$4766="World Bank income group:") * ('from website'!D:D=A222), 0)), "No WB income group")</f>
        <v>No WB income group</v>
      </c>
    </row>
    <row r="223" spans="1:4">
      <c r="A223" t="str">
        <f>INDEX('from website'!C4583:C9347,MATCH("ISO:",'from website'!B4583:B9347,0))</f>
        <v>X11</v>
      </c>
      <c r="B223" t="str" cm="1">
        <f t="array" ref="B223">_xlfn.IFNA(INDEX('from website'!$C$2:$C$4766, MATCH(1, ('from website'!$B$2:$B$4766="WHO_REGION:") * ('from website'!D:D=A223), 0)), "No WHO region")</f>
        <v>No WHO region</v>
      </c>
      <c r="C223" t="str">
        <f t="shared" si="3"/>
        <v>no wb income group</v>
      </c>
      <c r="D223" t="str" cm="1">
        <f t="array" ref="D223">_xlfn.IFNA(INDEX('from website'!$C$2:$C$4766, MATCH(1, ('from website'!$B$2:$B$4766="World Bank income group:") * ('from website'!D:D=A223), 0)), "No WB income group")</f>
        <v>No WB income group</v>
      </c>
    </row>
    <row r="224" spans="1:4">
      <c r="A224" t="str">
        <f>INDEX('from website'!C4591:C9355,MATCH("ISO:",'from website'!B4591:B9355,0))</f>
        <v>X12</v>
      </c>
      <c r="B224" t="str" cm="1">
        <f t="array" ref="B224">_xlfn.IFNA(INDEX('from website'!$C$2:$C$4766, MATCH(1, ('from website'!$B$2:$B$4766="WHO_REGION:") * ('from website'!D:D=A224), 0)), "No WHO region")</f>
        <v>No WHO region</v>
      </c>
      <c r="C224" t="str">
        <f t="shared" si="3"/>
        <v>no wb income group</v>
      </c>
      <c r="D224" t="str" cm="1">
        <f t="array" ref="D224">_xlfn.IFNA(INDEX('from website'!$C$2:$C$4766, MATCH(1, ('from website'!$B$2:$B$4766="World Bank income group:") * ('from website'!D:D=A224), 0)), "No WB income group")</f>
        <v>No WB income group</v>
      </c>
    </row>
    <row r="225" spans="1:4">
      <c r="A225" t="str">
        <f>INDEX('from website'!C4595:C9359,MATCH("ISO:",'from website'!B4595:B9359,0))</f>
        <v>X13</v>
      </c>
      <c r="B225" t="str" cm="1">
        <f t="array" ref="B225">_xlfn.IFNA(INDEX('from website'!$C$2:$C$4766, MATCH(1, ('from website'!$B$2:$B$4766="WHO_REGION:") * ('from website'!D:D=A225), 0)), "No WHO region")</f>
        <v>No WHO region</v>
      </c>
      <c r="C225" t="str">
        <f t="shared" si="3"/>
        <v>no wb income group</v>
      </c>
      <c r="D225" t="str" cm="1">
        <f t="array" ref="D225">_xlfn.IFNA(INDEX('from website'!$C$2:$C$4766, MATCH(1, ('from website'!$B$2:$B$4766="World Bank income group:") * ('from website'!D:D=A225), 0)), "No WB income group")</f>
        <v>No WB income group</v>
      </c>
    </row>
    <row r="226" spans="1:4">
      <c r="A226" t="str">
        <f>INDEX('from website'!C4601:C9365,MATCH("ISO:",'from website'!B4601:B9365,0))</f>
        <v>SCG</v>
      </c>
      <c r="B226" t="str" cm="1">
        <f t="array" ref="B226">_xlfn.IFNA(INDEX('from website'!$C$2:$C$4766, MATCH(1, ('from website'!$B$2:$B$4766="WHO_REGION:") * ('from website'!D:D=A226), 0)), "No WHO region")</f>
        <v>No WHO region</v>
      </c>
      <c r="C226" t="str">
        <f t="shared" si="3"/>
        <v>no wb income group</v>
      </c>
      <c r="D226" t="str" cm="1">
        <f t="array" ref="D226">_xlfn.IFNA(INDEX('from website'!$C$2:$C$4766, MATCH(1, ('from website'!$B$2:$B$4766="World Bank income group:") * ('from website'!D:D=A226), 0)), "No WB income group")</f>
        <v>No WB income group</v>
      </c>
    </row>
    <row r="227" spans="1:4">
      <c r="A227" t="str">
        <f>INDEX('from website'!C4610:C9374,MATCH("ISO:",'from website'!B4610:B9374,0))</f>
        <v>PSE</v>
      </c>
      <c r="B227" t="str" cm="1">
        <f t="array" ref="B227">_xlfn.IFNA(INDEX('from website'!$C$2:$C$4766, MATCH(1, ('from website'!$B$2:$B$4766="WHO_REGION:") * ('from website'!D:D=A227), 0)), "No WHO region")</f>
        <v>Eastern Mediterranean</v>
      </c>
      <c r="C227" t="str">
        <f t="shared" si="3"/>
        <v>lower middle income</v>
      </c>
      <c r="D227" t="str" cm="1">
        <f t="array" ref="D227">_xlfn.IFNA(INDEX('from website'!$C$2:$C$4766, MATCH(1, ('from website'!$B$2:$B$4766="World Bank income group:") * ('from website'!D:D=A227), 0)), "No WB income group")</f>
        <v>Lower middle income</v>
      </c>
    </row>
    <row r="228" spans="1:4">
      <c r="A228" t="str">
        <f>INDEX('from website'!C4614:C9378,MATCH("ISO:",'from website'!B4614:B9378,0))</f>
        <v>NA</v>
      </c>
      <c r="B228" t="str" cm="1">
        <f t="array" ref="B228">_xlfn.IFNA(INDEX('from website'!$C$2:$C$4766, MATCH(1, ('from website'!$B$2:$B$4766="WHO_REGION:") * ('from website'!D:D=A228), 0)), "No WHO region")</f>
        <v>No WHO region</v>
      </c>
      <c r="C228" t="str">
        <f t="shared" si="3"/>
        <v>no wb income group</v>
      </c>
      <c r="D228" t="str" cm="1">
        <f t="array" ref="D228">_xlfn.IFNA(INDEX('from website'!$C$2:$C$4766, MATCH(1, ('from website'!$B$2:$B$4766="World Bank income group:") * ('from website'!D:D=A228), 0)), "No WB income group")</f>
        <v>No WB income group</v>
      </c>
    </row>
    <row r="229" spans="1:4">
      <c r="A229" t="str">
        <f>INDEX('from website'!C4631:C9395,MATCH("ISO:",'from website'!B4631:B9395,0))</f>
        <v>GUM</v>
      </c>
      <c r="B229" t="str" cm="1">
        <f t="array" ref="B229">_xlfn.IFNA(INDEX('from website'!$C$2:$C$4766, MATCH(1, ('from website'!$B$2:$B$4766="WHO_REGION:") * ('from website'!D:D=A229), 0)), "No WHO region")</f>
        <v>No WHO region</v>
      </c>
      <c r="C229" t="str">
        <f t="shared" si="3"/>
        <v>high income</v>
      </c>
      <c r="D229" t="str" cm="1">
        <f t="array" ref="D229">_xlfn.IFNA(INDEX('from website'!$C$2:$C$4766, MATCH(1, ('from website'!$B$2:$B$4766="World Bank income group:") * ('from website'!D:D=A229), 0)), "No WB income group")</f>
        <v>High income</v>
      </c>
    </row>
    <row r="230" spans="1:4">
      <c r="A230" t="str">
        <f>INDEX('from website'!C4639:C9403,MATCH("ISO:",'from website'!B4639:B9403,0))</f>
        <v>MYT</v>
      </c>
      <c r="B230" t="str" cm="1">
        <f t="array" ref="B230">_xlfn.IFNA(INDEX('from website'!$C$2:$C$4766, MATCH(1, ('from website'!$B$2:$B$4766="WHO_REGION:") * ('from website'!D:D=A230), 0)), "No WHO region")</f>
        <v>No WHO region</v>
      </c>
      <c r="C230" t="str">
        <f t="shared" si="3"/>
        <v>no wb income group</v>
      </c>
      <c r="D230" t="str" cm="1">
        <f t="array" ref="D230">_xlfn.IFNA(INDEX('from website'!$C$2:$C$4766, MATCH(1, ('from website'!$B$2:$B$4766="World Bank income group:") * ('from website'!D:D=A230), 0)), "No WB income group")</f>
        <v>No WB income group</v>
      </c>
    </row>
    <row r="231" spans="1:4">
      <c r="A231" t="str">
        <f>INDEX('from website'!C4642:C9406,MATCH("ISO:",'from website'!B4642:B9406,0))</f>
        <v>PYF</v>
      </c>
      <c r="B231" t="str" cm="1">
        <f t="array" ref="B231">_xlfn.IFNA(INDEX('from website'!$C$2:$C$4766, MATCH(1, ('from website'!$B$2:$B$4766="WHO_REGION:") * ('from website'!D:D=A231), 0)), "No WHO region")</f>
        <v>No WHO region</v>
      </c>
      <c r="C231" t="str">
        <f t="shared" si="3"/>
        <v>high income</v>
      </c>
      <c r="D231" t="str" cm="1">
        <f t="array" ref="D231">_xlfn.IFNA(INDEX('from website'!$C$2:$C$4766, MATCH(1, ('from website'!$B$2:$B$4766="World Bank income group:") * ('from website'!D:D=A231), 0)), "No WB income group")</f>
        <v>High income</v>
      </c>
    </row>
    <row r="232" spans="1:4">
      <c r="A232" t="str">
        <f>INDEX('from website'!C4652:C9416,MATCH("ISO:",'from website'!B4652:B9416,0))</f>
        <v>FRO</v>
      </c>
      <c r="B232" t="str" cm="1">
        <f t="array" ref="B232">_xlfn.IFNA(INDEX('from website'!$C$2:$C$4766, MATCH(1, ('from website'!$B$2:$B$4766="WHO_REGION:") * ('from website'!D:D=A232), 0)), "No WHO region")</f>
        <v>No WHO region</v>
      </c>
      <c r="C232" t="str">
        <f t="shared" si="3"/>
        <v>high income</v>
      </c>
      <c r="D232" t="str" cm="1">
        <f t="array" ref="D232">_xlfn.IFNA(INDEX('from website'!$C$2:$C$4766, MATCH(1, ('from website'!$B$2:$B$4766="World Bank income group:") * ('from website'!D:D=A232), 0)), "No WB income group")</f>
        <v>High income</v>
      </c>
    </row>
    <row r="233" spans="1:4">
      <c r="A233" t="str">
        <f>INDEX('from website'!C4658:C9422,MATCH("ISO:",'from website'!B4658:B9422,0))</f>
        <v>GRL</v>
      </c>
      <c r="B233" t="str" cm="1">
        <f t="array" ref="B233">_xlfn.IFNA(INDEX('from website'!$C$2:$C$4766, MATCH(1, ('from website'!$B$2:$B$4766="WHO_REGION:") * ('from website'!D:D=A233), 0)), "No WHO region")</f>
        <v>No WHO region</v>
      </c>
      <c r="C233" t="str">
        <f t="shared" si="3"/>
        <v>high income</v>
      </c>
      <c r="D233" t="str" cm="1">
        <f t="array" ref="D233">_xlfn.IFNA(INDEX('from website'!$C$2:$C$4766, MATCH(1, ('from website'!$B$2:$B$4766="World Bank income group:") * ('from website'!D:D=A233), 0)), "No WB income group")</f>
        <v>High income</v>
      </c>
    </row>
    <row r="234" spans="1:4">
      <c r="A234" t="str">
        <f>INDEX('from website'!C4665:C9429,MATCH("ISO:",'from website'!B4665:B9429,0))</f>
        <v>SHN</v>
      </c>
      <c r="B234" t="str" cm="1">
        <f t="array" ref="B234">_xlfn.IFNA(INDEX('from website'!$C$2:$C$4766, MATCH(1, ('from website'!$B$2:$B$4766="WHO_REGION:") * ('from website'!D:D=A234), 0)), "No WHO region")</f>
        <v>No WHO region</v>
      </c>
      <c r="C234" t="str">
        <f t="shared" si="3"/>
        <v>no wb income group</v>
      </c>
      <c r="D234" t="str" cm="1">
        <f t="array" ref="D234">_xlfn.IFNA(INDEX('from website'!$C$2:$C$4766, MATCH(1, ('from website'!$B$2:$B$4766="World Bank income group:") * ('from website'!D:D=A234), 0)), "No WB income group")</f>
        <v>No WB income group</v>
      </c>
    </row>
    <row r="235" spans="1:4">
      <c r="A235" t="str">
        <f>INDEX('from website'!C4669:C9433,MATCH("ISO:",'from website'!B4669:B9433,0))</f>
        <v>NCL</v>
      </c>
      <c r="B235" t="str" cm="1">
        <f t="array" ref="B235">_xlfn.IFNA(INDEX('from website'!$C$2:$C$4766, MATCH(1, ('from website'!$B$2:$B$4766="WHO_REGION:") * ('from website'!D:D=A235), 0)), "No WHO region")</f>
        <v>No WHO region</v>
      </c>
      <c r="C235" t="str">
        <f t="shared" si="3"/>
        <v>high income</v>
      </c>
      <c r="D235" t="str" cm="1">
        <f t="array" ref="D235">_xlfn.IFNA(INDEX('from website'!$C$2:$C$4766, MATCH(1, ('from website'!$B$2:$B$4766="World Bank income group:") * ('from website'!D:D=A235), 0)), "No WB income group")</f>
        <v>High income</v>
      </c>
    </row>
    <row r="236" spans="1:4">
      <c r="A236" t="str">
        <f>INDEX('from website'!C4677:C9441,MATCH("ISO:",'from website'!B4677:B9441,0))</f>
        <v>ASM</v>
      </c>
      <c r="B236" t="str" cm="1">
        <f t="array" ref="B236">_xlfn.IFNA(INDEX('from website'!$C$2:$C$4766, MATCH(1, ('from website'!$B$2:$B$4766="WHO_REGION:") * ('from website'!D:D=A236), 0)), "No WHO region")</f>
        <v>No WHO region</v>
      </c>
      <c r="C236" t="str">
        <f t="shared" si="3"/>
        <v>upper middle income</v>
      </c>
      <c r="D236" t="str" cm="1">
        <f t="array" ref="D236">_xlfn.IFNA(INDEX('from website'!$C$2:$C$4766, MATCH(1, ('from website'!$B$2:$B$4766="World Bank income group:") * ('from website'!D:D=A236), 0)), "No WB income group")</f>
        <v>Upper middle income</v>
      </c>
    </row>
    <row r="237" spans="1:4">
      <c r="A237" t="str">
        <f>INDEX('from website'!C4684:C9448,MATCH("ISO:",'from website'!B4684:B9448,0))</f>
        <v>TKL</v>
      </c>
      <c r="B237" t="str" cm="1">
        <f t="array" ref="B237">_xlfn.IFNA(INDEX('from website'!$C$2:$C$4766, MATCH(1, ('from website'!$B$2:$B$4766="WHO_REGION:") * ('from website'!D:D=A237), 0)), "No WHO region")</f>
        <v>No WHO region</v>
      </c>
      <c r="C237" t="str">
        <f t="shared" si="3"/>
        <v>no wb income group</v>
      </c>
      <c r="D237" t="str" cm="1">
        <f t="array" ref="D237">_xlfn.IFNA(INDEX('from website'!$C$2:$C$4766, MATCH(1, ('from website'!$B$2:$B$4766="World Bank income group:") * ('from website'!D:D=A237), 0)), "No WB income group")</f>
        <v>No WB income group</v>
      </c>
    </row>
    <row r="238" spans="1:4">
      <c r="A238" t="str">
        <f>INDEX('from website'!C4689:C9453,MATCH("ISO:",'from website'!B4689:B9453,0))</f>
        <v>MNP</v>
      </c>
      <c r="B238" t="str" cm="1">
        <f t="array" ref="B238">_xlfn.IFNA(INDEX('from website'!$C$2:$C$4766, MATCH(1, ('from website'!$B$2:$B$4766="WHO_REGION:") * ('from website'!D:D=A238), 0)), "No WHO region")</f>
        <v>No WHO region</v>
      </c>
      <c r="C238" t="str">
        <f t="shared" si="3"/>
        <v>high income</v>
      </c>
      <c r="D238" t="str" cm="1">
        <f t="array" ref="D238">_xlfn.IFNA(INDEX('from website'!$C$2:$C$4766, MATCH(1, ('from website'!$B$2:$B$4766="World Bank income group:") * ('from website'!D:D=A238), 0)), "No WB income group")</f>
        <v>High income</v>
      </c>
    </row>
    <row r="239" spans="1:4">
      <c r="A239" t="str">
        <f>INDEX('from website'!C4697:C9461,MATCH("ISO:",'from website'!B4697:B9461,0))</f>
        <v>GIB</v>
      </c>
      <c r="B239" t="str" cm="1">
        <f t="array" ref="B239">_xlfn.IFNA(INDEX('from website'!$C$2:$C$4766, MATCH(1, ('from website'!$B$2:$B$4766="WHO_REGION:") * ('from website'!D:D=A239), 0)), "No WHO region")</f>
        <v>No WHO region</v>
      </c>
      <c r="C239" t="str">
        <f t="shared" si="3"/>
        <v>high income</v>
      </c>
      <c r="D239" t="str" cm="1">
        <f t="array" ref="D239">_xlfn.IFNA(INDEX('from website'!$C$2:$C$4766, MATCH(1, ('from website'!$B$2:$B$4766="World Bank income group:") * ('from website'!D:D=A239), 0)), "No WB income group")</f>
        <v>High income</v>
      </c>
    </row>
    <row r="240" spans="1:4">
      <c r="A240" t="str">
        <f>INDEX('from website'!C4704:C9468,MATCH("ISO:",'from website'!B4704:B9468,0))</f>
        <v>LIE</v>
      </c>
      <c r="B240" t="str" cm="1">
        <f t="array" ref="B240">_xlfn.IFNA(INDEX('from website'!$C$2:$C$4766, MATCH(1, ('from website'!$B$2:$B$4766="WHO_REGION:") * ('from website'!D:D=A240), 0)), "No WHO region")</f>
        <v>No WHO region</v>
      </c>
      <c r="C240" t="str">
        <f t="shared" si="3"/>
        <v>high income</v>
      </c>
      <c r="D240" t="str" cm="1">
        <f t="array" ref="D240">_xlfn.IFNA(INDEX('from website'!$C$2:$C$4766, MATCH(1, ('from website'!$B$2:$B$4766="World Bank income group:") * ('from website'!D:D=A240), 0)), "No WB income group")</f>
        <v>High income</v>
      </c>
    </row>
    <row r="241" spans="1:4">
      <c r="A241" t="str">
        <f>INDEX('from website'!C4712:C9476,MATCH("ISO:",'from website'!B4712:B9476,0))</f>
        <v>PCN</v>
      </c>
      <c r="B241" t="str" cm="1">
        <f t="array" ref="B241">_xlfn.IFNA(INDEX('from website'!$C$2:$C$4766, MATCH(1, ('from website'!$B$2:$B$4766="WHO_REGION:") * ('from website'!D:D=A241), 0)), "No WHO region")</f>
        <v>No WHO region</v>
      </c>
      <c r="C241" t="str">
        <f t="shared" si="3"/>
        <v>no wb income group</v>
      </c>
      <c r="D241" t="str" cm="1">
        <f t="array" ref="D241">_xlfn.IFNA(INDEX('from website'!$C$2:$C$4766, MATCH(1, ('from website'!$B$2:$B$4766="World Bank income group:") * ('from website'!D:D=A241), 0)), "No WB income group")</f>
        <v>No WB income group</v>
      </c>
    </row>
    <row r="242" spans="1:4">
      <c r="A242" t="str">
        <f>INDEX('from website'!C4715:C9479,MATCH("ISO:",'from website'!B4715:B9479,0))</f>
        <v>WLF</v>
      </c>
      <c r="B242" t="str" cm="1">
        <f t="array" ref="B242">_xlfn.IFNA(INDEX('from website'!$C$2:$C$4766, MATCH(1, ('from website'!$B$2:$B$4766="WHO_REGION:") * ('from website'!D:D=A242), 0)), "No WHO region")</f>
        <v>No WHO region</v>
      </c>
      <c r="C242" t="str">
        <f t="shared" si="3"/>
        <v>no wb income group</v>
      </c>
      <c r="D242" t="str" cm="1">
        <f t="array" ref="D242">_xlfn.IFNA(INDEX('from website'!$C$2:$C$4766, MATCH(1, ('from website'!$B$2:$B$4766="World Bank income group:") * ('from website'!D:D=A242), 0)), "No WB income group")</f>
        <v>No WB income group</v>
      </c>
    </row>
    <row r="243" spans="1:4">
      <c r="A243" t="str">
        <f>INDEX('from website'!C4719:C9483,MATCH("ISO:",'from website'!B4719:B9483,0))</f>
        <v>NFK</v>
      </c>
      <c r="B243" t="str" cm="1">
        <f t="array" ref="B243">_xlfn.IFNA(INDEX('from website'!$C$2:$C$4766, MATCH(1, ('from website'!$B$2:$B$4766="WHO_REGION:") * ('from website'!D:D=A243), 0)), "No WHO region")</f>
        <v>No WHO region</v>
      </c>
      <c r="C243" t="str">
        <f t="shared" si="3"/>
        <v>no wb income group</v>
      </c>
      <c r="D243" t="str" cm="1">
        <f t="array" ref="D243">_xlfn.IFNA(INDEX('from website'!$C$2:$C$4766, MATCH(1, ('from website'!$B$2:$B$4766="World Bank income group:") * ('from website'!D:D=A243), 0)), "No WB income group")</f>
        <v>No WB income group</v>
      </c>
    </row>
    <row r="244" spans="1:4">
      <c r="A244" t="str">
        <f>INDEX('from website'!C4725:C9489,MATCH("ISO:",'from website'!B4725:B9489,0))</f>
        <v>BES</v>
      </c>
      <c r="B244" t="str" cm="1">
        <f t="array" ref="B244">_xlfn.IFNA(INDEX('from website'!$C$2:$C$4766, MATCH(1, ('from website'!$B$2:$B$4766="WHO_REGION:") * ('from website'!D:D=A244), 0)), "No WHO region")</f>
        <v>No WHO region</v>
      </c>
      <c r="C244" t="str">
        <f t="shared" si="3"/>
        <v>no wb income group</v>
      </c>
      <c r="D244" t="str" cm="1">
        <f t="array" ref="D244">_xlfn.IFNA(INDEX('from website'!$C$2:$C$4766, MATCH(1, ('from website'!$B$2:$B$4766="World Bank income group:") * ('from website'!D:D=A244), 0)), "No WB income group")</f>
        <v>No WB income group</v>
      </c>
    </row>
    <row r="245" spans="1:4">
      <c r="A245" t="str">
        <f>INDEX('from website'!C4729:C9493,MATCH("ISO:",'from website'!B4729:B9493,0))</f>
        <v>CUW</v>
      </c>
      <c r="B245" t="str" cm="1">
        <f t="array" ref="B245">_xlfn.IFNA(INDEX('from website'!$C$2:$C$4766, MATCH(1, ('from website'!$B$2:$B$4766="WHO_REGION:") * ('from website'!D:D=A245), 0)), "No WHO region")</f>
        <v>No WHO region</v>
      </c>
      <c r="C245" t="str">
        <f t="shared" si="3"/>
        <v>high income</v>
      </c>
      <c r="D245" t="str" cm="1">
        <f t="array" ref="D245">_xlfn.IFNA(INDEX('from website'!$C$2:$C$4766, MATCH(1, ('from website'!$B$2:$B$4766="World Bank income group:") * ('from website'!D:D=A245), 0)), "No WB income group")</f>
        <v>High income</v>
      </c>
    </row>
    <row r="246" spans="1:4">
      <c r="A246" t="str">
        <f>INDEX('from website'!C4738:C9502,MATCH("ISO:",'from website'!B4738:B9502,0))</f>
        <v>SXM</v>
      </c>
      <c r="B246" t="str" cm="1">
        <f t="array" ref="B246">_xlfn.IFNA(INDEX('from website'!$C$2:$C$4766, MATCH(1, ('from website'!$B$2:$B$4766="WHO_REGION:") * ('from website'!D:D=A246), 0)), "No WHO region")</f>
        <v>No WHO region</v>
      </c>
      <c r="C246" t="str">
        <f t="shared" si="3"/>
        <v>high income</v>
      </c>
      <c r="D246" t="str" cm="1">
        <f t="array" ref="D246">_xlfn.IFNA(INDEX('from website'!$C$2:$C$4766, MATCH(1, ('from website'!$B$2:$B$4766="World Bank income group:") * ('from website'!D:D=A246), 0)), "No WB income group")</f>
        <v>High income</v>
      </c>
    </row>
    <row r="247" spans="1:4">
      <c r="A247" t="str">
        <f>INDEX('from website'!C4745:C9509,MATCH("ISO:",'from website'!B4745:B9509,0))</f>
        <v>SSD</v>
      </c>
      <c r="B247" t="str" cm="1">
        <f t="array" ref="B247">_xlfn.IFNA(INDEX('from website'!$C$2:$C$4766, MATCH(1, ('from website'!$B$2:$B$4766="WHO_REGION:") * ('from website'!D:D=A247), 0)), "No WHO region")</f>
        <v>Africa</v>
      </c>
      <c r="C247" t="str">
        <f t="shared" si="3"/>
        <v>low income</v>
      </c>
      <c r="D247" t="str" cm="1">
        <f t="array" ref="D247">_xlfn.IFNA(INDEX('from website'!$C$2:$C$4766, MATCH(1, ('from website'!$B$2:$B$4766="World Bank income group:") * ('from website'!D:D=A247), 0)), "No WB income group")</f>
        <v>Low income</v>
      </c>
    </row>
    <row r="248" spans="1:4">
      <c r="A248" t="str">
        <f>INDEX('from website'!C4758:C9522,MATCH("ISO:",'from website'!B4758:B9522,0))</f>
        <v>SDF</v>
      </c>
      <c r="B248" t="str" cm="1">
        <f t="array" ref="B248">_xlfn.IFNA(INDEX('from website'!$C$2:$C$4766, MATCH(1, ('from website'!$B$2:$B$4766="WHO_REGION:") * ('from website'!D:D=A248), 0)), "No WHO region")</f>
        <v>Eastern Mediterranean</v>
      </c>
      <c r="C248" t="str">
        <f t="shared" si="3"/>
        <v>lower middle income</v>
      </c>
      <c r="D248" t="str" cm="1">
        <f t="array" ref="D248">_xlfn.IFNA(INDEX('from website'!$C$2:$C$4766, MATCH(1, ('from website'!$B$2:$B$4766="World Bank income group:") * ('from website'!D:D=A248), 0)), "No WB income group")</f>
        <v>Lower-middle-income</v>
      </c>
    </row>
  </sheetData>
  <autoFilter ref="A1:D248" xr:uid="{D568BE80-E7D7-43AC-8E8E-C7ACD48B8A02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F110C-3CDD-4A5A-B1F4-A50D7D1D0F9D}">
  <dimension ref="A1:D4767"/>
  <sheetViews>
    <sheetView topLeftCell="A4142" zoomScaleNormal="100" workbookViewId="0">
      <selection activeCell="B4396" sqref="B4396"/>
    </sheetView>
  </sheetViews>
  <sheetFormatPr defaultRowHeight="14.4"/>
  <sheetData>
    <row r="1" spans="1:4" ht="15" customHeight="1" thickBot="1">
      <c r="A1" s="1" t="s">
        <v>1747</v>
      </c>
      <c r="B1" s="2" t="s">
        <v>1748</v>
      </c>
      <c r="C1" s="3" t="s">
        <v>1749</v>
      </c>
      <c r="D1" s="2" t="s">
        <v>1746</v>
      </c>
    </row>
    <row r="2" spans="1:4" ht="20.399999999999999" thickTop="1" thickBot="1">
      <c r="A2" s="4" t="s">
        <v>0</v>
      </c>
      <c r="B2" s="5"/>
      <c r="C2" s="6"/>
      <c r="D2" t="str">
        <f t="shared" ref="D2:D65" si="0">IF(ISNUMBER(FIND(":", A2)), LEFT(A2, FIND(":", A2) - 1), D1)</f>
        <v>AFG</v>
      </c>
    </row>
    <row r="3" spans="1:4" ht="30" thickTop="1" thickBot="1">
      <c r="A3" s="7" t="str" cm="1">
        <f t="array" ref="A3">LEFT(INDEX(A:A, ROW() - MOD(ROW() - 2, 23)), FIND(":", INDEX(A:A, ROW() - MOD(ROW() - 2, 23))) - 1)</f>
        <v>AFG</v>
      </c>
      <c r="B3" s="7" t="s">
        <v>1</v>
      </c>
      <c r="C3" s="7" t="s">
        <v>2</v>
      </c>
      <c r="D3" t="str">
        <f t="shared" si="0"/>
        <v>AFG</v>
      </c>
    </row>
    <row r="4" spans="1:4" ht="30" thickTop="1" thickBot="1">
      <c r="A4" s="7" t="s">
        <v>12</v>
      </c>
      <c r="B4" s="7" t="s">
        <v>3</v>
      </c>
      <c r="C4" s="7" t="s">
        <v>4</v>
      </c>
      <c r="D4" t="str">
        <f t="shared" si="0"/>
        <v>AFG</v>
      </c>
    </row>
    <row r="5" spans="1:4" ht="20.399999999999999" thickTop="1" thickBot="1">
      <c r="A5" s="7" t="s">
        <v>12</v>
      </c>
      <c r="B5" s="7" t="s">
        <v>5</v>
      </c>
      <c r="C5" s="7" t="s">
        <v>6</v>
      </c>
      <c r="D5" t="str">
        <f t="shared" si="0"/>
        <v>AFG</v>
      </c>
    </row>
    <row r="6" spans="1:4" ht="30" thickTop="1" thickBot="1">
      <c r="A6" s="7" t="s">
        <v>12</v>
      </c>
      <c r="B6" s="7" t="s">
        <v>7</v>
      </c>
      <c r="C6" s="7" t="s">
        <v>8</v>
      </c>
      <c r="D6" t="str">
        <f t="shared" si="0"/>
        <v>AFG</v>
      </c>
    </row>
    <row r="7" spans="1:4" ht="49.2" thickTop="1" thickBot="1">
      <c r="A7" s="7" t="s">
        <v>12</v>
      </c>
      <c r="B7" s="7" t="s">
        <v>9</v>
      </c>
      <c r="C7" s="7">
        <v>2017</v>
      </c>
      <c r="D7" t="str">
        <f t="shared" si="0"/>
        <v>AFG</v>
      </c>
    </row>
    <row r="8" spans="1:4" ht="39.6" thickTop="1" thickBot="1">
      <c r="A8" s="7" t="s">
        <v>12</v>
      </c>
      <c r="B8" s="7" t="s">
        <v>10</v>
      </c>
      <c r="C8" s="7">
        <v>2018</v>
      </c>
      <c r="D8" t="str">
        <f t="shared" si="0"/>
        <v>AFG</v>
      </c>
    </row>
    <row r="9" spans="1:4" ht="15.6" thickTop="1" thickBot="1">
      <c r="A9" s="7" t="s">
        <v>12</v>
      </c>
      <c r="B9" s="7" t="s">
        <v>11</v>
      </c>
      <c r="C9" s="7" t="s">
        <v>12</v>
      </c>
      <c r="D9" t="str">
        <f t="shared" si="0"/>
        <v>AFG</v>
      </c>
    </row>
    <row r="10" spans="1:4" ht="15.6" thickTop="1" thickBot="1">
      <c r="A10" s="7" t="s">
        <v>12</v>
      </c>
      <c r="B10" s="7" t="s">
        <v>13</v>
      </c>
      <c r="C10" s="7" t="s">
        <v>14</v>
      </c>
      <c r="D10" t="str">
        <f t="shared" si="0"/>
        <v>AFG</v>
      </c>
    </row>
    <row r="11" spans="1:4" ht="15.6" thickTop="1" thickBot="1">
      <c r="A11" s="7" t="s">
        <v>12</v>
      </c>
      <c r="B11" s="7" t="s">
        <v>15</v>
      </c>
      <c r="C11" s="7" t="s">
        <v>12</v>
      </c>
      <c r="D11" t="str">
        <f t="shared" si="0"/>
        <v>AFG</v>
      </c>
    </row>
    <row r="12" spans="1:4" ht="15.6" thickTop="1" thickBot="1">
      <c r="A12" s="7" t="s">
        <v>12</v>
      </c>
      <c r="B12" s="7" t="s">
        <v>16</v>
      </c>
      <c r="C12" s="7" t="s">
        <v>14</v>
      </c>
      <c r="D12" t="str">
        <f t="shared" si="0"/>
        <v>AFG</v>
      </c>
    </row>
    <row r="13" spans="1:4" ht="15.6" thickTop="1" thickBot="1">
      <c r="A13" s="7" t="s">
        <v>12</v>
      </c>
      <c r="B13" s="7" t="s">
        <v>17</v>
      </c>
      <c r="C13" s="7" t="s">
        <v>12</v>
      </c>
      <c r="D13" t="str">
        <f t="shared" si="0"/>
        <v>AFG</v>
      </c>
    </row>
    <row r="14" spans="1:4" ht="15.6" thickTop="1" thickBot="1">
      <c r="A14" s="7" t="s">
        <v>12</v>
      </c>
      <c r="B14" s="7" t="s">
        <v>18</v>
      </c>
      <c r="C14" s="7" t="s">
        <v>12</v>
      </c>
      <c r="D14" t="str">
        <f t="shared" si="0"/>
        <v>AFG</v>
      </c>
    </row>
    <row r="15" spans="1:4" ht="15.6" thickTop="1" thickBot="1">
      <c r="A15" s="7" t="s">
        <v>12</v>
      </c>
      <c r="B15" s="7" t="s">
        <v>19</v>
      </c>
      <c r="C15" s="7" t="s">
        <v>20</v>
      </c>
      <c r="D15" t="str">
        <f t="shared" si="0"/>
        <v>AFG</v>
      </c>
    </row>
    <row r="16" spans="1:4" ht="15.6" thickTop="1" thickBot="1">
      <c r="A16" s="7" t="s">
        <v>12</v>
      </c>
      <c r="B16" s="7" t="s">
        <v>21</v>
      </c>
      <c r="C16" s="7" t="s">
        <v>12</v>
      </c>
      <c r="D16" t="str">
        <f t="shared" si="0"/>
        <v>AFG</v>
      </c>
    </row>
    <row r="17" spans="1:4" ht="15.6" thickTop="1" thickBot="1">
      <c r="A17" s="7" t="s">
        <v>12</v>
      </c>
      <c r="B17" s="7" t="s">
        <v>22</v>
      </c>
      <c r="C17" s="7" t="s">
        <v>14</v>
      </c>
      <c r="D17" t="str">
        <f t="shared" si="0"/>
        <v>AFG</v>
      </c>
    </row>
    <row r="18" spans="1:4" ht="15.6" thickTop="1" thickBot="1">
      <c r="A18" s="7" t="s">
        <v>12</v>
      </c>
      <c r="B18" s="7" t="s">
        <v>23</v>
      </c>
      <c r="C18" s="7" t="s">
        <v>12</v>
      </c>
      <c r="D18" t="str">
        <f t="shared" si="0"/>
        <v>AFG</v>
      </c>
    </row>
    <row r="19" spans="1:4" ht="15.6" thickTop="1" thickBot="1">
      <c r="A19" s="7" t="s">
        <v>12</v>
      </c>
      <c r="B19" s="7" t="s">
        <v>24</v>
      </c>
      <c r="C19" s="7">
        <v>3010</v>
      </c>
      <c r="D19" t="str">
        <f t="shared" si="0"/>
        <v>AFG</v>
      </c>
    </row>
    <row r="20" spans="1:4" ht="30" thickTop="1" thickBot="1">
      <c r="A20" s="7" t="s">
        <v>12</v>
      </c>
      <c r="B20" s="7" t="s">
        <v>25</v>
      </c>
      <c r="C20" s="8">
        <v>652230</v>
      </c>
      <c r="D20" t="str">
        <f t="shared" si="0"/>
        <v>AFG</v>
      </c>
    </row>
    <row r="21" spans="1:4" ht="49.2" thickTop="1" thickBot="1">
      <c r="A21" s="7" t="s">
        <v>12</v>
      </c>
      <c r="B21" s="7" t="s">
        <v>26</v>
      </c>
      <c r="C21" s="7" t="s">
        <v>27</v>
      </c>
      <c r="D21" t="str">
        <f t="shared" si="0"/>
        <v>AFG</v>
      </c>
    </row>
    <row r="22" spans="1:4" ht="20.399999999999999" thickTop="1" thickBot="1">
      <c r="A22" s="7" t="s">
        <v>12</v>
      </c>
      <c r="B22" s="7" t="s">
        <v>28</v>
      </c>
      <c r="C22" s="7" t="s">
        <v>29</v>
      </c>
      <c r="D22" t="str">
        <f t="shared" si="0"/>
        <v>AFG</v>
      </c>
    </row>
    <row r="23" spans="1:4" ht="20.399999999999999" thickTop="1" thickBot="1">
      <c r="A23" s="7" t="s">
        <v>12</v>
      </c>
      <c r="B23" s="7" t="s">
        <v>30</v>
      </c>
      <c r="C23" s="7" t="s">
        <v>31</v>
      </c>
      <c r="D23" t="str">
        <f t="shared" si="0"/>
        <v>AFG</v>
      </c>
    </row>
    <row r="24" spans="1:4" ht="20.399999999999999" thickTop="1" thickBot="1">
      <c r="A24" s="7" t="s">
        <v>12</v>
      </c>
      <c r="B24" s="7" t="s">
        <v>32</v>
      </c>
      <c r="C24" s="7" t="s">
        <v>33</v>
      </c>
      <c r="D24" t="str">
        <f t="shared" si="0"/>
        <v>AFG</v>
      </c>
    </row>
    <row r="25" spans="1:4" ht="15.6" thickTop="1" thickBot="1">
      <c r="A25" s="9" t="s">
        <v>34</v>
      </c>
      <c r="B25" s="10"/>
      <c r="C25" s="11"/>
      <c r="D25" t="str">
        <f t="shared" si="0"/>
        <v>ALB</v>
      </c>
    </row>
    <row r="26" spans="1:4" ht="20.399999999999999" thickTop="1" thickBot="1">
      <c r="A26" s="7" t="s">
        <v>40</v>
      </c>
      <c r="B26" s="7" t="s">
        <v>1</v>
      </c>
      <c r="C26" s="7" t="s">
        <v>35</v>
      </c>
      <c r="D26" t="str">
        <f t="shared" si="0"/>
        <v>ALB</v>
      </c>
    </row>
    <row r="27" spans="1:4" ht="30" thickTop="1" thickBot="1">
      <c r="A27" s="7" t="s">
        <v>40</v>
      </c>
      <c r="B27" s="7" t="s">
        <v>3</v>
      </c>
      <c r="C27" s="7" t="s">
        <v>36</v>
      </c>
      <c r="D27" t="str">
        <f t="shared" si="0"/>
        <v>ALB</v>
      </c>
    </row>
    <row r="28" spans="1:4" ht="20.399999999999999" thickTop="1" thickBot="1">
      <c r="A28" s="7" t="s">
        <v>40</v>
      </c>
      <c r="B28" s="7" t="s">
        <v>5</v>
      </c>
      <c r="C28" s="7" t="s">
        <v>37</v>
      </c>
      <c r="D28" t="str">
        <f t="shared" si="0"/>
        <v>ALB</v>
      </c>
    </row>
    <row r="29" spans="1:4" ht="30" thickTop="1" thickBot="1">
      <c r="A29" s="7" t="s">
        <v>40</v>
      </c>
      <c r="B29" s="7" t="s">
        <v>7</v>
      </c>
      <c r="C29" s="7" t="s">
        <v>38</v>
      </c>
      <c r="D29" t="str">
        <f t="shared" si="0"/>
        <v>ALB</v>
      </c>
    </row>
    <row r="30" spans="1:4" ht="49.2" thickTop="1" thickBot="1">
      <c r="A30" s="7" t="s">
        <v>40</v>
      </c>
      <c r="B30" s="7" t="s">
        <v>9</v>
      </c>
      <c r="C30" s="7">
        <v>2017</v>
      </c>
      <c r="D30" t="str">
        <f t="shared" si="0"/>
        <v>ALB</v>
      </c>
    </row>
    <row r="31" spans="1:4" ht="39.6" thickTop="1" thickBot="1">
      <c r="A31" s="7" t="s">
        <v>40</v>
      </c>
      <c r="B31" s="7" t="s">
        <v>10</v>
      </c>
      <c r="C31" s="7">
        <v>2018</v>
      </c>
      <c r="D31" t="str">
        <f t="shared" si="0"/>
        <v>ALB</v>
      </c>
    </row>
    <row r="32" spans="1:4" ht="15.6" thickTop="1" thickBot="1">
      <c r="A32" s="7" t="s">
        <v>40</v>
      </c>
      <c r="B32" s="7" t="s">
        <v>11</v>
      </c>
      <c r="C32" s="7" t="s">
        <v>39</v>
      </c>
      <c r="D32" t="str">
        <f t="shared" si="0"/>
        <v>ALB</v>
      </c>
    </row>
    <row r="33" spans="1:4" ht="15.6" thickTop="1" thickBot="1">
      <c r="A33" s="7" t="s">
        <v>40</v>
      </c>
      <c r="B33" s="7" t="s">
        <v>13</v>
      </c>
      <c r="C33" s="7" t="s">
        <v>39</v>
      </c>
      <c r="D33" t="str">
        <f t="shared" si="0"/>
        <v>ALB</v>
      </c>
    </row>
    <row r="34" spans="1:4" ht="15.6" thickTop="1" thickBot="1">
      <c r="A34" s="7" t="s">
        <v>40</v>
      </c>
      <c r="B34" s="7" t="s">
        <v>15</v>
      </c>
      <c r="C34" s="7" t="s">
        <v>40</v>
      </c>
      <c r="D34" t="str">
        <f t="shared" si="0"/>
        <v>ALB</v>
      </c>
    </row>
    <row r="35" spans="1:4" ht="15.6" thickTop="1" thickBot="1">
      <c r="A35" s="7" t="s">
        <v>40</v>
      </c>
      <c r="B35" s="7" t="s">
        <v>22</v>
      </c>
      <c r="C35" s="7" t="s">
        <v>41</v>
      </c>
      <c r="D35" t="str">
        <f t="shared" si="0"/>
        <v>ALB</v>
      </c>
    </row>
    <row r="36" spans="1:4" ht="15.6" thickTop="1" thickBot="1">
      <c r="A36" s="7" t="s">
        <v>40</v>
      </c>
      <c r="B36" s="7" t="s">
        <v>23</v>
      </c>
      <c r="C36" s="7" t="s">
        <v>40</v>
      </c>
      <c r="D36" t="str">
        <f t="shared" si="0"/>
        <v>ALB</v>
      </c>
    </row>
    <row r="37" spans="1:4" ht="15.6" thickTop="1" thickBot="1">
      <c r="A37" s="7" t="s">
        <v>40</v>
      </c>
      <c r="B37" s="7" t="s">
        <v>24</v>
      </c>
      <c r="C37" s="7">
        <v>4005</v>
      </c>
      <c r="D37" t="str">
        <f t="shared" si="0"/>
        <v>ALB</v>
      </c>
    </row>
    <row r="38" spans="1:4" ht="15.6" thickTop="1" thickBot="1">
      <c r="A38" s="7" t="s">
        <v>40</v>
      </c>
      <c r="B38" s="7" t="s">
        <v>18</v>
      </c>
      <c r="C38" s="7" t="s">
        <v>40</v>
      </c>
      <c r="D38" t="str">
        <f t="shared" si="0"/>
        <v>ALB</v>
      </c>
    </row>
    <row r="39" spans="1:4" ht="15.6" thickTop="1" thickBot="1">
      <c r="A39" s="7" t="s">
        <v>40</v>
      </c>
      <c r="B39" s="7" t="s">
        <v>19</v>
      </c>
      <c r="C39" s="7" t="s">
        <v>42</v>
      </c>
      <c r="D39" t="str">
        <f t="shared" si="0"/>
        <v>ALB</v>
      </c>
    </row>
    <row r="40" spans="1:4" ht="15.6" thickTop="1" thickBot="1">
      <c r="A40" s="7" t="s">
        <v>40</v>
      </c>
      <c r="B40" s="7" t="s">
        <v>21</v>
      </c>
      <c r="C40" s="7" t="s">
        <v>40</v>
      </c>
      <c r="D40" t="str">
        <f t="shared" si="0"/>
        <v>ALB</v>
      </c>
    </row>
    <row r="41" spans="1:4" ht="15.6" thickTop="1" thickBot="1">
      <c r="A41" s="7" t="s">
        <v>40</v>
      </c>
      <c r="B41" s="7" t="s">
        <v>16</v>
      </c>
      <c r="C41" s="7" t="s">
        <v>39</v>
      </c>
      <c r="D41" t="str">
        <f t="shared" si="0"/>
        <v>ALB</v>
      </c>
    </row>
    <row r="42" spans="1:4" ht="15.6" thickTop="1" thickBot="1">
      <c r="A42" s="7" t="s">
        <v>40</v>
      </c>
      <c r="B42" s="7" t="s">
        <v>17</v>
      </c>
      <c r="C42" s="7" t="s">
        <v>40</v>
      </c>
      <c r="D42" t="str">
        <f t="shared" si="0"/>
        <v>ALB</v>
      </c>
    </row>
    <row r="43" spans="1:4" ht="30" thickTop="1" thickBot="1">
      <c r="A43" s="7" t="s">
        <v>40</v>
      </c>
      <c r="B43" s="7" t="s">
        <v>25</v>
      </c>
      <c r="C43" s="8">
        <v>27400</v>
      </c>
      <c r="D43" t="str">
        <f t="shared" si="0"/>
        <v>ALB</v>
      </c>
    </row>
    <row r="44" spans="1:4" ht="49.2" thickTop="1" thickBot="1">
      <c r="A44" s="7" t="s">
        <v>40</v>
      </c>
      <c r="B44" s="7" t="s">
        <v>26</v>
      </c>
      <c r="C44" s="7" t="s">
        <v>43</v>
      </c>
      <c r="D44" t="str">
        <f t="shared" si="0"/>
        <v>ALB</v>
      </c>
    </row>
    <row r="45" spans="1:4" ht="20.399999999999999" thickTop="1" thickBot="1">
      <c r="A45" s="7" t="s">
        <v>40</v>
      </c>
      <c r="B45" s="7" t="s">
        <v>28</v>
      </c>
      <c r="C45" s="7" t="s">
        <v>44</v>
      </c>
      <c r="D45" t="str">
        <f t="shared" si="0"/>
        <v>ALB</v>
      </c>
    </row>
    <row r="46" spans="1:4" ht="20.399999999999999" thickTop="1" thickBot="1">
      <c r="A46" s="7" t="s">
        <v>40</v>
      </c>
      <c r="B46" s="7" t="s">
        <v>30</v>
      </c>
      <c r="C46" s="7" t="s">
        <v>45</v>
      </c>
      <c r="D46" t="str">
        <f t="shared" si="0"/>
        <v>ALB</v>
      </c>
    </row>
    <row r="47" spans="1:4" ht="20.399999999999999" thickTop="1" thickBot="1">
      <c r="A47" s="7" t="s">
        <v>40</v>
      </c>
      <c r="B47" s="7" t="s">
        <v>32</v>
      </c>
      <c r="C47" s="7" t="s">
        <v>33</v>
      </c>
      <c r="D47" t="str">
        <f t="shared" si="0"/>
        <v>ALB</v>
      </c>
    </row>
    <row r="48" spans="1:4" ht="15.6" thickTop="1" thickBot="1">
      <c r="A48" s="9" t="s">
        <v>46</v>
      </c>
      <c r="B48" s="10"/>
      <c r="C48" s="11"/>
      <c r="D48" t="str">
        <f t="shared" si="0"/>
        <v>DZA</v>
      </c>
    </row>
    <row r="49" spans="1:4" ht="30" thickTop="1" thickBot="1">
      <c r="A49" s="7" t="s">
        <v>55</v>
      </c>
      <c r="B49" s="7" t="s">
        <v>25</v>
      </c>
      <c r="C49" s="8">
        <v>2381740</v>
      </c>
      <c r="D49" t="str">
        <f t="shared" si="0"/>
        <v>DZA</v>
      </c>
    </row>
    <row r="50" spans="1:4" ht="39.6" thickTop="1" thickBot="1">
      <c r="A50" s="7" t="s">
        <v>55</v>
      </c>
      <c r="B50" s="7" t="s">
        <v>26</v>
      </c>
      <c r="C50" s="7" t="s">
        <v>47</v>
      </c>
      <c r="D50" t="str">
        <f t="shared" si="0"/>
        <v>DZA</v>
      </c>
    </row>
    <row r="51" spans="1:4" ht="20.399999999999999" thickTop="1" thickBot="1">
      <c r="A51" s="7" t="s">
        <v>55</v>
      </c>
      <c r="B51" s="7" t="s">
        <v>28</v>
      </c>
      <c r="C51" s="7" t="s">
        <v>48</v>
      </c>
      <c r="D51" t="str">
        <f t="shared" si="0"/>
        <v>DZA</v>
      </c>
    </row>
    <row r="52" spans="1:4" ht="20.399999999999999" thickTop="1" thickBot="1">
      <c r="A52" s="7" t="s">
        <v>55</v>
      </c>
      <c r="B52" s="7" t="s">
        <v>30</v>
      </c>
      <c r="C52" s="7" t="s">
        <v>49</v>
      </c>
      <c r="D52" t="str">
        <f t="shared" si="0"/>
        <v>DZA</v>
      </c>
    </row>
    <row r="53" spans="1:4" ht="20.399999999999999" thickTop="1" thickBot="1">
      <c r="A53" s="7" t="s">
        <v>55</v>
      </c>
      <c r="B53" s="7" t="s">
        <v>32</v>
      </c>
      <c r="C53" s="7" t="s">
        <v>33</v>
      </c>
      <c r="D53" t="str">
        <f t="shared" si="0"/>
        <v>DZA</v>
      </c>
    </row>
    <row r="54" spans="1:4" ht="20.399999999999999" thickTop="1" thickBot="1">
      <c r="A54" s="7" t="s">
        <v>55</v>
      </c>
      <c r="B54" s="7" t="s">
        <v>1</v>
      </c>
      <c r="C54" s="7" t="s">
        <v>50</v>
      </c>
      <c r="D54" t="str">
        <f t="shared" si="0"/>
        <v>DZA</v>
      </c>
    </row>
    <row r="55" spans="1:4" ht="30" thickTop="1" thickBot="1">
      <c r="A55" s="7" t="s">
        <v>55</v>
      </c>
      <c r="B55" s="7" t="s">
        <v>3</v>
      </c>
      <c r="C55" s="7" t="s">
        <v>36</v>
      </c>
      <c r="D55" t="str">
        <f t="shared" si="0"/>
        <v>DZA</v>
      </c>
    </row>
    <row r="56" spans="1:4" ht="20.399999999999999" thickTop="1" thickBot="1">
      <c r="A56" s="7" t="s">
        <v>55</v>
      </c>
      <c r="B56" s="7" t="s">
        <v>5</v>
      </c>
      <c r="C56" s="7" t="s">
        <v>51</v>
      </c>
      <c r="D56" t="str">
        <f t="shared" si="0"/>
        <v>DZA</v>
      </c>
    </row>
    <row r="57" spans="1:4" ht="30" thickTop="1" thickBot="1">
      <c r="A57" s="7" t="s">
        <v>55</v>
      </c>
      <c r="B57" s="7" t="s">
        <v>7</v>
      </c>
      <c r="C57" s="7" t="s">
        <v>38</v>
      </c>
      <c r="D57" t="str">
        <f t="shared" si="0"/>
        <v>DZA</v>
      </c>
    </row>
    <row r="58" spans="1:4" ht="49.2" thickTop="1" thickBot="1">
      <c r="A58" s="7" t="s">
        <v>55</v>
      </c>
      <c r="B58" s="7" t="s">
        <v>9</v>
      </c>
      <c r="C58" s="7">
        <v>2017</v>
      </c>
      <c r="D58" t="str">
        <f t="shared" si="0"/>
        <v>DZA</v>
      </c>
    </row>
    <row r="59" spans="1:4" ht="39.6" thickTop="1" thickBot="1">
      <c r="A59" s="7" t="s">
        <v>55</v>
      </c>
      <c r="B59" s="7" t="s">
        <v>10</v>
      </c>
      <c r="C59" s="7">
        <v>2018</v>
      </c>
      <c r="D59" t="str">
        <f t="shared" si="0"/>
        <v>DZA</v>
      </c>
    </row>
    <row r="60" spans="1:4" ht="15.6" thickTop="1" thickBot="1">
      <c r="A60" s="7" t="s">
        <v>55</v>
      </c>
      <c r="B60" s="7" t="s">
        <v>11</v>
      </c>
      <c r="C60" s="7" t="s">
        <v>52</v>
      </c>
      <c r="D60" t="str">
        <f t="shared" si="0"/>
        <v>DZA</v>
      </c>
    </row>
    <row r="61" spans="1:4" ht="15.6" thickTop="1" thickBot="1">
      <c r="A61" s="7" t="s">
        <v>55</v>
      </c>
      <c r="B61" s="7" t="s">
        <v>13</v>
      </c>
      <c r="C61" s="7" t="s">
        <v>53</v>
      </c>
      <c r="D61" t="str">
        <f t="shared" si="0"/>
        <v>DZA</v>
      </c>
    </row>
    <row r="62" spans="1:4" ht="15.6" thickTop="1" thickBot="1">
      <c r="A62" s="7" t="s">
        <v>55</v>
      </c>
      <c r="B62" s="7" t="s">
        <v>15</v>
      </c>
      <c r="C62" s="7" t="s">
        <v>54</v>
      </c>
      <c r="D62" t="str">
        <f t="shared" si="0"/>
        <v>DZA</v>
      </c>
    </row>
    <row r="63" spans="1:4" ht="15.6" thickTop="1" thickBot="1">
      <c r="A63" s="7" t="s">
        <v>55</v>
      </c>
      <c r="B63" s="7" t="s">
        <v>16</v>
      </c>
      <c r="C63" s="7" t="s">
        <v>52</v>
      </c>
      <c r="D63" t="str">
        <f t="shared" si="0"/>
        <v>DZA</v>
      </c>
    </row>
    <row r="64" spans="1:4" ht="15.6" thickTop="1" thickBot="1">
      <c r="A64" s="7" t="s">
        <v>55</v>
      </c>
      <c r="B64" s="7" t="s">
        <v>17</v>
      </c>
      <c r="C64" s="7" t="s">
        <v>55</v>
      </c>
      <c r="D64" t="str">
        <f t="shared" si="0"/>
        <v>DZA</v>
      </c>
    </row>
    <row r="65" spans="1:4" ht="15.6" thickTop="1" thickBot="1">
      <c r="A65" s="7" t="s">
        <v>55</v>
      </c>
      <c r="B65" s="7" t="s">
        <v>18</v>
      </c>
      <c r="C65" s="7" t="s">
        <v>54</v>
      </c>
      <c r="D65" t="str">
        <f t="shared" si="0"/>
        <v>DZA</v>
      </c>
    </row>
    <row r="66" spans="1:4" ht="15.6" thickTop="1" thickBot="1">
      <c r="A66" s="7" t="s">
        <v>55</v>
      </c>
      <c r="B66" s="7" t="s">
        <v>19</v>
      </c>
      <c r="C66" s="7" t="s">
        <v>56</v>
      </c>
      <c r="D66" t="str">
        <f t="shared" ref="D66:D129" si="1">IF(ISNUMBER(FIND(":", A66)), LEFT(A66, FIND(":", A66) - 1), D65)</f>
        <v>DZA</v>
      </c>
    </row>
    <row r="67" spans="1:4" ht="15.6" thickTop="1" thickBot="1">
      <c r="A67" s="7" t="s">
        <v>55</v>
      </c>
      <c r="B67" s="7" t="s">
        <v>21</v>
      </c>
      <c r="C67" s="7" t="s">
        <v>54</v>
      </c>
      <c r="D67" t="str">
        <f t="shared" si="1"/>
        <v>DZA</v>
      </c>
    </row>
    <row r="68" spans="1:4" ht="15.6" thickTop="1" thickBot="1">
      <c r="A68" s="7" t="s">
        <v>55</v>
      </c>
      <c r="B68" s="7" t="s">
        <v>22</v>
      </c>
      <c r="C68" s="7" t="s">
        <v>39</v>
      </c>
      <c r="D68" t="str">
        <f t="shared" si="1"/>
        <v>DZA</v>
      </c>
    </row>
    <row r="69" spans="1:4" ht="15.6" thickTop="1" thickBot="1">
      <c r="A69" s="7" t="s">
        <v>55</v>
      </c>
      <c r="B69" s="7" t="s">
        <v>23</v>
      </c>
      <c r="C69" s="7" t="s">
        <v>55</v>
      </c>
      <c r="D69" t="str">
        <f t="shared" si="1"/>
        <v>DZA</v>
      </c>
    </row>
    <row r="70" spans="1:4" ht="15.6" thickTop="1" thickBot="1">
      <c r="A70" s="7" t="s">
        <v>55</v>
      </c>
      <c r="B70" s="7" t="s">
        <v>24</v>
      </c>
      <c r="C70" s="7">
        <v>1010</v>
      </c>
      <c r="D70" t="str">
        <f t="shared" si="1"/>
        <v>DZA</v>
      </c>
    </row>
    <row r="71" spans="1:4" ht="20.399999999999999" thickTop="1" thickBot="1">
      <c r="A71" s="9" t="s">
        <v>57</v>
      </c>
      <c r="B71" s="10"/>
      <c r="C71" s="11"/>
      <c r="D71" t="str">
        <f t="shared" si="1"/>
        <v>AND</v>
      </c>
    </row>
    <row r="72" spans="1:4" ht="30" thickTop="1" thickBot="1">
      <c r="A72" t="str">
        <f t="shared" ref="A72:A92" si="2">LEFT($A$71, FIND(":", $A$71) - 1)</f>
        <v>AND</v>
      </c>
      <c r="B72" s="7" t="s">
        <v>25</v>
      </c>
      <c r="C72" s="7">
        <v>470</v>
      </c>
      <c r="D72" t="str">
        <f t="shared" si="1"/>
        <v>AND</v>
      </c>
    </row>
    <row r="73" spans="1:4" ht="39.6" thickTop="1" thickBot="1">
      <c r="A73" t="str">
        <f t="shared" si="2"/>
        <v>AND</v>
      </c>
      <c r="B73" s="7" t="s">
        <v>26</v>
      </c>
      <c r="C73" s="7" t="s">
        <v>58</v>
      </c>
      <c r="D73" t="str">
        <f t="shared" si="1"/>
        <v>AND</v>
      </c>
    </row>
    <row r="74" spans="1:4" ht="20.399999999999999" thickTop="1" thickBot="1">
      <c r="A74" t="str">
        <f t="shared" si="2"/>
        <v>AND</v>
      </c>
      <c r="B74" s="7" t="s">
        <v>1</v>
      </c>
      <c r="C74" s="7" t="s">
        <v>35</v>
      </c>
      <c r="D74" t="str">
        <f t="shared" si="1"/>
        <v>AND</v>
      </c>
    </row>
    <row r="75" spans="1:4" ht="30" thickTop="1" thickBot="1">
      <c r="A75" t="str">
        <f t="shared" si="2"/>
        <v>AND</v>
      </c>
      <c r="B75" s="7" t="s">
        <v>3</v>
      </c>
      <c r="C75" s="7" t="s">
        <v>59</v>
      </c>
      <c r="D75" t="str">
        <f t="shared" si="1"/>
        <v>AND</v>
      </c>
    </row>
    <row r="76" spans="1:4" ht="20.399999999999999" thickTop="1" thickBot="1">
      <c r="A76" t="str">
        <f t="shared" si="2"/>
        <v>AND</v>
      </c>
      <c r="B76" s="7" t="s">
        <v>5</v>
      </c>
      <c r="C76" s="7" t="s">
        <v>37</v>
      </c>
      <c r="D76" t="str">
        <f t="shared" si="1"/>
        <v>AND</v>
      </c>
    </row>
    <row r="77" spans="1:4" ht="30" thickTop="1" thickBot="1">
      <c r="A77" t="str">
        <f t="shared" si="2"/>
        <v>AND</v>
      </c>
      <c r="B77" s="7" t="s">
        <v>7</v>
      </c>
      <c r="C77" s="7" t="s">
        <v>60</v>
      </c>
      <c r="D77" t="str">
        <f t="shared" si="1"/>
        <v>AND</v>
      </c>
    </row>
    <row r="78" spans="1:4" ht="49.2" thickTop="1" thickBot="1">
      <c r="A78" t="str">
        <f t="shared" si="2"/>
        <v>AND</v>
      </c>
      <c r="B78" s="7" t="s">
        <v>9</v>
      </c>
      <c r="C78" s="7">
        <v>2017</v>
      </c>
      <c r="D78" t="str">
        <f t="shared" si="1"/>
        <v>AND</v>
      </c>
    </row>
    <row r="79" spans="1:4" ht="39.6" thickTop="1" thickBot="1">
      <c r="A79" t="str">
        <f t="shared" si="2"/>
        <v>AND</v>
      </c>
      <c r="B79" s="7" t="s">
        <v>10</v>
      </c>
      <c r="C79" s="7">
        <v>2018</v>
      </c>
      <c r="D79" t="str">
        <f t="shared" si="1"/>
        <v>AND</v>
      </c>
    </row>
    <row r="80" spans="1:4" ht="15.6" thickTop="1" thickBot="1">
      <c r="A80" t="str">
        <f t="shared" si="2"/>
        <v>AND</v>
      </c>
      <c r="B80" s="7" t="s">
        <v>11</v>
      </c>
      <c r="C80" s="7" t="s">
        <v>61</v>
      </c>
      <c r="D80" t="str">
        <f t="shared" si="1"/>
        <v>AND</v>
      </c>
    </row>
    <row r="81" spans="1:4" ht="15.6" thickTop="1" thickBot="1">
      <c r="A81" t="str">
        <f t="shared" si="2"/>
        <v>AND</v>
      </c>
      <c r="B81" s="7" t="s">
        <v>13</v>
      </c>
      <c r="C81" s="7" t="s">
        <v>62</v>
      </c>
      <c r="D81" t="str">
        <f t="shared" si="1"/>
        <v>AND</v>
      </c>
    </row>
    <row r="82" spans="1:4" ht="15.6" thickTop="1" thickBot="1">
      <c r="A82" t="str">
        <f t="shared" si="2"/>
        <v>AND</v>
      </c>
      <c r="B82" s="7" t="s">
        <v>15</v>
      </c>
      <c r="C82" s="7" t="s">
        <v>61</v>
      </c>
      <c r="D82" t="str">
        <f t="shared" si="1"/>
        <v>AND</v>
      </c>
    </row>
    <row r="83" spans="1:4" ht="15.6" thickTop="1" thickBot="1">
      <c r="A83" t="str">
        <f t="shared" si="2"/>
        <v>AND</v>
      </c>
      <c r="B83" s="7" t="s">
        <v>16</v>
      </c>
      <c r="C83" s="7" t="s">
        <v>63</v>
      </c>
      <c r="D83" t="str">
        <f t="shared" si="1"/>
        <v>AND</v>
      </c>
    </row>
    <row r="84" spans="1:4" ht="15.6" thickTop="1" thickBot="1">
      <c r="A84" t="str">
        <f t="shared" si="2"/>
        <v>AND</v>
      </c>
      <c r="B84" s="7" t="s">
        <v>17</v>
      </c>
      <c r="C84" s="7" t="s">
        <v>61</v>
      </c>
      <c r="D84" t="str">
        <f t="shared" si="1"/>
        <v>AND</v>
      </c>
    </row>
    <row r="85" spans="1:4" ht="15.6" thickTop="1" thickBot="1">
      <c r="A85" t="str">
        <f t="shared" si="2"/>
        <v>AND</v>
      </c>
      <c r="B85" s="7" t="s">
        <v>18</v>
      </c>
      <c r="C85" s="7" t="s">
        <v>61</v>
      </c>
      <c r="D85" t="str">
        <f t="shared" si="1"/>
        <v>AND</v>
      </c>
    </row>
    <row r="86" spans="1:4" ht="15.6" thickTop="1" thickBot="1">
      <c r="A86" t="str">
        <f t="shared" si="2"/>
        <v>AND</v>
      </c>
      <c r="B86" s="7" t="s">
        <v>19</v>
      </c>
      <c r="C86" s="7" t="s">
        <v>64</v>
      </c>
      <c r="D86" t="str">
        <f t="shared" si="1"/>
        <v>AND</v>
      </c>
    </row>
    <row r="87" spans="1:4" ht="15.6" thickTop="1" thickBot="1">
      <c r="A87" t="str">
        <f t="shared" si="2"/>
        <v>AND</v>
      </c>
      <c r="B87" s="7" t="s">
        <v>21</v>
      </c>
      <c r="C87" s="7" t="s">
        <v>61</v>
      </c>
      <c r="D87" t="str">
        <f t="shared" si="1"/>
        <v>AND</v>
      </c>
    </row>
    <row r="88" spans="1:4" ht="15.6" thickTop="1" thickBot="1">
      <c r="A88" t="str">
        <f t="shared" si="2"/>
        <v>AND</v>
      </c>
      <c r="B88" s="7" t="s">
        <v>23</v>
      </c>
      <c r="C88" s="7" t="s">
        <v>61</v>
      </c>
      <c r="D88" t="str">
        <f t="shared" si="1"/>
        <v>AND</v>
      </c>
    </row>
    <row r="89" spans="1:4" ht="15.6" thickTop="1" thickBot="1">
      <c r="A89" t="str">
        <f t="shared" si="2"/>
        <v>AND</v>
      </c>
      <c r="B89" s="7" t="s">
        <v>24</v>
      </c>
      <c r="C89" s="7">
        <v>4008</v>
      </c>
      <c r="D89" t="str">
        <f t="shared" si="1"/>
        <v>AND</v>
      </c>
    </row>
    <row r="90" spans="1:4" ht="20.399999999999999" thickTop="1" thickBot="1">
      <c r="A90" t="str">
        <f t="shared" si="2"/>
        <v>AND</v>
      </c>
      <c r="B90" s="7" t="s">
        <v>28</v>
      </c>
      <c r="C90" s="7" t="s">
        <v>65</v>
      </c>
      <c r="D90" t="str">
        <f t="shared" si="1"/>
        <v>AND</v>
      </c>
    </row>
    <row r="91" spans="1:4" ht="20.399999999999999" thickTop="1" thickBot="1">
      <c r="A91" t="str">
        <f t="shared" si="2"/>
        <v>AND</v>
      </c>
      <c r="B91" s="7" t="s">
        <v>30</v>
      </c>
      <c r="C91" s="7" t="s">
        <v>66</v>
      </c>
      <c r="D91" t="str">
        <f t="shared" si="1"/>
        <v>AND</v>
      </c>
    </row>
    <row r="92" spans="1:4" ht="20.399999999999999" thickTop="1" thickBot="1">
      <c r="A92" t="str">
        <f t="shared" si="2"/>
        <v>AND</v>
      </c>
      <c r="B92" s="7" t="s">
        <v>32</v>
      </c>
      <c r="C92" s="7" t="s">
        <v>33</v>
      </c>
      <c r="D92" t="str">
        <f t="shared" si="1"/>
        <v>AND</v>
      </c>
    </row>
    <row r="93" spans="1:4" ht="15.6" thickTop="1" thickBot="1">
      <c r="A93" s="9" t="s">
        <v>67</v>
      </c>
      <c r="B93" s="10"/>
      <c r="C93" s="11"/>
      <c r="D93" t="str">
        <f t="shared" si="1"/>
        <v>AGO</v>
      </c>
    </row>
    <row r="94" spans="1:4" ht="30" thickTop="1" thickBot="1">
      <c r="A94" t="str">
        <f t="shared" ref="A94:A114" si="3">LEFT($A$93, FIND(":", $A$93) - 1)</f>
        <v>AGO</v>
      </c>
      <c r="B94" s="7" t="s">
        <v>25</v>
      </c>
      <c r="C94" s="8">
        <v>1246700</v>
      </c>
      <c r="D94" t="str">
        <f t="shared" si="1"/>
        <v>AGO</v>
      </c>
    </row>
    <row r="95" spans="1:4" ht="39.6" thickTop="1" thickBot="1">
      <c r="A95" t="str">
        <f t="shared" si="3"/>
        <v>AGO</v>
      </c>
      <c r="B95" s="7" t="s">
        <v>26</v>
      </c>
      <c r="C95" s="7" t="s">
        <v>68</v>
      </c>
      <c r="D95" t="str">
        <f t="shared" si="1"/>
        <v>AGO</v>
      </c>
    </row>
    <row r="96" spans="1:4" ht="20.399999999999999" thickTop="1" thickBot="1">
      <c r="A96" t="str">
        <f t="shared" si="3"/>
        <v>AGO</v>
      </c>
      <c r="B96" s="7" t="s">
        <v>1</v>
      </c>
      <c r="C96" s="7" t="s">
        <v>50</v>
      </c>
      <c r="D96" t="str">
        <f t="shared" si="1"/>
        <v>AGO</v>
      </c>
    </row>
    <row r="97" spans="1:4" ht="30" thickTop="1" thickBot="1">
      <c r="A97" t="str">
        <f t="shared" si="3"/>
        <v>AGO</v>
      </c>
      <c r="B97" s="7" t="s">
        <v>3</v>
      </c>
      <c r="C97" s="7" t="s">
        <v>69</v>
      </c>
      <c r="D97" t="str">
        <f t="shared" si="1"/>
        <v>AGO</v>
      </c>
    </row>
    <row r="98" spans="1:4" ht="20.399999999999999" thickTop="1" thickBot="1">
      <c r="A98" t="str">
        <f t="shared" si="3"/>
        <v>AGO</v>
      </c>
      <c r="B98" s="7" t="s">
        <v>5</v>
      </c>
      <c r="C98" s="7" t="s">
        <v>51</v>
      </c>
      <c r="D98" t="str">
        <f t="shared" si="1"/>
        <v>AGO</v>
      </c>
    </row>
    <row r="99" spans="1:4" ht="30" thickTop="1" thickBot="1">
      <c r="A99" t="str">
        <f t="shared" si="3"/>
        <v>AGO</v>
      </c>
      <c r="B99" s="7" t="s">
        <v>7</v>
      </c>
      <c r="C99" s="7" t="s">
        <v>70</v>
      </c>
      <c r="D99" t="str">
        <f t="shared" si="1"/>
        <v>AGO</v>
      </c>
    </row>
    <row r="100" spans="1:4" ht="49.2" thickTop="1" thickBot="1">
      <c r="A100" t="str">
        <f t="shared" si="3"/>
        <v>AGO</v>
      </c>
      <c r="B100" s="7" t="s">
        <v>9</v>
      </c>
      <c r="C100" s="7">
        <v>2017</v>
      </c>
      <c r="D100" t="str">
        <f t="shared" si="1"/>
        <v>AGO</v>
      </c>
    </row>
    <row r="101" spans="1:4" ht="39.6" thickTop="1" thickBot="1">
      <c r="A101" t="str">
        <f t="shared" si="3"/>
        <v>AGO</v>
      </c>
      <c r="B101" s="7" t="s">
        <v>10</v>
      </c>
      <c r="C101" s="7">
        <v>2018</v>
      </c>
      <c r="D101" t="str">
        <f t="shared" si="1"/>
        <v>AGO</v>
      </c>
    </row>
    <row r="102" spans="1:4" ht="15.6" thickTop="1" thickBot="1">
      <c r="A102" t="str">
        <f t="shared" si="3"/>
        <v>AGO</v>
      </c>
      <c r="B102" s="7" t="s">
        <v>13</v>
      </c>
      <c r="C102" s="7" t="s">
        <v>71</v>
      </c>
      <c r="D102" t="str">
        <f t="shared" si="1"/>
        <v>AGO</v>
      </c>
    </row>
    <row r="103" spans="1:4" ht="15.6" thickTop="1" thickBot="1">
      <c r="A103" t="str">
        <f t="shared" si="3"/>
        <v>AGO</v>
      </c>
      <c r="B103" s="7" t="s">
        <v>15</v>
      </c>
      <c r="C103" s="7" t="s">
        <v>72</v>
      </c>
      <c r="D103" t="str">
        <f t="shared" si="1"/>
        <v>AGO</v>
      </c>
    </row>
    <row r="104" spans="1:4" ht="15.6" thickTop="1" thickBot="1">
      <c r="A104" t="str">
        <f t="shared" si="3"/>
        <v>AGO</v>
      </c>
      <c r="B104" s="7" t="s">
        <v>22</v>
      </c>
      <c r="C104" s="7" t="s">
        <v>62</v>
      </c>
      <c r="D104" t="str">
        <f t="shared" si="1"/>
        <v>AGO</v>
      </c>
    </row>
    <row r="105" spans="1:4" ht="15.6" thickTop="1" thickBot="1">
      <c r="A105" t="str">
        <f t="shared" si="3"/>
        <v>AGO</v>
      </c>
      <c r="B105" s="7" t="s">
        <v>23</v>
      </c>
      <c r="C105" s="7" t="s">
        <v>73</v>
      </c>
      <c r="D105" t="str">
        <f t="shared" si="1"/>
        <v>AGO</v>
      </c>
    </row>
    <row r="106" spans="1:4" ht="15.6" thickTop="1" thickBot="1">
      <c r="A106" t="str">
        <f t="shared" si="3"/>
        <v>AGO</v>
      </c>
      <c r="B106" s="7" t="s">
        <v>24</v>
      </c>
      <c r="C106" s="7">
        <v>1020</v>
      </c>
      <c r="D106" t="str">
        <f t="shared" si="1"/>
        <v>AGO</v>
      </c>
    </row>
    <row r="107" spans="1:4" ht="15.6" thickTop="1" thickBot="1">
      <c r="A107" t="str">
        <f t="shared" si="3"/>
        <v>AGO</v>
      </c>
      <c r="B107" s="7" t="s">
        <v>18</v>
      </c>
      <c r="C107" s="7" t="s">
        <v>74</v>
      </c>
      <c r="D107" t="str">
        <f t="shared" si="1"/>
        <v>AGO</v>
      </c>
    </row>
    <row r="108" spans="1:4" ht="15.6" thickTop="1" thickBot="1">
      <c r="A108" t="str">
        <f t="shared" si="3"/>
        <v>AGO</v>
      </c>
      <c r="B108" s="7" t="s">
        <v>19</v>
      </c>
      <c r="C108" s="7" t="s">
        <v>75</v>
      </c>
      <c r="D108" t="str">
        <f t="shared" si="1"/>
        <v>AGO</v>
      </c>
    </row>
    <row r="109" spans="1:4" ht="15.6" thickTop="1" thickBot="1">
      <c r="A109" t="str">
        <f t="shared" si="3"/>
        <v>AGO</v>
      </c>
      <c r="B109" s="7" t="s">
        <v>21</v>
      </c>
      <c r="C109" s="7" t="s">
        <v>72</v>
      </c>
      <c r="D109" t="str">
        <f t="shared" si="1"/>
        <v>AGO</v>
      </c>
    </row>
    <row r="110" spans="1:4" ht="15.6" thickTop="1" thickBot="1">
      <c r="A110" t="str">
        <f t="shared" si="3"/>
        <v>AGO</v>
      </c>
      <c r="B110" s="7" t="s">
        <v>16</v>
      </c>
      <c r="C110" s="7" t="s">
        <v>71</v>
      </c>
      <c r="D110" t="str">
        <f t="shared" si="1"/>
        <v>AGO</v>
      </c>
    </row>
    <row r="111" spans="1:4" ht="15.6" thickTop="1" thickBot="1">
      <c r="A111" t="str">
        <f t="shared" si="3"/>
        <v>AGO</v>
      </c>
      <c r="B111" s="7" t="s">
        <v>17</v>
      </c>
      <c r="C111" s="7" t="s">
        <v>73</v>
      </c>
      <c r="D111" t="str">
        <f t="shared" si="1"/>
        <v>AGO</v>
      </c>
    </row>
    <row r="112" spans="1:4" ht="20.399999999999999" thickTop="1" thickBot="1">
      <c r="A112" t="str">
        <f t="shared" si="3"/>
        <v>AGO</v>
      </c>
      <c r="B112" s="7" t="s">
        <v>28</v>
      </c>
      <c r="C112" s="7" t="s">
        <v>76</v>
      </c>
      <c r="D112" t="str">
        <f t="shared" si="1"/>
        <v>AGO</v>
      </c>
    </row>
    <row r="113" spans="1:4" ht="20.399999999999999" thickTop="1" thickBot="1">
      <c r="A113" t="str">
        <f t="shared" si="3"/>
        <v>AGO</v>
      </c>
      <c r="B113" s="7" t="s">
        <v>30</v>
      </c>
      <c r="C113" s="7" t="s">
        <v>76</v>
      </c>
      <c r="D113" t="str">
        <f t="shared" si="1"/>
        <v>AGO</v>
      </c>
    </row>
    <row r="114" spans="1:4" ht="20.399999999999999" thickTop="1" thickBot="1">
      <c r="A114" t="str">
        <f t="shared" si="3"/>
        <v>AGO</v>
      </c>
      <c r="B114" s="7" t="s">
        <v>32</v>
      </c>
      <c r="C114" s="7" t="s">
        <v>33</v>
      </c>
      <c r="D114" t="str">
        <f t="shared" si="1"/>
        <v>AGO</v>
      </c>
    </row>
    <row r="115" spans="1:4" ht="20.399999999999999" thickTop="1" thickBot="1">
      <c r="A115" s="9" t="s">
        <v>77</v>
      </c>
      <c r="B115" s="10"/>
      <c r="C115" s="11"/>
      <c r="D115" t="str">
        <f t="shared" si="1"/>
        <v>ATG</v>
      </c>
    </row>
    <row r="116" spans="1:4" ht="30" thickTop="1" thickBot="1">
      <c r="A116" t="str">
        <f t="shared" ref="A116:A136" si="4">LEFT($A$115, FIND(":", $A$115) - 1)</f>
        <v>ATG</v>
      </c>
      <c r="B116" s="7" t="s">
        <v>25</v>
      </c>
      <c r="C116" s="7">
        <v>440</v>
      </c>
      <c r="D116" t="str">
        <f t="shared" si="1"/>
        <v>ATG</v>
      </c>
    </row>
    <row r="117" spans="1:4" ht="20.399999999999999" thickTop="1" thickBot="1">
      <c r="A117" t="str">
        <f t="shared" si="4"/>
        <v>ATG</v>
      </c>
      <c r="B117" s="7" t="s">
        <v>26</v>
      </c>
      <c r="C117" s="7" t="s">
        <v>78</v>
      </c>
      <c r="D117" t="str">
        <f t="shared" si="1"/>
        <v>ATG</v>
      </c>
    </row>
    <row r="118" spans="1:4" ht="20.399999999999999" thickTop="1" thickBot="1">
      <c r="A118" t="str">
        <f t="shared" si="4"/>
        <v>ATG</v>
      </c>
      <c r="B118" s="7" t="s">
        <v>1</v>
      </c>
      <c r="C118" s="7" t="s">
        <v>79</v>
      </c>
      <c r="D118" t="str">
        <f t="shared" si="1"/>
        <v>ATG</v>
      </c>
    </row>
    <row r="119" spans="1:4" ht="30" thickTop="1" thickBot="1">
      <c r="A119" t="str">
        <f t="shared" si="4"/>
        <v>ATG</v>
      </c>
      <c r="B119" s="7" t="s">
        <v>3</v>
      </c>
      <c r="C119" s="7" t="s">
        <v>59</v>
      </c>
      <c r="D119" t="str">
        <f t="shared" si="1"/>
        <v>ATG</v>
      </c>
    </row>
    <row r="120" spans="1:4" ht="20.399999999999999" thickTop="1" thickBot="1">
      <c r="A120" t="str">
        <f t="shared" si="4"/>
        <v>ATG</v>
      </c>
      <c r="B120" s="7" t="s">
        <v>5</v>
      </c>
      <c r="C120" s="7" t="s">
        <v>80</v>
      </c>
      <c r="D120" t="str">
        <f t="shared" si="1"/>
        <v>ATG</v>
      </c>
    </row>
    <row r="121" spans="1:4" ht="30" thickTop="1" thickBot="1">
      <c r="A121" t="str">
        <f t="shared" si="4"/>
        <v>ATG</v>
      </c>
      <c r="B121" s="7" t="s">
        <v>7</v>
      </c>
      <c r="C121" s="7" t="s">
        <v>60</v>
      </c>
      <c r="D121" t="str">
        <f t="shared" si="1"/>
        <v>ATG</v>
      </c>
    </row>
    <row r="122" spans="1:4" ht="49.2" thickTop="1" thickBot="1">
      <c r="A122" t="str">
        <f t="shared" si="4"/>
        <v>ATG</v>
      </c>
      <c r="B122" s="7" t="s">
        <v>9</v>
      </c>
      <c r="C122" s="7">
        <v>2017</v>
      </c>
      <c r="D122" t="str">
        <f t="shared" si="1"/>
        <v>ATG</v>
      </c>
    </row>
    <row r="123" spans="1:4" ht="39.6" thickTop="1" thickBot="1">
      <c r="A123" t="str">
        <f t="shared" si="4"/>
        <v>ATG</v>
      </c>
      <c r="B123" s="7" t="s">
        <v>10</v>
      </c>
      <c r="C123" s="7">
        <v>2018</v>
      </c>
      <c r="D123" t="str">
        <f t="shared" si="1"/>
        <v>ATG</v>
      </c>
    </row>
    <row r="124" spans="1:4" ht="15.6" thickTop="1" thickBot="1">
      <c r="A124" t="str">
        <f t="shared" si="4"/>
        <v>ATG</v>
      </c>
      <c r="B124" s="7" t="s">
        <v>13</v>
      </c>
      <c r="C124" s="7" t="s">
        <v>81</v>
      </c>
      <c r="D124" t="str">
        <f t="shared" si="1"/>
        <v>ATG</v>
      </c>
    </row>
    <row r="125" spans="1:4" ht="15.6" thickTop="1" thickBot="1">
      <c r="A125" t="str">
        <f t="shared" si="4"/>
        <v>ATG</v>
      </c>
      <c r="B125" s="7" t="s">
        <v>15</v>
      </c>
      <c r="C125" s="7" t="s">
        <v>82</v>
      </c>
      <c r="D125" t="str">
        <f t="shared" si="1"/>
        <v>ATG</v>
      </c>
    </row>
    <row r="126" spans="1:4" ht="15.6" thickTop="1" thickBot="1">
      <c r="A126" t="str">
        <f t="shared" si="4"/>
        <v>ATG</v>
      </c>
      <c r="B126" s="7" t="s">
        <v>22</v>
      </c>
      <c r="C126" s="7" t="s">
        <v>83</v>
      </c>
      <c r="D126" t="str">
        <f t="shared" si="1"/>
        <v>ATG</v>
      </c>
    </row>
    <row r="127" spans="1:4" ht="15.6" thickTop="1" thickBot="1">
      <c r="A127" t="str">
        <f t="shared" si="4"/>
        <v>ATG</v>
      </c>
      <c r="B127" s="7" t="s">
        <v>23</v>
      </c>
      <c r="C127" s="7" t="s">
        <v>84</v>
      </c>
      <c r="D127" t="str">
        <f t="shared" si="1"/>
        <v>ATG</v>
      </c>
    </row>
    <row r="128" spans="1:4" ht="15.6" thickTop="1" thickBot="1">
      <c r="A128" t="str">
        <f t="shared" si="4"/>
        <v>ATG</v>
      </c>
      <c r="B128" s="7" t="s">
        <v>24</v>
      </c>
      <c r="C128" s="7">
        <v>2010</v>
      </c>
      <c r="D128" t="str">
        <f t="shared" si="1"/>
        <v>ATG</v>
      </c>
    </row>
    <row r="129" spans="1:4" ht="15.6" thickTop="1" thickBot="1">
      <c r="A129" t="str">
        <f t="shared" si="4"/>
        <v>ATG</v>
      </c>
      <c r="B129" s="7" t="s">
        <v>18</v>
      </c>
      <c r="C129" s="7" t="s">
        <v>84</v>
      </c>
      <c r="D129" t="str">
        <f t="shared" si="1"/>
        <v>ATG</v>
      </c>
    </row>
    <row r="130" spans="1:4" ht="15.6" thickTop="1" thickBot="1">
      <c r="A130" t="str">
        <f t="shared" si="4"/>
        <v>ATG</v>
      </c>
      <c r="B130" s="7" t="s">
        <v>19</v>
      </c>
      <c r="C130" s="7" t="s">
        <v>85</v>
      </c>
      <c r="D130" t="str">
        <f t="shared" ref="D130:D193" si="5">IF(ISNUMBER(FIND(":", A130)), LEFT(A130, FIND(":", A130) - 1), D129)</f>
        <v>ATG</v>
      </c>
    </row>
    <row r="131" spans="1:4" ht="15.6" thickTop="1" thickBot="1">
      <c r="A131" t="str">
        <f t="shared" si="4"/>
        <v>ATG</v>
      </c>
      <c r="B131" s="7" t="s">
        <v>21</v>
      </c>
      <c r="C131" s="7" t="s">
        <v>86</v>
      </c>
      <c r="D131" t="str">
        <f t="shared" si="5"/>
        <v>ATG</v>
      </c>
    </row>
    <row r="132" spans="1:4" ht="15.6" thickTop="1" thickBot="1">
      <c r="A132" t="str">
        <f t="shared" si="4"/>
        <v>ATG</v>
      </c>
      <c r="B132" s="7" t="s">
        <v>16</v>
      </c>
      <c r="C132" s="7" t="s">
        <v>53</v>
      </c>
      <c r="D132" t="str">
        <f t="shared" si="5"/>
        <v>ATG</v>
      </c>
    </row>
    <row r="133" spans="1:4" ht="15.6" thickTop="1" thickBot="1">
      <c r="A133" t="str">
        <f t="shared" si="4"/>
        <v>ATG</v>
      </c>
      <c r="B133" s="7" t="s">
        <v>17</v>
      </c>
      <c r="C133" s="7" t="s">
        <v>84</v>
      </c>
      <c r="D133" t="str">
        <f t="shared" si="5"/>
        <v>ATG</v>
      </c>
    </row>
    <row r="134" spans="1:4" ht="20.399999999999999" thickTop="1" thickBot="1">
      <c r="A134" t="str">
        <f t="shared" si="4"/>
        <v>ATG</v>
      </c>
      <c r="B134" s="7" t="s">
        <v>28</v>
      </c>
      <c r="C134" s="7" t="s">
        <v>87</v>
      </c>
      <c r="D134" t="str">
        <f t="shared" si="5"/>
        <v>ATG</v>
      </c>
    </row>
    <row r="135" spans="1:4" ht="20.399999999999999" thickTop="1" thickBot="1">
      <c r="A135" t="str">
        <f t="shared" si="4"/>
        <v>ATG</v>
      </c>
      <c r="B135" s="7" t="s">
        <v>30</v>
      </c>
      <c r="C135" s="7" t="s">
        <v>88</v>
      </c>
      <c r="D135" t="str">
        <f t="shared" si="5"/>
        <v>ATG</v>
      </c>
    </row>
    <row r="136" spans="1:4" ht="20.399999999999999" thickTop="1" thickBot="1">
      <c r="A136" t="str">
        <f t="shared" si="4"/>
        <v>ATG</v>
      </c>
      <c r="B136" s="7" t="s">
        <v>32</v>
      </c>
      <c r="C136" s="7" t="s">
        <v>33</v>
      </c>
      <c r="D136" t="str">
        <f t="shared" si="5"/>
        <v>ATG</v>
      </c>
    </row>
    <row r="137" spans="1:4" ht="20.399999999999999" thickTop="1" thickBot="1">
      <c r="A137" s="9" t="s">
        <v>89</v>
      </c>
      <c r="B137" s="10"/>
      <c r="C137" s="11"/>
      <c r="D137" t="str">
        <f t="shared" si="5"/>
        <v>ARG</v>
      </c>
    </row>
    <row r="138" spans="1:4" ht="30" thickTop="1" thickBot="1">
      <c r="A138" t="str">
        <f>LEFT($A$137, FIND(":", $A$137) - 1)</f>
        <v>ARG</v>
      </c>
      <c r="B138" s="7" t="s">
        <v>25</v>
      </c>
      <c r="C138" s="8">
        <v>2736690</v>
      </c>
      <c r="D138" t="str">
        <f t="shared" si="5"/>
        <v>ARG</v>
      </c>
    </row>
    <row r="139" spans="1:4" ht="20.399999999999999" thickTop="1" thickBot="1">
      <c r="A139" t="str">
        <f t="shared" ref="A139:A159" si="6">LEFT($A$137, FIND(":", $A$137) - 1)</f>
        <v>ARG</v>
      </c>
      <c r="B139" s="7" t="s">
        <v>26</v>
      </c>
      <c r="C139" s="7" t="s">
        <v>90</v>
      </c>
      <c r="D139" t="str">
        <f t="shared" si="5"/>
        <v>ARG</v>
      </c>
    </row>
    <row r="140" spans="1:4" ht="20.399999999999999" thickTop="1" thickBot="1">
      <c r="A140" t="str">
        <f t="shared" si="6"/>
        <v>ARG</v>
      </c>
      <c r="B140" s="7" t="s">
        <v>1</v>
      </c>
      <c r="C140" s="7" t="s">
        <v>79</v>
      </c>
      <c r="D140" t="str">
        <f t="shared" si="5"/>
        <v>ARG</v>
      </c>
    </row>
    <row r="141" spans="1:4" ht="30" thickTop="1" thickBot="1">
      <c r="A141" t="str">
        <f t="shared" si="6"/>
        <v>ARG</v>
      </c>
      <c r="B141" s="7" t="s">
        <v>3</v>
      </c>
      <c r="C141" s="7" t="s">
        <v>59</v>
      </c>
      <c r="D141" t="str">
        <f t="shared" si="5"/>
        <v>ARG</v>
      </c>
    </row>
    <row r="142" spans="1:4" ht="20.399999999999999" thickTop="1" thickBot="1">
      <c r="A142" t="str">
        <f t="shared" si="6"/>
        <v>ARG</v>
      </c>
      <c r="B142" s="7" t="s">
        <v>5</v>
      </c>
      <c r="C142" s="7" t="s">
        <v>80</v>
      </c>
      <c r="D142" t="str">
        <f t="shared" si="5"/>
        <v>ARG</v>
      </c>
    </row>
    <row r="143" spans="1:4" ht="30" thickTop="1" thickBot="1">
      <c r="A143" t="str">
        <f t="shared" si="6"/>
        <v>ARG</v>
      </c>
      <c r="B143" s="7" t="s">
        <v>7</v>
      </c>
      <c r="C143" s="7" t="s">
        <v>60</v>
      </c>
      <c r="D143" t="str">
        <f t="shared" si="5"/>
        <v>ARG</v>
      </c>
    </row>
    <row r="144" spans="1:4" ht="49.2" thickTop="1" thickBot="1">
      <c r="A144" t="str">
        <f t="shared" si="6"/>
        <v>ARG</v>
      </c>
      <c r="B144" s="7" t="s">
        <v>9</v>
      </c>
      <c r="C144" s="7">
        <v>2017</v>
      </c>
      <c r="D144" t="str">
        <f t="shared" si="5"/>
        <v>ARG</v>
      </c>
    </row>
    <row r="145" spans="1:4" ht="39.6" thickTop="1" thickBot="1">
      <c r="A145" t="str">
        <f t="shared" si="6"/>
        <v>ARG</v>
      </c>
      <c r="B145" s="7" t="s">
        <v>10</v>
      </c>
      <c r="C145" s="7">
        <v>2018</v>
      </c>
      <c r="D145" t="str">
        <f t="shared" si="5"/>
        <v>ARG</v>
      </c>
    </row>
    <row r="146" spans="1:4" ht="15.6" thickTop="1" thickBot="1">
      <c r="A146" t="str">
        <f t="shared" si="6"/>
        <v>ARG</v>
      </c>
      <c r="B146" s="7" t="s">
        <v>11</v>
      </c>
      <c r="C146" s="7" t="s">
        <v>91</v>
      </c>
      <c r="D146" t="str">
        <f t="shared" si="5"/>
        <v>ARG</v>
      </c>
    </row>
    <row r="147" spans="1:4" ht="15.6" thickTop="1" thickBot="1">
      <c r="A147" t="str">
        <f t="shared" si="6"/>
        <v>ARG</v>
      </c>
      <c r="B147" s="7" t="s">
        <v>13</v>
      </c>
      <c r="C147" s="7" t="s">
        <v>92</v>
      </c>
      <c r="D147" t="str">
        <f t="shared" si="5"/>
        <v>ARG</v>
      </c>
    </row>
    <row r="148" spans="1:4" ht="15.6" thickTop="1" thickBot="1">
      <c r="A148" t="str">
        <f t="shared" si="6"/>
        <v>ARG</v>
      </c>
      <c r="B148" s="7" t="s">
        <v>15</v>
      </c>
      <c r="C148" s="7" t="s">
        <v>93</v>
      </c>
      <c r="D148" t="str">
        <f t="shared" si="5"/>
        <v>ARG</v>
      </c>
    </row>
    <row r="149" spans="1:4" ht="15.6" thickTop="1" thickBot="1">
      <c r="A149" t="str">
        <f t="shared" si="6"/>
        <v>ARG</v>
      </c>
      <c r="B149" s="7" t="s">
        <v>22</v>
      </c>
      <c r="C149" s="7" t="s">
        <v>53</v>
      </c>
      <c r="D149" t="str">
        <f t="shared" si="5"/>
        <v>ARG</v>
      </c>
    </row>
    <row r="150" spans="1:4" ht="15.6" thickTop="1" thickBot="1">
      <c r="A150" t="str">
        <f t="shared" si="6"/>
        <v>ARG</v>
      </c>
      <c r="B150" s="7" t="s">
        <v>23</v>
      </c>
      <c r="C150" s="7" t="s">
        <v>93</v>
      </c>
      <c r="D150" t="str">
        <f t="shared" si="5"/>
        <v>ARG</v>
      </c>
    </row>
    <row r="151" spans="1:4" ht="15.6" thickTop="1" thickBot="1">
      <c r="A151" t="str">
        <f t="shared" si="6"/>
        <v>ARG</v>
      </c>
      <c r="B151" s="7" t="s">
        <v>24</v>
      </c>
      <c r="C151" s="7">
        <v>2020</v>
      </c>
      <c r="D151" t="str">
        <f t="shared" si="5"/>
        <v>ARG</v>
      </c>
    </row>
    <row r="152" spans="1:4" ht="15.6" thickTop="1" thickBot="1">
      <c r="A152" t="str">
        <f t="shared" si="6"/>
        <v>ARG</v>
      </c>
      <c r="B152" s="7" t="s">
        <v>18</v>
      </c>
      <c r="C152" s="7" t="s">
        <v>93</v>
      </c>
      <c r="D152" t="str">
        <f t="shared" si="5"/>
        <v>ARG</v>
      </c>
    </row>
    <row r="153" spans="1:4" ht="15.6" thickTop="1" thickBot="1">
      <c r="A153" t="str">
        <f t="shared" si="6"/>
        <v>ARG</v>
      </c>
      <c r="B153" s="7" t="s">
        <v>19</v>
      </c>
      <c r="C153" s="7" t="s">
        <v>94</v>
      </c>
      <c r="D153" t="str">
        <f t="shared" si="5"/>
        <v>ARG</v>
      </c>
    </row>
    <row r="154" spans="1:4" ht="15.6" thickTop="1" thickBot="1">
      <c r="A154" t="str">
        <f t="shared" si="6"/>
        <v>ARG</v>
      </c>
      <c r="B154" s="7" t="s">
        <v>21</v>
      </c>
      <c r="C154" s="7" t="s">
        <v>93</v>
      </c>
      <c r="D154" t="str">
        <f t="shared" si="5"/>
        <v>ARG</v>
      </c>
    </row>
    <row r="155" spans="1:4" ht="15.6" thickTop="1" thickBot="1">
      <c r="A155" t="str">
        <f t="shared" si="6"/>
        <v>ARG</v>
      </c>
      <c r="B155" s="7" t="s">
        <v>16</v>
      </c>
      <c r="C155" s="7" t="s">
        <v>92</v>
      </c>
      <c r="D155" t="str">
        <f t="shared" si="5"/>
        <v>ARG</v>
      </c>
    </row>
    <row r="156" spans="1:4" ht="15.6" thickTop="1" thickBot="1">
      <c r="A156" t="str">
        <f t="shared" si="6"/>
        <v>ARG</v>
      </c>
      <c r="B156" s="7" t="s">
        <v>17</v>
      </c>
      <c r="C156" s="7" t="s">
        <v>93</v>
      </c>
      <c r="D156" t="str">
        <f t="shared" si="5"/>
        <v>ARG</v>
      </c>
    </row>
    <row r="157" spans="1:4" ht="20.399999999999999" thickTop="1" thickBot="1">
      <c r="A157" t="str">
        <f t="shared" si="6"/>
        <v>ARG</v>
      </c>
      <c r="B157" s="7" t="s">
        <v>28</v>
      </c>
      <c r="C157" s="7" t="s">
        <v>95</v>
      </c>
      <c r="D157" t="str">
        <f t="shared" si="5"/>
        <v>ARG</v>
      </c>
    </row>
    <row r="158" spans="1:4" ht="20.399999999999999" thickTop="1" thickBot="1">
      <c r="A158" t="str">
        <f t="shared" si="6"/>
        <v>ARG</v>
      </c>
      <c r="B158" s="7" t="s">
        <v>30</v>
      </c>
      <c r="C158" s="7" t="s">
        <v>96</v>
      </c>
      <c r="D158" t="str">
        <f t="shared" si="5"/>
        <v>ARG</v>
      </c>
    </row>
    <row r="159" spans="1:4" ht="20.399999999999999" thickTop="1" thickBot="1">
      <c r="A159" t="str">
        <f t="shared" si="6"/>
        <v>ARG</v>
      </c>
      <c r="B159" s="7" t="s">
        <v>32</v>
      </c>
      <c r="C159" s="7" t="s">
        <v>33</v>
      </c>
      <c r="D159" t="str">
        <f t="shared" si="5"/>
        <v>ARG</v>
      </c>
    </row>
    <row r="160" spans="1:4" ht="20.399999999999999" thickTop="1" thickBot="1">
      <c r="A160" s="9" t="s">
        <v>97</v>
      </c>
      <c r="B160" s="10"/>
      <c r="C160" s="11"/>
      <c r="D160" t="str">
        <f t="shared" si="5"/>
        <v>ARM</v>
      </c>
    </row>
    <row r="161" spans="1:4" ht="30" thickTop="1" thickBot="1">
      <c r="A161" t="str">
        <f>LEFT($A$160, FIND(":", $A$160) - 1)</f>
        <v>ARM</v>
      </c>
      <c r="B161" s="7" t="s">
        <v>25</v>
      </c>
      <c r="C161" s="8">
        <v>28480</v>
      </c>
      <c r="D161" t="str">
        <f t="shared" si="5"/>
        <v>ARM</v>
      </c>
    </row>
    <row r="162" spans="1:4" ht="20.399999999999999" thickTop="1" thickBot="1">
      <c r="A162" t="str">
        <f t="shared" ref="A162:A182" si="7">LEFT($A$160, FIND(":", $A$160) - 1)</f>
        <v>ARM</v>
      </c>
      <c r="B162" s="7" t="s">
        <v>26</v>
      </c>
      <c r="C162" s="7" t="s">
        <v>98</v>
      </c>
      <c r="D162" t="str">
        <f t="shared" si="5"/>
        <v>ARM</v>
      </c>
    </row>
    <row r="163" spans="1:4" ht="20.399999999999999" thickTop="1" thickBot="1">
      <c r="A163" t="str">
        <f t="shared" si="7"/>
        <v>ARM</v>
      </c>
      <c r="B163" s="7" t="s">
        <v>1</v>
      </c>
      <c r="C163" s="7" t="s">
        <v>35</v>
      </c>
      <c r="D163" t="str">
        <f t="shared" si="5"/>
        <v>ARM</v>
      </c>
    </row>
    <row r="164" spans="1:4" ht="30" thickTop="1" thickBot="1">
      <c r="A164" t="str">
        <f t="shared" si="7"/>
        <v>ARM</v>
      </c>
      <c r="B164" s="7" t="s">
        <v>3</v>
      </c>
      <c r="C164" s="7" t="s">
        <v>36</v>
      </c>
      <c r="D164" t="str">
        <f t="shared" si="5"/>
        <v>ARM</v>
      </c>
    </row>
    <row r="165" spans="1:4" ht="20.399999999999999" thickTop="1" thickBot="1">
      <c r="A165" t="str">
        <f t="shared" si="7"/>
        <v>ARM</v>
      </c>
      <c r="B165" s="7" t="s">
        <v>5</v>
      </c>
      <c r="C165" s="7" t="s">
        <v>37</v>
      </c>
      <c r="D165" t="str">
        <f t="shared" si="5"/>
        <v>ARM</v>
      </c>
    </row>
    <row r="166" spans="1:4" ht="30" thickTop="1" thickBot="1">
      <c r="A166" t="str">
        <f t="shared" si="7"/>
        <v>ARM</v>
      </c>
      <c r="B166" s="7" t="s">
        <v>7</v>
      </c>
      <c r="C166" s="7" t="s">
        <v>38</v>
      </c>
      <c r="D166" t="str">
        <f t="shared" si="5"/>
        <v>ARM</v>
      </c>
    </row>
    <row r="167" spans="1:4" ht="15.6" thickTop="1" thickBot="1">
      <c r="A167" t="str">
        <f t="shared" si="7"/>
        <v>ARM</v>
      </c>
      <c r="B167" s="7" t="s">
        <v>11</v>
      </c>
      <c r="C167" s="7" t="s">
        <v>99</v>
      </c>
      <c r="D167" t="str">
        <f t="shared" si="5"/>
        <v>ARM</v>
      </c>
    </row>
    <row r="168" spans="1:4" ht="15.6" thickTop="1" thickBot="1">
      <c r="A168" t="str">
        <f t="shared" si="7"/>
        <v>ARM</v>
      </c>
      <c r="B168" s="7" t="s">
        <v>13</v>
      </c>
      <c r="C168" s="7" t="s">
        <v>99</v>
      </c>
      <c r="D168" t="str">
        <f t="shared" si="5"/>
        <v>ARM</v>
      </c>
    </row>
    <row r="169" spans="1:4" ht="15.6" thickTop="1" thickBot="1">
      <c r="A169" t="str">
        <f t="shared" si="7"/>
        <v>ARM</v>
      </c>
      <c r="B169" s="7" t="s">
        <v>15</v>
      </c>
      <c r="C169" s="7" t="s">
        <v>100</v>
      </c>
      <c r="D169" t="str">
        <f t="shared" si="5"/>
        <v>ARM</v>
      </c>
    </row>
    <row r="170" spans="1:4" ht="15.6" thickTop="1" thickBot="1">
      <c r="A170" t="str">
        <f t="shared" si="7"/>
        <v>ARM</v>
      </c>
      <c r="B170" s="7" t="s">
        <v>22</v>
      </c>
      <c r="C170" s="7" t="s">
        <v>101</v>
      </c>
      <c r="D170" t="str">
        <f t="shared" si="5"/>
        <v>ARM</v>
      </c>
    </row>
    <row r="171" spans="1:4" ht="15.6" thickTop="1" thickBot="1">
      <c r="A171" t="str">
        <f t="shared" si="7"/>
        <v>ARM</v>
      </c>
      <c r="B171" s="7" t="s">
        <v>23</v>
      </c>
      <c r="C171" s="7" t="s">
        <v>100</v>
      </c>
      <c r="D171" t="str">
        <f t="shared" si="5"/>
        <v>ARM</v>
      </c>
    </row>
    <row r="172" spans="1:4" ht="15.6" thickTop="1" thickBot="1">
      <c r="A172" t="str">
        <f t="shared" si="7"/>
        <v>ARM</v>
      </c>
      <c r="B172" s="7" t="s">
        <v>24</v>
      </c>
      <c r="C172" s="7">
        <v>4007</v>
      </c>
      <c r="D172" t="str">
        <f t="shared" si="5"/>
        <v>ARM</v>
      </c>
    </row>
    <row r="173" spans="1:4" ht="15.6" thickTop="1" thickBot="1">
      <c r="A173" t="str">
        <f t="shared" si="7"/>
        <v>ARM</v>
      </c>
      <c r="B173" s="7" t="s">
        <v>18</v>
      </c>
      <c r="C173" s="7" t="s">
        <v>100</v>
      </c>
      <c r="D173" t="str">
        <f t="shared" si="5"/>
        <v>ARM</v>
      </c>
    </row>
    <row r="174" spans="1:4" ht="15.6" thickTop="1" thickBot="1">
      <c r="A174" t="str">
        <f t="shared" si="7"/>
        <v>ARM</v>
      </c>
      <c r="B174" s="7" t="s">
        <v>19</v>
      </c>
      <c r="C174" s="7" t="s">
        <v>102</v>
      </c>
      <c r="D174" t="str">
        <f t="shared" si="5"/>
        <v>ARM</v>
      </c>
    </row>
    <row r="175" spans="1:4" ht="15.6" thickTop="1" thickBot="1">
      <c r="A175" t="str">
        <f t="shared" si="7"/>
        <v>ARM</v>
      </c>
      <c r="B175" s="7" t="s">
        <v>21</v>
      </c>
      <c r="C175" s="7" t="s">
        <v>100</v>
      </c>
      <c r="D175" t="str">
        <f t="shared" si="5"/>
        <v>ARM</v>
      </c>
    </row>
    <row r="176" spans="1:4" ht="15.6" thickTop="1" thickBot="1">
      <c r="A176" t="str">
        <f t="shared" si="7"/>
        <v>ARM</v>
      </c>
      <c r="B176" s="7" t="s">
        <v>16</v>
      </c>
      <c r="C176" s="7" t="s">
        <v>99</v>
      </c>
      <c r="D176" t="str">
        <f t="shared" si="5"/>
        <v>ARM</v>
      </c>
    </row>
    <row r="177" spans="1:4" ht="15.6" thickTop="1" thickBot="1">
      <c r="A177" t="str">
        <f t="shared" si="7"/>
        <v>ARM</v>
      </c>
      <c r="B177" s="7" t="s">
        <v>17</v>
      </c>
      <c r="C177" s="7" t="s">
        <v>100</v>
      </c>
      <c r="D177" t="str">
        <f t="shared" si="5"/>
        <v>ARM</v>
      </c>
    </row>
    <row r="178" spans="1:4" ht="49.2" thickTop="1" thickBot="1">
      <c r="A178" t="str">
        <f t="shared" si="7"/>
        <v>ARM</v>
      </c>
      <c r="B178" s="7" t="s">
        <v>9</v>
      </c>
      <c r="C178" s="7">
        <v>2017</v>
      </c>
      <c r="D178" t="str">
        <f t="shared" si="5"/>
        <v>ARM</v>
      </c>
    </row>
    <row r="179" spans="1:4" ht="39.6" thickTop="1" thickBot="1">
      <c r="A179" t="str">
        <f t="shared" si="7"/>
        <v>ARM</v>
      </c>
      <c r="B179" s="7" t="s">
        <v>10</v>
      </c>
      <c r="C179" s="7">
        <v>2018</v>
      </c>
      <c r="D179" t="str">
        <f t="shared" si="5"/>
        <v>ARM</v>
      </c>
    </row>
    <row r="180" spans="1:4" ht="20.399999999999999" thickTop="1" thickBot="1">
      <c r="A180" t="str">
        <f t="shared" si="7"/>
        <v>ARM</v>
      </c>
      <c r="B180" s="7" t="s">
        <v>28</v>
      </c>
      <c r="C180" s="7" t="s">
        <v>103</v>
      </c>
      <c r="D180" t="str">
        <f t="shared" si="5"/>
        <v>ARM</v>
      </c>
    </row>
    <row r="181" spans="1:4" ht="20.399999999999999" thickTop="1" thickBot="1">
      <c r="A181" t="str">
        <f t="shared" si="7"/>
        <v>ARM</v>
      </c>
      <c r="B181" s="7" t="s">
        <v>30</v>
      </c>
      <c r="C181" s="7" t="s">
        <v>104</v>
      </c>
      <c r="D181" t="str">
        <f t="shared" si="5"/>
        <v>ARM</v>
      </c>
    </row>
    <row r="182" spans="1:4" ht="20.399999999999999" thickTop="1" thickBot="1">
      <c r="A182" t="str">
        <f t="shared" si="7"/>
        <v>ARM</v>
      </c>
      <c r="B182" s="7" t="s">
        <v>32</v>
      </c>
      <c r="C182" s="7" t="s">
        <v>33</v>
      </c>
      <c r="D182" t="str">
        <f t="shared" si="5"/>
        <v>ARM</v>
      </c>
    </row>
    <row r="183" spans="1:4" ht="20.399999999999999" thickTop="1" thickBot="1">
      <c r="A183" s="9" t="s">
        <v>105</v>
      </c>
      <c r="B183" s="10"/>
      <c r="C183" s="11"/>
      <c r="D183" t="str">
        <f t="shared" si="5"/>
        <v>AUS</v>
      </c>
    </row>
    <row r="184" spans="1:4" ht="30" thickTop="1" thickBot="1">
      <c r="A184" t="str">
        <f>LEFT($A$183, FIND(":", $A$183) - 1)</f>
        <v>AUS</v>
      </c>
      <c r="B184" s="7" t="s">
        <v>25</v>
      </c>
      <c r="C184" s="8">
        <v>7682300</v>
      </c>
      <c r="D184" t="str">
        <f t="shared" si="5"/>
        <v>AUS</v>
      </c>
    </row>
    <row r="185" spans="1:4" ht="20.399999999999999" thickTop="1" thickBot="1">
      <c r="A185" t="str">
        <f t="shared" ref="A185:A207" si="8">LEFT($A$183, FIND(":", $A$183) - 1)</f>
        <v>AUS</v>
      </c>
      <c r="B185" s="7" t="s">
        <v>26</v>
      </c>
      <c r="C185" s="7" t="s">
        <v>106</v>
      </c>
      <c r="D185" t="str">
        <f t="shared" si="5"/>
        <v>AUS</v>
      </c>
    </row>
    <row r="186" spans="1:4" ht="20.399999999999999" thickTop="1" thickBot="1">
      <c r="A186" t="str">
        <f t="shared" si="8"/>
        <v>AUS</v>
      </c>
      <c r="B186" s="7" t="s">
        <v>1</v>
      </c>
      <c r="C186" s="7" t="s">
        <v>107</v>
      </c>
      <c r="D186" t="str">
        <f t="shared" si="5"/>
        <v>AUS</v>
      </c>
    </row>
    <row r="187" spans="1:4" ht="30" thickTop="1" thickBot="1">
      <c r="A187" t="str">
        <f t="shared" si="8"/>
        <v>AUS</v>
      </c>
      <c r="B187" s="7" t="s">
        <v>3</v>
      </c>
      <c r="C187" s="7" t="s">
        <v>59</v>
      </c>
      <c r="D187" t="str">
        <f t="shared" si="5"/>
        <v>AUS</v>
      </c>
    </row>
    <row r="188" spans="1:4" ht="20.399999999999999" thickTop="1" thickBot="1">
      <c r="A188" t="str">
        <f t="shared" si="8"/>
        <v>AUS</v>
      </c>
      <c r="B188" s="7" t="s">
        <v>5</v>
      </c>
      <c r="C188" s="7" t="s">
        <v>108</v>
      </c>
      <c r="D188" t="str">
        <f t="shared" si="5"/>
        <v>AUS</v>
      </c>
    </row>
    <row r="189" spans="1:4" ht="30" thickTop="1" thickBot="1">
      <c r="A189" t="str">
        <f t="shared" si="8"/>
        <v>AUS</v>
      </c>
      <c r="B189" s="7" t="s">
        <v>7</v>
      </c>
      <c r="C189" s="7" t="s">
        <v>60</v>
      </c>
      <c r="D189" t="str">
        <f t="shared" si="5"/>
        <v>AUS</v>
      </c>
    </row>
    <row r="190" spans="1:4" ht="15.6" thickTop="1" thickBot="1">
      <c r="A190" t="str">
        <f t="shared" si="8"/>
        <v>AUS</v>
      </c>
      <c r="B190" s="7" t="s">
        <v>11</v>
      </c>
      <c r="C190" s="7" t="s">
        <v>109</v>
      </c>
      <c r="D190" t="str">
        <f t="shared" si="5"/>
        <v>AUS</v>
      </c>
    </row>
    <row r="191" spans="1:4" ht="15.6" thickTop="1" thickBot="1">
      <c r="A191" t="str">
        <f t="shared" si="8"/>
        <v>AUS</v>
      </c>
      <c r="B191" s="7" t="s">
        <v>13</v>
      </c>
      <c r="C191" s="7" t="s">
        <v>110</v>
      </c>
      <c r="D191" t="str">
        <f t="shared" si="5"/>
        <v>AUS</v>
      </c>
    </row>
    <row r="192" spans="1:4" ht="15.6" thickTop="1" thickBot="1">
      <c r="A192" t="str">
        <f t="shared" si="8"/>
        <v>AUS</v>
      </c>
      <c r="B192" s="7" t="s">
        <v>15</v>
      </c>
      <c r="C192" s="7" t="s">
        <v>109</v>
      </c>
      <c r="D192" t="str">
        <f t="shared" si="5"/>
        <v>AUS</v>
      </c>
    </row>
    <row r="193" spans="1:4" ht="15.6" thickTop="1" thickBot="1">
      <c r="A193" t="str">
        <f t="shared" si="8"/>
        <v>AUS</v>
      </c>
      <c r="B193" s="7" t="s">
        <v>16</v>
      </c>
      <c r="C193" s="7" t="s">
        <v>111</v>
      </c>
      <c r="D193" t="str">
        <f t="shared" si="5"/>
        <v>AUS</v>
      </c>
    </row>
    <row r="194" spans="1:4" ht="15.6" thickTop="1" thickBot="1">
      <c r="A194" t="str">
        <f t="shared" si="8"/>
        <v>AUS</v>
      </c>
      <c r="B194" s="7" t="s">
        <v>17</v>
      </c>
      <c r="C194" s="7" t="s">
        <v>109</v>
      </c>
      <c r="D194" t="str">
        <f t="shared" ref="D194:D257" si="9">IF(ISNUMBER(FIND(":", A194)), LEFT(A194, FIND(":", A194) - 1), D193)</f>
        <v>AUS</v>
      </c>
    </row>
    <row r="195" spans="1:4" ht="15.6" thickTop="1" thickBot="1">
      <c r="A195" t="str">
        <f t="shared" si="8"/>
        <v>AUS</v>
      </c>
      <c r="B195" s="7" t="s">
        <v>18</v>
      </c>
      <c r="C195" s="7" t="s">
        <v>109</v>
      </c>
      <c r="D195" t="str">
        <f t="shared" si="9"/>
        <v>AUS</v>
      </c>
    </row>
    <row r="196" spans="1:4" ht="15.6" thickTop="1" thickBot="1">
      <c r="A196" t="str">
        <f t="shared" si="8"/>
        <v>AUS</v>
      </c>
      <c r="B196" s="7" t="s">
        <v>19</v>
      </c>
      <c r="C196" s="7" t="s">
        <v>112</v>
      </c>
      <c r="D196" t="str">
        <f t="shared" si="9"/>
        <v>AUS</v>
      </c>
    </row>
    <row r="197" spans="1:4" ht="15.6" thickTop="1" thickBot="1">
      <c r="A197" t="str">
        <f t="shared" si="8"/>
        <v>AUS</v>
      </c>
      <c r="B197" s="7" t="s">
        <v>21</v>
      </c>
      <c r="C197" s="7" t="s">
        <v>109</v>
      </c>
      <c r="D197" t="str">
        <f t="shared" si="9"/>
        <v>AUS</v>
      </c>
    </row>
    <row r="198" spans="1:4" ht="15.6" thickTop="1" thickBot="1">
      <c r="A198" t="str">
        <f t="shared" si="8"/>
        <v>AUS</v>
      </c>
      <c r="B198" s="7" t="s">
        <v>22</v>
      </c>
      <c r="C198" s="7" t="s">
        <v>111</v>
      </c>
      <c r="D198" t="str">
        <f t="shared" si="9"/>
        <v>AUS</v>
      </c>
    </row>
    <row r="199" spans="1:4" ht="15.6" thickTop="1" thickBot="1">
      <c r="A199" t="str">
        <f t="shared" si="8"/>
        <v>AUS</v>
      </c>
      <c r="B199" s="7" t="s">
        <v>23</v>
      </c>
      <c r="C199" s="7" t="s">
        <v>109</v>
      </c>
      <c r="D199" t="str">
        <f t="shared" si="9"/>
        <v>AUS</v>
      </c>
    </row>
    <row r="200" spans="1:4" ht="15.6" thickTop="1" thickBot="1">
      <c r="A200" t="str">
        <f t="shared" si="8"/>
        <v>AUS</v>
      </c>
      <c r="B200" s="7" t="s">
        <v>24</v>
      </c>
      <c r="C200" s="7">
        <v>5020</v>
      </c>
      <c r="D200" t="str">
        <f t="shared" si="9"/>
        <v>AUS</v>
      </c>
    </row>
    <row r="201" spans="1:4" ht="49.2" thickTop="1" thickBot="1">
      <c r="A201" t="str">
        <f t="shared" si="8"/>
        <v>AUS</v>
      </c>
      <c r="B201" s="7" t="s">
        <v>9</v>
      </c>
      <c r="C201" s="7">
        <v>2017</v>
      </c>
      <c r="D201" t="str">
        <f t="shared" si="9"/>
        <v>AUS</v>
      </c>
    </row>
    <row r="202" spans="1:4" ht="39.6" thickTop="1" thickBot="1">
      <c r="A202" t="str">
        <f t="shared" si="8"/>
        <v>AUS</v>
      </c>
      <c r="B202" s="7" t="s">
        <v>10</v>
      </c>
      <c r="C202" s="7">
        <v>2018</v>
      </c>
      <c r="D202" t="str">
        <f t="shared" si="9"/>
        <v>AUS</v>
      </c>
    </row>
    <row r="203" spans="1:4" ht="20.399999999999999" thickTop="1" thickBot="1">
      <c r="A203" t="str">
        <f t="shared" si="8"/>
        <v>AUS</v>
      </c>
      <c r="B203" s="7" t="s">
        <v>28</v>
      </c>
      <c r="C203" s="7" t="s">
        <v>113</v>
      </c>
      <c r="D203" t="str">
        <f t="shared" si="9"/>
        <v>AUS</v>
      </c>
    </row>
    <row r="204" spans="1:4" ht="20.399999999999999" thickTop="1" thickBot="1">
      <c r="A204" t="str">
        <f t="shared" si="8"/>
        <v>AUS</v>
      </c>
      <c r="B204" s="7" t="s">
        <v>30</v>
      </c>
      <c r="C204" s="7" t="s">
        <v>114</v>
      </c>
      <c r="D204" t="str">
        <f t="shared" si="9"/>
        <v>AUS</v>
      </c>
    </row>
    <row r="205" spans="1:4" ht="20.399999999999999" thickTop="1" thickBot="1">
      <c r="A205" t="str">
        <f t="shared" si="8"/>
        <v>AUS</v>
      </c>
      <c r="B205" s="7" t="s">
        <v>32</v>
      </c>
      <c r="C205" s="7" t="s">
        <v>33</v>
      </c>
      <c r="D205" t="str">
        <f t="shared" si="9"/>
        <v>AUS</v>
      </c>
    </row>
    <row r="206" spans="1:4" ht="15.6" thickTop="1" thickBot="1">
      <c r="A206" s="9" t="s">
        <v>115</v>
      </c>
      <c r="B206" s="10"/>
      <c r="C206" s="11"/>
      <c r="D206" t="str">
        <f t="shared" si="9"/>
        <v>AUT</v>
      </c>
    </row>
    <row r="207" spans="1:4" ht="30" thickTop="1" thickBot="1">
      <c r="A207" t="str">
        <f t="shared" si="8"/>
        <v>AUS</v>
      </c>
      <c r="B207" s="7" t="s">
        <v>25</v>
      </c>
      <c r="C207" s="8">
        <v>83871</v>
      </c>
      <c r="D207" t="str">
        <f t="shared" si="9"/>
        <v>AUT</v>
      </c>
    </row>
    <row r="208" spans="1:4" ht="20.399999999999999" thickTop="1" thickBot="1">
      <c r="A208" t="str">
        <f t="shared" ref="A208:A228" si="10">LEFT($A$206, FIND(":", $A$206) - 1)</f>
        <v>AUT</v>
      </c>
      <c r="B208" s="7" t="s">
        <v>26</v>
      </c>
      <c r="C208" s="7" t="s">
        <v>116</v>
      </c>
      <c r="D208" t="str">
        <f t="shared" si="9"/>
        <v>AUT</v>
      </c>
    </row>
    <row r="209" spans="1:4" ht="20.399999999999999" thickTop="1" thickBot="1">
      <c r="A209" t="str">
        <f t="shared" si="10"/>
        <v>AUT</v>
      </c>
      <c r="B209" s="7" t="s">
        <v>1</v>
      </c>
      <c r="C209" s="7" t="s">
        <v>35</v>
      </c>
      <c r="D209" t="str">
        <f t="shared" si="9"/>
        <v>AUT</v>
      </c>
    </row>
    <row r="210" spans="1:4" ht="30" thickTop="1" thickBot="1">
      <c r="A210" t="str">
        <f t="shared" si="10"/>
        <v>AUT</v>
      </c>
      <c r="B210" s="7" t="s">
        <v>3</v>
      </c>
      <c r="C210" s="7" t="s">
        <v>59</v>
      </c>
      <c r="D210" t="str">
        <f t="shared" si="9"/>
        <v>AUT</v>
      </c>
    </row>
    <row r="211" spans="1:4" ht="20.399999999999999" thickTop="1" thickBot="1">
      <c r="A211" t="str">
        <f t="shared" si="10"/>
        <v>AUT</v>
      </c>
      <c r="B211" s="7" t="s">
        <v>5</v>
      </c>
      <c r="C211" s="7" t="s">
        <v>37</v>
      </c>
      <c r="D211" t="str">
        <f t="shared" si="9"/>
        <v>AUT</v>
      </c>
    </row>
    <row r="212" spans="1:4" ht="30" thickTop="1" thickBot="1">
      <c r="A212" t="str">
        <f t="shared" si="10"/>
        <v>AUT</v>
      </c>
      <c r="B212" s="7" t="s">
        <v>7</v>
      </c>
      <c r="C212" s="7" t="s">
        <v>60</v>
      </c>
      <c r="D212" t="str">
        <f t="shared" si="9"/>
        <v>AUT</v>
      </c>
    </row>
    <row r="213" spans="1:4" ht="15.6" thickTop="1" thickBot="1">
      <c r="A213" t="str">
        <f t="shared" si="10"/>
        <v>AUT</v>
      </c>
      <c r="B213" s="7" t="s">
        <v>11</v>
      </c>
      <c r="C213" s="7" t="s">
        <v>117</v>
      </c>
      <c r="D213" t="str">
        <f t="shared" si="9"/>
        <v>AUT</v>
      </c>
    </row>
    <row r="214" spans="1:4" ht="15.6" thickTop="1" thickBot="1">
      <c r="A214" t="str">
        <f t="shared" si="10"/>
        <v>AUT</v>
      </c>
      <c r="B214" s="7" t="s">
        <v>13</v>
      </c>
      <c r="C214" s="7" t="s">
        <v>111</v>
      </c>
      <c r="D214" t="str">
        <f t="shared" si="9"/>
        <v>AUT</v>
      </c>
    </row>
    <row r="215" spans="1:4" ht="15.6" thickTop="1" thickBot="1">
      <c r="A215" t="str">
        <f t="shared" si="10"/>
        <v>AUT</v>
      </c>
      <c r="B215" s="7" t="s">
        <v>15</v>
      </c>
      <c r="C215" s="7" t="s">
        <v>118</v>
      </c>
      <c r="D215" t="str">
        <f t="shared" si="9"/>
        <v>AUT</v>
      </c>
    </row>
    <row r="216" spans="1:4" ht="15.6" thickTop="1" thickBot="1">
      <c r="A216" t="str">
        <f t="shared" si="10"/>
        <v>AUT</v>
      </c>
      <c r="B216" s="7" t="s">
        <v>16</v>
      </c>
      <c r="C216" s="7" t="s">
        <v>83</v>
      </c>
      <c r="D216" t="str">
        <f t="shared" si="9"/>
        <v>AUT</v>
      </c>
    </row>
    <row r="217" spans="1:4" ht="15.6" thickTop="1" thickBot="1">
      <c r="A217" t="str">
        <f t="shared" si="10"/>
        <v>AUT</v>
      </c>
      <c r="B217" s="7" t="s">
        <v>17</v>
      </c>
      <c r="C217" s="7" t="s">
        <v>118</v>
      </c>
      <c r="D217" t="str">
        <f t="shared" si="9"/>
        <v>AUT</v>
      </c>
    </row>
    <row r="218" spans="1:4" ht="15.6" thickTop="1" thickBot="1">
      <c r="A218" t="str">
        <f t="shared" si="10"/>
        <v>AUT</v>
      </c>
      <c r="B218" s="7" t="s">
        <v>18</v>
      </c>
      <c r="C218" s="7" t="s">
        <v>118</v>
      </c>
      <c r="D218" t="str">
        <f t="shared" si="9"/>
        <v>AUT</v>
      </c>
    </row>
    <row r="219" spans="1:4" ht="49.2" thickTop="1" thickBot="1">
      <c r="A219" t="str">
        <f t="shared" si="10"/>
        <v>AUT</v>
      </c>
      <c r="B219" s="7" t="s">
        <v>9</v>
      </c>
      <c r="C219" s="7">
        <v>2017</v>
      </c>
      <c r="D219" t="str">
        <f t="shared" si="9"/>
        <v>AUT</v>
      </c>
    </row>
    <row r="220" spans="1:4" ht="39.6" thickTop="1" thickBot="1">
      <c r="A220" t="str">
        <f t="shared" si="10"/>
        <v>AUT</v>
      </c>
      <c r="B220" s="7" t="s">
        <v>10</v>
      </c>
      <c r="C220" s="7">
        <v>2018</v>
      </c>
      <c r="D220" t="str">
        <f t="shared" si="9"/>
        <v>AUT</v>
      </c>
    </row>
    <row r="221" spans="1:4" ht="20.399999999999999" thickTop="1" thickBot="1">
      <c r="A221" t="str">
        <f t="shared" si="10"/>
        <v>AUT</v>
      </c>
      <c r="B221" s="7" t="s">
        <v>28</v>
      </c>
      <c r="C221" s="7" t="s">
        <v>119</v>
      </c>
      <c r="D221" t="str">
        <f t="shared" si="9"/>
        <v>AUT</v>
      </c>
    </row>
    <row r="222" spans="1:4" ht="20.399999999999999" thickTop="1" thickBot="1">
      <c r="A222" t="str">
        <f t="shared" si="10"/>
        <v>AUT</v>
      </c>
      <c r="B222" s="7" t="s">
        <v>30</v>
      </c>
      <c r="C222" s="7" t="s">
        <v>120</v>
      </c>
      <c r="D222" t="str">
        <f t="shared" si="9"/>
        <v>AUT</v>
      </c>
    </row>
    <row r="223" spans="1:4" ht="20.399999999999999" thickTop="1" thickBot="1">
      <c r="A223" t="str">
        <f t="shared" si="10"/>
        <v>AUT</v>
      </c>
      <c r="B223" s="7" t="s">
        <v>32</v>
      </c>
      <c r="C223" s="7" t="s">
        <v>33</v>
      </c>
      <c r="D223" t="str">
        <f t="shared" si="9"/>
        <v>AUT</v>
      </c>
    </row>
    <row r="224" spans="1:4" ht="15.6" thickTop="1" thickBot="1">
      <c r="A224" t="str">
        <f t="shared" si="10"/>
        <v>AUT</v>
      </c>
      <c r="B224" s="7" t="s">
        <v>19</v>
      </c>
      <c r="C224" s="7" t="s">
        <v>121</v>
      </c>
      <c r="D224" t="str">
        <f t="shared" si="9"/>
        <v>AUT</v>
      </c>
    </row>
    <row r="225" spans="1:4" ht="15.6" thickTop="1" thickBot="1">
      <c r="A225" t="str">
        <f t="shared" si="10"/>
        <v>AUT</v>
      </c>
      <c r="B225" s="7" t="s">
        <v>21</v>
      </c>
      <c r="C225" s="7" t="s">
        <v>118</v>
      </c>
      <c r="D225" t="str">
        <f t="shared" si="9"/>
        <v>AUT</v>
      </c>
    </row>
    <row r="226" spans="1:4" ht="15.6" thickTop="1" thickBot="1">
      <c r="A226" t="str">
        <f t="shared" si="10"/>
        <v>AUT</v>
      </c>
      <c r="B226" s="7" t="s">
        <v>22</v>
      </c>
      <c r="C226" s="7" t="s">
        <v>122</v>
      </c>
      <c r="D226" t="str">
        <f t="shared" si="9"/>
        <v>AUT</v>
      </c>
    </row>
    <row r="227" spans="1:4" ht="15.6" thickTop="1" thickBot="1">
      <c r="A227" t="str">
        <f t="shared" si="10"/>
        <v>AUT</v>
      </c>
      <c r="B227" s="7" t="s">
        <v>23</v>
      </c>
      <c r="C227" s="7" t="s">
        <v>118</v>
      </c>
      <c r="D227" t="str">
        <f t="shared" si="9"/>
        <v>AUT</v>
      </c>
    </row>
    <row r="228" spans="1:4" ht="15.6" thickTop="1" thickBot="1">
      <c r="A228" t="str">
        <f t="shared" si="10"/>
        <v>AUT</v>
      </c>
      <c r="B228" s="7" t="s">
        <v>24</v>
      </c>
      <c r="C228" s="7">
        <v>4010</v>
      </c>
      <c r="D228" t="str">
        <f t="shared" si="9"/>
        <v>AUT</v>
      </c>
    </row>
    <row r="229" spans="1:4" ht="20.399999999999999" thickTop="1" thickBot="1">
      <c r="A229" s="9" t="s">
        <v>123</v>
      </c>
      <c r="B229" s="10"/>
      <c r="C229" s="11"/>
      <c r="D229" t="str">
        <f t="shared" si="9"/>
        <v>AZE</v>
      </c>
    </row>
    <row r="230" spans="1:4" ht="30" thickTop="1" thickBot="1">
      <c r="A230" t="str">
        <f>LEFT($A$229, FIND(":", $A$229) - 1)</f>
        <v>AZE</v>
      </c>
      <c r="B230" s="7" t="s">
        <v>25</v>
      </c>
      <c r="C230" s="8">
        <v>82450</v>
      </c>
      <c r="D230" t="str">
        <f t="shared" si="9"/>
        <v>AZE</v>
      </c>
    </row>
    <row r="231" spans="1:4" ht="20.399999999999999" thickTop="1" thickBot="1">
      <c r="A231" t="str">
        <f t="shared" ref="A231:A251" si="11">LEFT($A$229, FIND(":", $A$229) - 1)</f>
        <v>AZE</v>
      </c>
      <c r="B231" s="7" t="s">
        <v>26</v>
      </c>
      <c r="C231" s="7" t="s">
        <v>124</v>
      </c>
      <c r="D231" t="str">
        <f t="shared" si="9"/>
        <v>AZE</v>
      </c>
    </row>
    <row r="232" spans="1:4" ht="20.399999999999999" thickTop="1" thickBot="1">
      <c r="A232" t="str">
        <f t="shared" si="11"/>
        <v>AZE</v>
      </c>
      <c r="B232" s="7" t="s">
        <v>1</v>
      </c>
      <c r="C232" s="7" t="s">
        <v>35</v>
      </c>
      <c r="D232" t="str">
        <f t="shared" si="9"/>
        <v>AZE</v>
      </c>
    </row>
    <row r="233" spans="1:4" ht="30" thickTop="1" thickBot="1">
      <c r="A233" t="str">
        <f t="shared" si="11"/>
        <v>AZE</v>
      </c>
      <c r="B233" s="7" t="s">
        <v>3</v>
      </c>
      <c r="C233" s="7" t="s">
        <v>36</v>
      </c>
      <c r="D233" t="str">
        <f t="shared" si="9"/>
        <v>AZE</v>
      </c>
    </row>
    <row r="234" spans="1:4" ht="20.399999999999999" thickTop="1" thickBot="1">
      <c r="A234" t="str">
        <f t="shared" si="11"/>
        <v>AZE</v>
      </c>
      <c r="B234" s="7" t="s">
        <v>5</v>
      </c>
      <c r="C234" s="7" t="s">
        <v>37</v>
      </c>
      <c r="D234" t="str">
        <f t="shared" si="9"/>
        <v>AZE</v>
      </c>
    </row>
    <row r="235" spans="1:4" ht="30" thickTop="1" thickBot="1">
      <c r="A235" t="str">
        <f t="shared" si="11"/>
        <v>AZE</v>
      </c>
      <c r="B235" s="7" t="s">
        <v>7</v>
      </c>
      <c r="C235" s="7" t="s">
        <v>38</v>
      </c>
      <c r="D235" t="str">
        <f t="shared" si="9"/>
        <v>AZE</v>
      </c>
    </row>
    <row r="236" spans="1:4" ht="49.2" thickTop="1" thickBot="1">
      <c r="A236" t="str">
        <f t="shared" si="11"/>
        <v>AZE</v>
      </c>
      <c r="B236" s="7" t="s">
        <v>9</v>
      </c>
      <c r="C236" s="7">
        <v>2017</v>
      </c>
      <c r="D236" t="str">
        <f t="shared" si="9"/>
        <v>AZE</v>
      </c>
    </row>
    <row r="237" spans="1:4" ht="39.6" thickTop="1" thickBot="1">
      <c r="A237" t="str">
        <f t="shared" si="11"/>
        <v>AZE</v>
      </c>
      <c r="B237" s="7" t="s">
        <v>10</v>
      </c>
      <c r="C237" s="7">
        <v>2018</v>
      </c>
      <c r="D237" t="str">
        <f t="shared" si="9"/>
        <v>AZE</v>
      </c>
    </row>
    <row r="238" spans="1:4" ht="20.399999999999999" thickTop="1" thickBot="1">
      <c r="A238" t="str">
        <f t="shared" si="11"/>
        <v>AZE</v>
      </c>
      <c r="B238" s="7" t="s">
        <v>28</v>
      </c>
      <c r="C238" s="7" t="s">
        <v>125</v>
      </c>
      <c r="D238" t="str">
        <f t="shared" si="9"/>
        <v>AZE</v>
      </c>
    </row>
    <row r="239" spans="1:4" ht="15.6" thickTop="1" thickBot="1">
      <c r="A239" t="str">
        <f t="shared" si="11"/>
        <v>AZE</v>
      </c>
      <c r="B239" s="7" t="s">
        <v>11</v>
      </c>
      <c r="C239" s="7" t="s">
        <v>126</v>
      </c>
      <c r="D239" t="str">
        <f t="shared" si="9"/>
        <v>AZE</v>
      </c>
    </row>
    <row r="240" spans="1:4" ht="15.6" thickTop="1" thickBot="1">
      <c r="A240" t="str">
        <f t="shared" si="11"/>
        <v>AZE</v>
      </c>
      <c r="B240" s="7" t="s">
        <v>13</v>
      </c>
      <c r="C240" s="7" t="s">
        <v>127</v>
      </c>
      <c r="D240" t="str">
        <f t="shared" si="9"/>
        <v>AZE</v>
      </c>
    </row>
    <row r="241" spans="1:4" ht="15.6" thickTop="1" thickBot="1">
      <c r="A241" t="str">
        <f t="shared" si="11"/>
        <v>AZE</v>
      </c>
      <c r="B241" s="7" t="s">
        <v>15</v>
      </c>
      <c r="C241" s="7" t="s">
        <v>128</v>
      </c>
      <c r="D241" t="str">
        <f t="shared" si="9"/>
        <v>AZE</v>
      </c>
    </row>
    <row r="242" spans="1:4" ht="15.6" thickTop="1" thickBot="1">
      <c r="A242" t="str">
        <f t="shared" si="11"/>
        <v>AZE</v>
      </c>
      <c r="B242" s="7" t="s">
        <v>16</v>
      </c>
      <c r="C242" s="7" t="s">
        <v>126</v>
      </c>
      <c r="D242" t="str">
        <f t="shared" si="9"/>
        <v>AZE</v>
      </c>
    </row>
    <row r="243" spans="1:4" ht="15.6" thickTop="1" thickBot="1">
      <c r="A243" t="str">
        <f t="shared" si="11"/>
        <v>AZE</v>
      </c>
      <c r="B243" s="7" t="s">
        <v>17</v>
      </c>
      <c r="C243" s="7" t="s">
        <v>128</v>
      </c>
      <c r="D243" t="str">
        <f t="shared" si="9"/>
        <v>AZE</v>
      </c>
    </row>
    <row r="244" spans="1:4" ht="15.6" thickTop="1" thickBot="1">
      <c r="A244" t="str">
        <f t="shared" si="11"/>
        <v>AZE</v>
      </c>
      <c r="B244" s="7" t="s">
        <v>18</v>
      </c>
      <c r="C244" s="7" t="s">
        <v>128</v>
      </c>
      <c r="D244" t="str">
        <f t="shared" si="9"/>
        <v>AZE</v>
      </c>
    </row>
    <row r="245" spans="1:4" ht="15.6" thickTop="1" thickBot="1">
      <c r="A245" t="str">
        <f t="shared" si="11"/>
        <v>AZE</v>
      </c>
      <c r="B245" s="7" t="s">
        <v>19</v>
      </c>
      <c r="C245" s="7" t="s">
        <v>129</v>
      </c>
      <c r="D245" t="str">
        <f t="shared" si="9"/>
        <v>AZE</v>
      </c>
    </row>
    <row r="246" spans="1:4" ht="15.6" thickTop="1" thickBot="1">
      <c r="A246" t="str">
        <f t="shared" si="11"/>
        <v>AZE</v>
      </c>
      <c r="B246" s="7" t="s">
        <v>21</v>
      </c>
      <c r="C246" s="7" t="s">
        <v>128</v>
      </c>
      <c r="D246" t="str">
        <f t="shared" si="9"/>
        <v>AZE</v>
      </c>
    </row>
    <row r="247" spans="1:4" ht="15.6" thickTop="1" thickBot="1">
      <c r="A247" t="str">
        <f t="shared" si="11"/>
        <v>AZE</v>
      </c>
      <c r="B247" s="7" t="s">
        <v>22</v>
      </c>
      <c r="C247" s="7" t="s">
        <v>127</v>
      </c>
      <c r="D247" t="str">
        <f t="shared" si="9"/>
        <v>AZE</v>
      </c>
    </row>
    <row r="248" spans="1:4" ht="15.6" thickTop="1" thickBot="1">
      <c r="A248" t="str">
        <f t="shared" si="11"/>
        <v>AZE</v>
      </c>
      <c r="B248" s="7" t="s">
        <v>23</v>
      </c>
      <c r="C248" s="7" t="s">
        <v>128</v>
      </c>
      <c r="D248" t="str">
        <f t="shared" si="9"/>
        <v>AZE</v>
      </c>
    </row>
    <row r="249" spans="1:4" ht="15.6" thickTop="1" thickBot="1">
      <c r="A249" t="str">
        <f t="shared" si="11"/>
        <v>AZE</v>
      </c>
      <c r="B249" s="7" t="s">
        <v>24</v>
      </c>
      <c r="C249" s="7">
        <v>4012</v>
      </c>
      <c r="D249" t="str">
        <f t="shared" si="9"/>
        <v>AZE</v>
      </c>
    </row>
    <row r="250" spans="1:4" ht="20.399999999999999" thickTop="1" thickBot="1">
      <c r="A250" t="str">
        <f t="shared" si="11"/>
        <v>AZE</v>
      </c>
      <c r="B250" s="7" t="s">
        <v>30</v>
      </c>
      <c r="C250" s="7" t="s">
        <v>130</v>
      </c>
      <c r="D250" t="str">
        <f t="shared" si="9"/>
        <v>AZE</v>
      </c>
    </row>
    <row r="251" spans="1:4" ht="20.399999999999999" thickTop="1" thickBot="1">
      <c r="A251" t="str">
        <f t="shared" si="11"/>
        <v>AZE</v>
      </c>
      <c r="B251" s="7" t="s">
        <v>32</v>
      </c>
      <c r="C251" s="7" t="s">
        <v>33</v>
      </c>
      <c r="D251" t="str">
        <f t="shared" si="9"/>
        <v>AZE</v>
      </c>
    </row>
    <row r="252" spans="1:4" ht="20.399999999999999" thickTop="1" thickBot="1">
      <c r="A252" s="9" t="s">
        <v>131</v>
      </c>
      <c r="B252" s="10"/>
      <c r="C252" s="11"/>
      <c r="D252" t="str">
        <f t="shared" si="9"/>
        <v>BHS</v>
      </c>
    </row>
    <row r="253" spans="1:4" ht="30" thickTop="1" thickBot="1">
      <c r="A253" t="str">
        <f>LEFT($A$252, FIND(":", $A$252) - 1)</f>
        <v>BHS</v>
      </c>
      <c r="B253" s="7" t="s">
        <v>25</v>
      </c>
      <c r="C253" s="8">
        <v>10010</v>
      </c>
      <c r="D253" t="str">
        <f t="shared" si="9"/>
        <v>BHS</v>
      </c>
    </row>
    <row r="254" spans="1:4" ht="20.399999999999999" thickTop="1" thickBot="1">
      <c r="A254" t="str">
        <f t="shared" ref="A254:A274" si="12">LEFT($A$252, FIND(":", $A$252) - 1)</f>
        <v>BHS</v>
      </c>
      <c r="B254" s="7" t="s">
        <v>26</v>
      </c>
      <c r="C254" s="7" t="s">
        <v>132</v>
      </c>
      <c r="D254" t="str">
        <f t="shared" si="9"/>
        <v>BHS</v>
      </c>
    </row>
    <row r="255" spans="1:4" ht="20.399999999999999" thickTop="1" thickBot="1">
      <c r="A255" t="str">
        <f t="shared" si="12"/>
        <v>BHS</v>
      </c>
      <c r="B255" s="7" t="s">
        <v>1</v>
      </c>
      <c r="C255" s="7" t="s">
        <v>79</v>
      </c>
      <c r="D255" t="str">
        <f t="shared" si="9"/>
        <v>BHS</v>
      </c>
    </row>
    <row r="256" spans="1:4" ht="30" thickTop="1" thickBot="1">
      <c r="A256" t="str">
        <f t="shared" si="12"/>
        <v>BHS</v>
      </c>
      <c r="B256" s="7" t="s">
        <v>3</v>
      </c>
      <c r="C256" s="7" t="s">
        <v>59</v>
      </c>
      <c r="D256" t="str">
        <f t="shared" si="9"/>
        <v>BHS</v>
      </c>
    </row>
    <row r="257" spans="1:4" ht="20.399999999999999" thickTop="1" thickBot="1">
      <c r="A257" t="str">
        <f t="shared" si="12"/>
        <v>BHS</v>
      </c>
      <c r="B257" s="7" t="s">
        <v>5</v>
      </c>
      <c r="C257" s="7" t="s">
        <v>80</v>
      </c>
      <c r="D257" t="str">
        <f t="shared" si="9"/>
        <v>BHS</v>
      </c>
    </row>
    <row r="258" spans="1:4" ht="30" thickTop="1" thickBot="1">
      <c r="A258" t="str">
        <f t="shared" si="12"/>
        <v>BHS</v>
      </c>
      <c r="B258" s="7" t="s">
        <v>7</v>
      </c>
      <c r="C258" s="7" t="s">
        <v>60</v>
      </c>
      <c r="D258" t="str">
        <f t="shared" ref="D258:D321" si="13">IF(ISNUMBER(FIND(":", A258)), LEFT(A258, FIND(":", A258) - 1), D257)</f>
        <v>BHS</v>
      </c>
    </row>
    <row r="259" spans="1:4" ht="49.2" thickTop="1" thickBot="1">
      <c r="A259" t="str">
        <f t="shared" si="12"/>
        <v>BHS</v>
      </c>
      <c r="B259" s="7" t="s">
        <v>9</v>
      </c>
      <c r="C259" s="7">
        <v>2017</v>
      </c>
      <c r="D259" t="str">
        <f t="shared" si="13"/>
        <v>BHS</v>
      </c>
    </row>
    <row r="260" spans="1:4" ht="39.6" thickTop="1" thickBot="1">
      <c r="A260" t="str">
        <f t="shared" si="12"/>
        <v>BHS</v>
      </c>
      <c r="B260" s="7" t="s">
        <v>10</v>
      </c>
      <c r="C260" s="7">
        <v>2018</v>
      </c>
      <c r="D260" t="str">
        <f t="shared" si="13"/>
        <v>BHS</v>
      </c>
    </row>
    <row r="261" spans="1:4" ht="15.6" thickTop="1" thickBot="1">
      <c r="A261" t="str">
        <f t="shared" si="12"/>
        <v>BHS</v>
      </c>
      <c r="B261" s="7" t="s">
        <v>11</v>
      </c>
      <c r="C261" s="7" t="s">
        <v>133</v>
      </c>
      <c r="D261" t="str">
        <f t="shared" si="13"/>
        <v>BHS</v>
      </c>
    </row>
    <row r="262" spans="1:4" ht="15.6" thickTop="1" thickBot="1">
      <c r="A262" t="str">
        <f t="shared" si="12"/>
        <v>BHS</v>
      </c>
      <c r="B262" s="7" t="s">
        <v>13</v>
      </c>
      <c r="C262" s="7" t="s">
        <v>134</v>
      </c>
      <c r="D262" t="str">
        <f t="shared" si="13"/>
        <v>BHS</v>
      </c>
    </row>
    <row r="263" spans="1:4" ht="15.6" thickTop="1" thickBot="1">
      <c r="A263" t="str">
        <f t="shared" si="12"/>
        <v>BHS</v>
      </c>
      <c r="B263" s="7" t="s">
        <v>15</v>
      </c>
      <c r="C263" s="7" t="s">
        <v>135</v>
      </c>
      <c r="D263" t="str">
        <f t="shared" si="13"/>
        <v>BHS</v>
      </c>
    </row>
    <row r="264" spans="1:4" ht="15.6" thickTop="1" thickBot="1">
      <c r="A264" t="str">
        <f t="shared" si="12"/>
        <v>BHS</v>
      </c>
      <c r="B264" s="7" t="s">
        <v>16</v>
      </c>
      <c r="C264" s="7" t="s">
        <v>133</v>
      </c>
      <c r="D264" t="str">
        <f t="shared" si="13"/>
        <v>BHS</v>
      </c>
    </row>
    <row r="265" spans="1:4" ht="15.6" thickTop="1" thickBot="1">
      <c r="A265" t="str">
        <f t="shared" si="12"/>
        <v>BHS</v>
      </c>
      <c r="B265" s="7" t="s">
        <v>17</v>
      </c>
      <c r="C265" s="7" t="s">
        <v>136</v>
      </c>
      <c r="D265" t="str">
        <f t="shared" si="13"/>
        <v>BHS</v>
      </c>
    </row>
    <row r="266" spans="1:4" ht="15.6" thickTop="1" thickBot="1">
      <c r="A266" t="str">
        <f t="shared" si="12"/>
        <v>BHS</v>
      </c>
      <c r="B266" s="7" t="s">
        <v>18</v>
      </c>
      <c r="C266" s="7" t="s">
        <v>135</v>
      </c>
      <c r="D266" t="str">
        <f t="shared" si="13"/>
        <v>BHS</v>
      </c>
    </row>
    <row r="267" spans="1:4" ht="15.6" thickTop="1" thickBot="1">
      <c r="A267" t="str">
        <f t="shared" si="12"/>
        <v>BHS</v>
      </c>
      <c r="B267" s="7" t="s">
        <v>19</v>
      </c>
      <c r="C267" s="7" t="s">
        <v>137</v>
      </c>
      <c r="D267" t="str">
        <f t="shared" si="13"/>
        <v>BHS</v>
      </c>
    </row>
    <row r="268" spans="1:4" ht="15.6" thickTop="1" thickBot="1">
      <c r="A268" t="str">
        <f t="shared" si="12"/>
        <v>BHS</v>
      </c>
      <c r="B268" s="7" t="s">
        <v>21</v>
      </c>
      <c r="C268" s="7" t="s">
        <v>135</v>
      </c>
      <c r="D268" t="str">
        <f t="shared" si="13"/>
        <v>BHS</v>
      </c>
    </row>
    <row r="269" spans="1:4" ht="15.6" thickTop="1" thickBot="1">
      <c r="A269" t="str">
        <f t="shared" si="12"/>
        <v>BHS</v>
      </c>
      <c r="B269" s="7" t="s">
        <v>22</v>
      </c>
      <c r="C269" s="7" t="s">
        <v>138</v>
      </c>
      <c r="D269" t="str">
        <f t="shared" si="13"/>
        <v>BHS</v>
      </c>
    </row>
    <row r="270" spans="1:4" ht="15.6" thickTop="1" thickBot="1">
      <c r="A270" t="str">
        <f t="shared" si="12"/>
        <v>BHS</v>
      </c>
      <c r="B270" s="7" t="s">
        <v>23</v>
      </c>
      <c r="C270" s="7" t="s">
        <v>136</v>
      </c>
      <c r="D270" t="str">
        <f t="shared" si="13"/>
        <v>BHS</v>
      </c>
    </row>
    <row r="271" spans="1:4" ht="15.6" thickTop="1" thickBot="1">
      <c r="A271" t="str">
        <f t="shared" si="12"/>
        <v>BHS</v>
      </c>
      <c r="B271" s="7" t="s">
        <v>24</v>
      </c>
      <c r="C271" s="7">
        <v>2030</v>
      </c>
      <c r="D271" t="str">
        <f t="shared" si="13"/>
        <v>BHS</v>
      </c>
    </row>
    <row r="272" spans="1:4" ht="20.399999999999999" thickTop="1" thickBot="1">
      <c r="A272" t="str">
        <f t="shared" si="12"/>
        <v>BHS</v>
      </c>
      <c r="B272" s="7" t="s">
        <v>28</v>
      </c>
      <c r="C272" s="7" t="s">
        <v>139</v>
      </c>
      <c r="D272" t="str">
        <f t="shared" si="13"/>
        <v>BHS</v>
      </c>
    </row>
    <row r="273" spans="1:4" ht="20.399999999999999" thickTop="1" thickBot="1">
      <c r="A273" t="str">
        <f t="shared" si="12"/>
        <v>BHS</v>
      </c>
      <c r="B273" s="7" t="s">
        <v>30</v>
      </c>
      <c r="C273" s="7" t="s">
        <v>139</v>
      </c>
      <c r="D273" t="str">
        <f t="shared" si="13"/>
        <v>BHS</v>
      </c>
    </row>
    <row r="274" spans="1:4" ht="20.399999999999999" thickTop="1" thickBot="1">
      <c r="A274" t="str">
        <f t="shared" si="12"/>
        <v>BHS</v>
      </c>
      <c r="B274" s="7" t="s">
        <v>32</v>
      </c>
      <c r="C274" s="7" t="s">
        <v>33</v>
      </c>
      <c r="D274" t="str">
        <f t="shared" si="13"/>
        <v>BHS</v>
      </c>
    </row>
    <row r="275" spans="1:4" ht="20.399999999999999" thickTop="1" thickBot="1">
      <c r="A275" s="9" t="s">
        <v>140</v>
      </c>
      <c r="B275" s="10"/>
      <c r="C275" s="11"/>
      <c r="D275" t="str">
        <f t="shared" si="13"/>
        <v>BHR</v>
      </c>
    </row>
    <row r="276" spans="1:4" ht="30" thickTop="1" thickBot="1">
      <c r="A276" s="7"/>
      <c r="B276" s="7" t="s">
        <v>25</v>
      </c>
      <c r="C276" s="7">
        <v>760</v>
      </c>
      <c r="D276" t="str">
        <f t="shared" si="13"/>
        <v>BHR</v>
      </c>
    </row>
    <row r="277" spans="1:4" ht="30" thickTop="1" thickBot="1">
      <c r="A277" s="7"/>
      <c r="B277" s="7" t="s">
        <v>26</v>
      </c>
      <c r="C277" s="7" t="s">
        <v>141</v>
      </c>
      <c r="D277" t="str">
        <f t="shared" si="13"/>
        <v>BHR</v>
      </c>
    </row>
    <row r="278" spans="1:4" ht="30" thickTop="1" thickBot="1">
      <c r="A278" s="7"/>
      <c r="B278" s="7" t="s">
        <v>1</v>
      </c>
      <c r="C278" s="7" t="s">
        <v>2</v>
      </c>
      <c r="D278" t="str">
        <f t="shared" si="13"/>
        <v>BHR</v>
      </c>
    </row>
    <row r="279" spans="1:4" ht="30" thickTop="1" thickBot="1">
      <c r="A279" s="7"/>
      <c r="B279" s="7" t="s">
        <v>3</v>
      </c>
      <c r="C279" s="7" t="s">
        <v>59</v>
      </c>
      <c r="D279" t="str">
        <f t="shared" si="13"/>
        <v>BHR</v>
      </c>
    </row>
    <row r="280" spans="1:4" ht="20.399999999999999" thickTop="1" thickBot="1">
      <c r="A280" s="7"/>
      <c r="B280" s="7" t="s">
        <v>5</v>
      </c>
      <c r="C280" s="7" t="s">
        <v>6</v>
      </c>
      <c r="D280" t="str">
        <f t="shared" si="13"/>
        <v>BHR</v>
      </c>
    </row>
    <row r="281" spans="1:4" ht="30" thickTop="1" thickBot="1">
      <c r="A281" s="7"/>
      <c r="B281" s="7" t="s">
        <v>7</v>
      </c>
      <c r="C281" s="7" t="s">
        <v>60</v>
      </c>
      <c r="D281" t="str">
        <f t="shared" si="13"/>
        <v>BHR</v>
      </c>
    </row>
    <row r="282" spans="1:4" ht="49.2" thickTop="1" thickBot="1">
      <c r="A282" s="7"/>
      <c r="B282" s="7" t="s">
        <v>9</v>
      </c>
      <c r="C282" s="7">
        <v>2017</v>
      </c>
      <c r="D282" t="str">
        <f t="shared" si="13"/>
        <v>BHR</v>
      </c>
    </row>
    <row r="283" spans="1:4" ht="39.6" thickTop="1" thickBot="1">
      <c r="A283" s="7"/>
      <c r="B283" s="7" t="s">
        <v>10</v>
      </c>
      <c r="C283" s="7">
        <v>2018</v>
      </c>
      <c r="D283" t="str">
        <f t="shared" si="13"/>
        <v>BHR</v>
      </c>
    </row>
    <row r="284" spans="1:4" ht="15.6" thickTop="1" thickBot="1">
      <c r="A284" s="7"/>
      <c r="B284" s="7" t="s">
        <v>11</v>
      </c>
      <c r="C284" s="7" t="s">
        <v>142</v>
      </c>
      <c r="D284" t="str">
        <f t="shared" si="13"/>
        <v>BHR</v>
      </c>
    </row>
    <row r="285" spans="1:4" ht="15.6" thickTop="1" thickBot="1">
      <c r="A285" s="7"/>
      <c r="B285" s="7" t="s">
        <v>13</v>
      </c>
      <c r="C285" s="7" t="s">
        <v>138</v>
      </c>
      <c r="D285" t="str">
        <f t="shared" si="13"/>
        <v>BHR</v>
      </c>
    </row>
    <row r="286" spans="1:4" ht="15.6" thickTop="1" thickBot="1">
      <c r="A286" s="7"/>
      <c r="B286" s="7" t="s">
        <v>15</v>
      </c>
      <c r="C286" s="7" t="s">
        <v>142</v>
      </c>
      <c r="D286" t="str">
        <f t="shared" si="13"/>
        <v>BHR</v>
      </c>
    </row>
    <row r="287" spans="1:4" ht="15.6" thickTop="1" thickBot="1">
      <c r="A287" s="7"/>
      <c r="B287" s="7" t="s">
        <v>22</v>
      </c>
      <c r="C287" s="7" t="s">
        <v>143</v>
      </c>
      <c r="D287" t="str">
        <f t="shared" si="13"/>
        <v>BHR</v>
      </c>
    </row>
    <row r="288" spans="1:4" ht="15.6" thickTop="1" thickBot="1">
      <c r="A288" s="7"/>
      <c r="B288" s="7" t="s">
        <v>23</v>
      </c>
      <c r="C288" s="7" t="s">
        <v>144</v>
      </c>
      <c r="D288" t="str">
        <f t="shared" si="13"/>
        <v>BHR</v>
      </c>
    </row>
    <row r="289" spans="1:4" ht="15.6" thickTop="1" thickBot="1">
      <c r="A289" s="7"/>
      <c r="B289" s="7" t="s">
        <v>24</v>
      </c>
      <c r="C289" s="7">
        <v>3020</v>
      </c>
      <c r="D289" t="str">
        <f t="shared" si="13"/>
        <v>BHR</v>
      </c>
    </row>
    <row r="290" spans="1:4" ht="15.6" thickTop="1" thickBot="1">
      <c r="A290" s="7"/>
      <c r="B290" s="7" t="s">
        <v>18</v>
      </c>
      <c r="C290" s="7" t="s">
        <v>144</v>
      </c>
      <c r="D290" t="str">
        <f t="shared" si="13"/>
        <v>BHR</v>
      </c>
    </row>
    <row r="291" spans="1:4" ht="15.6" thickTop="1" thickBot="1">
      <c r="A291" s="7"/>
      <c r="B291" s="7" t="s">
        <v>19</v>
      </c>
      <c r="C291" s="7" t="s">
        <v>145</v>
      </c>
      <c r="D291" t="str">
        <f t="shared" si="13"/>
        <v>BHR</v>
      </c>
    </row>
    <row r="292" spans="1:4" ht="15.6" thickTop="1" thickBot="1">
      <c r="A292" s="7"/>
      <c r="B292" s="7" t="s">
        <v>21</v>
      </c>
      <c r="C292" s="7" t="s">
        <v>146</v>
      </c>
      <c r="D292" t="str">
        <f t="shared" si="13"/>
        <v>BHR</v>
      </c>
    </row>
    <row r="293" spans="1:4" ht="15.6" thickTop="1" thickBot="1">
      <c r="A293" s="7"/>
      <c r="B293" s="7" t="s">
        <v>16</v>
      </c>
      <c r="C293" s="7" t="s">
        <v>147</v>
      </c>
      <c r="D293" t="str">
        <f t="shared" si="13"/>
        <v>BHR</v>
      </c>
    </row>
    <row r="294" spans="1:4" ht="15.6" thickTop="1" thickBot="1">
      <c r="A294" s="7"/>
      <c r="B294" s="7" t="s">
        <v>17</v>
      </c>
      <c r="C294" s="7" t="s">
        <v>144</v>
      </c>
      <c r="D294" t="str">
        <f t="shared" si="13"/>
        <v>BHR</v>
      </c>
    </row>
    <row r="295" spans="1:4" ht="20.399999999999999" thickTop="1" thickBot="1">
      <c r="A295" s="7"/>
      <c r="B295" s="7" t="s">
        <v>28</v>
      </c>
      <c r="C295" s="7" t="s">
        <v>148</v>
      </c>
      <c r="D295" t="str">
        <f t="shared" si="13"/>
        <v>BHR</v>
      </c>
    </row>
    <row r="296" spans="1:4" ht="20.399999999999999" thickTop="1" thickBot="1">
      <c r="A296" s="7"/>
      <c r="B296" s="7" t="s">
        <v>30</v>
      </c>
      <c r="C296" s="7" t="s">
        <v>149</v>
      </c>
      <c r="D296" t="str">
        <f t="shared" si="13"/>
        <v>BHR</v>
      </c>
    </row>
    <row r="297" spans="1:4" ht="20.399999999999999" thickTop="1" thickBot="1">
      <c r="A297" s="7"/>
      <c r="B297" s="7" t="s">
        <v>32</v>
      </c>
      <c r="C297" s="7" t="s">
        <v>33</v>
      </c>
      <c r="D297" t="str">
        <f t="shared" si="13"/>
        <v>BHR</v>
      </c>
    </row>
    <row r="298" spans="1:4" ht="20.399999999999999" thickTop="1" thickBot="1">
      <c r="A298" s="9" t="s">
        <v>150</v>
      </c>
      <c r="B298" s="10"/>
      <c r="C298" s="11"/>
      <c r="D298" t="str">
        <f t="shared" si="13"/>
        <v>BGD</v>
      </c>
    </row>
    <row r="299" spans="1:4" ht="30" thickTop="1" thickBot="1">
      <c r="A299" s="7"/>
      <c r="B299" s="7" t="s">
        <v>25</v>
      </c>
      <c r="C299" s="8">
        <v>130170</v>
      </c>
      <c r="D299" t="str">
        <f t="shared" si="13"/>
        <v>BGD</v>
      </c>
    </row>
    <row r="300" spans="1:4" ht="20.399999999999999" thickTop="1" thickBot="1">
      <c r="A300" s="7"/>
      <c r="B300" s="7" t="s">
        <v>26</v>
      </c>
      <c r="C300" s="7" t="s">
        <v>151</v>
      </c>
      <c r="D300" t="str">
        <f t="shared" si="13"/>
        <v>BGD</v>
      </c>
    </row>
    <row r="301" spans="1:4" ht="20.399999999999999" thickTop="1" thickBot="1">
      <c r="A301" s="7"/>
      <c r="B301" s="7" t="s">
        <v>1</v>
      </c>
      <c r="C301" s="7" t="s">
        <v>152</v>
      </c>
      <c r="D301" t="str">
        <f t="shared" si="13"/>
        <v>BGD</v>
      </c>
    </row>
    <row r="302" spans="1:4" ht="30" thickTop="1" thickBot="1">
      <c r="A302" s="7"/>
      <c r="B302" s="7" t="s">
        <v>3</v>
      </c>
      <c r="C302" s="7" t="s">
        <v>69</v>
      </c>
      <c r="D302" t="str">
        <f t="shared" si="13"/>
        <v>BGD</v>
      </c>
    </row>
    <row r="303" spans="1:4" ht="20.399999999999999" thickTop="1" thickBot="1">
      <c r="A303" s="7"/>
      <c r="B303" s="7" t="s">
        <v>5</v>
      </c>
      <c r="C303" s="7" t="s">
        <v>153</v>
      </c>
      <c r="D303" t="str">
        <f t="shared" si="13"/>
        <v>BGD</v>
      </c>
    </row>
    <row r="304" spans="1:4" ht="30" thickTop="1" thickBot="1">
      <c r="A304" s="7"/>
      <c r="B304" s="7" t="s">
        <v>7</v>
      </c>
      <c r="C304" s="7" t="s">
        <v>70</v>
      </c>
      <c r="D304" t="str">
        <f t="shared" si="13"/>
        <v>BGD</v>
      </c>
    </row>
    <row r="305" spans="1:4" ht="49.2" thickTop="1" thickBot="1">
      <c r="A305" s="7"/>
      <c r="B305" s="7" t="s">
        <v>9</v>
      </c>
      <c r="C305" s="7">
        <v>2017</v>
      </c>
      <c r="D305" t="str">
        <f t="shared" si="13"/>
        <v>BGD</v>
      </c>
    </row>
    <row r="306" spans="1:4" ht="39.6" thickTop="1" thickBot="1">
      <c r="A306" s="7"/>
      <c r="B306" s="7" t="s">
        <v>10</v>
      </c>
      <c r="C306" s="7">
        <v>2018</v>
      </c>
      <c r="D306" t="str">
        <f t="shared" si="13"/>
        <v>BGD</v>
      </c>
    </row>
    <row r="307" spans="1:4" ht="15.6" thickTop="1" thickBot="1">
      <c r="A307" s="7"/>
      <c r="B307" s="7" t="s">
        <v>11</v>
      </c>
      <c r="C307" s="7" t="s">
        <v>154</v>
      </c>
      <c r="D307" t="str">
        <f t="shared" si="13"/>
        <v>BGD</v>
      </c>
    </row>
    <row r="308" spans="1:4" ht="15.6" thickTop="1" thickBot="1">
      <c r="A308" s="7"/>
      <c r="B308" s="7" t="s">
        <v>13</v>
      </c>
      <c r="C308" s="7" t="s">
        <v>155</v>
      </c>
      <c r="D308" t="str">
        <f t="shared" si="13"/>
        <v>BGD</v>
      </c>
    </row>
    <row r="309" spans="1:4" ht="15.6" thickTop="1" thickBot="1">
      <c r="A309" s="7"/>
      <c r="B309" s="7" t="s">
        <v>15</v>
      </c>
      <c r="C309" s="7" t="s">
        <v>156</v>
      </c>
      <c r="D309" t="str">
        <f t="shared" si="13"/>
        <v>BGD</v>
      </c>
    </row>
    <row r="310" spans="1:4" ht="15.6" thickTop="1" thickBot="1">
      <c r="A310" s="7"/>
      <c r="B310" s="7" t="s">
        <v>16</v>
      </c>
      <c r="C310" s="7" t="s">
        <v>154</v>
      </c>
      <c r="D310" t="str">
        <f t="shared" si="13"/>
        <v>BGD</v>
      </c>
    </row>
    <row r="311" spans="1:4" ht="15.6" thickTop="1" thickBot="1">
      <c r="A311" s="7"/>
      <c r="B311" s="7" t="s">
        <v>17</v>
      </c>
      <c r="C311" s="7" t="s">
        <v>157</v>
      </c>
      <c r="D311" t="str">
        <f t="shared" si="13"/>
        <v>BGD</v>
      </c>
    </row>
    <row r="312" spans="1:4" ht="15.6" thickTop="1" thickBot="1">
      <c r="A312" s="7"/>
      <c r="B312" s="7" t="s">
        <v>18</v>
      </c>
      <c r="C312" s="7" t="s">
        <v>157</v>
      </c>
      <c r="D312" t="str">
        <f t="shared" si="13"/>
        <v>BGD</v>
      </c>
    </row>
    <row r="313" spans="1:4" ht="15.6" thickTop="1" thickBot="1">
      <c r="A313" s="7"/>
      <c r="B313" s="7" t="s">
        <v>19</v>
      </c>
      <c r="C313" s="7" t="s">
        <v>158</v>
      </c>
      <c r="D313" t="str">
        <f t="shared" si="13"/>
        <v>BGD</v>
      </c>
    </row>
    <row r="314" spans="1:4" ht="15.6" thickTop="1" thickBot="1">
      <c r="A314" s="7"/>
      <c r="B314" s="7" t="s">
        <v>21</v>
      </c>
      <c r="C314" s="7" t="s">
        <v>156</v>
      </c>
      <c r="D314" t="str">
        <f t="shared" si="13"/>
        <v>BGD</v>
      </c>
    </row>
    <row r="315" spans="1:4" ht="15.6" thickTop="1" thickBot="1">
      <c r="A315" s="7"/>
      <c r="B315" s="7" t="s">
        <v>22</v>
      </c>
      <c r="C315" s="7" t="s">
        <v>159</v>
      </c>
      <c r="D315" t="str">
        <f t="shared" si="13"/>
        <v>BGD</v>
      </c>
    </row>
    <row r="316" spans="1:4" ht="15.6" thickTop="1" thickBot="1">
      <c r="A316" s="7"/>
      <c r="B316" s="7" t="s">
        <v>23</v>
      </c>
      <c r="C316" s="7" t="s">
        <v>157</v>
      </c>
      <c r="D316" t="str">
        <f t="shared" si="13"/>
        <v>BGD</v>
      </c>
    </row>
    <row r="317" spans="1:4" ht="15.6" thickTop="1" thickBot="1">
      <c r="A317" s="7"/>
      <c r="B317" s="7" t="s">
        <v>24</v>
      </c>
      <c r="C317" s="7">
        <v>3025</v>
      </c>
      <c r="D317" t="str">
        <f t="shared" si="13"/>
        <v>BGD</v>
      </c>
    </row>
    <row r="318" spans="1:4" ht="20.399999999999999" thickTop="1" thickBot="1">
      <c r="A318" s="7"/>
      <c r="B318" s="7" t="s">
        <v>28</v>
      </c>
      <c r="C318" s="7" t="s">
        <v>160</v>
      </c>
      <c r="D318" t="str">
        <f t="shared" si="13"/>
        <v>BGD</v>
      </c>
    </row>
    <row r="319" spans="1:4" ht="20.399999999999999" thickTop="1" thickBot="1">
      <c r="A319" s="7"/>
      <c r="B319" s="7" t="s">
        <v>30</v>
      </c>
      <c r="C319" s="7" t="s">
        <v>160</v>
      </c>
      <c r="D319" t="str">
        <f t="shared" si="13"/>
        <v>BGD</v>
      </c>
    </row>
    <row r="320" spans="1:4" ht="20.399999999999999" thickTop="1" thickBot="1">
      <c r="A320" s="7"/>
      <c r="B320" s="7" t="s">
        <v>32</v>
      </c>
      <c r="C320" s="7" t="s">
        <v>33</v>
      </c>
      <c r="D320" t="str">
        <f t="shared" si="13"/>
        <v>BGD</v>
      </c>
    </row>
    <row r="321" spans="1:4" ht="20.399999999999999" thickTop="1" thickBot="1">
      <c r="A321" s="9" t="s">
        <v>161</v>
      </c>
      <c r="B321" s="10"/>
      <c r="C321" s="11"/>
      <c r="D321" t="str">
        <f t="shared" si="13"/>
        <v>BRB</v>
      </c>
    </row>
    <row r="322" spans="1:4" ht="30" thickTop="1" thickBot="1">
      <c r="A322" s="7"/>
      <c r="B322" s="7" t="s">
        <v>25</v>
      </c>
      <c r="C322" s="7">
        <v>430</v>
      </c>
      <c r="D322" t="str">
        <f t="shared" ref="D322:D385" si="14">IF(ISNUMBER(FIND(":", A322)), LEFT(A322, FIND(":", A322) - 1), D321)</f>
        <v>BRB</v>
      </c>
    </row>
    <row r="323" spans="1:4" ht="20.399999999999999" thickTop="1" thickBot="1">
      <c r="A323" s="7"/>
      <c r="B323" s="7" t="s">
        <v>26</v>
      </c>
      <c r="C323" s="7" t="s">
        <v>106</v>
      </c>
      <c r="D323" t="str">
        <f t="shared" si="14"/>
        <v>BRB</v>
      </c>
    </row>
    <row r="324" spans="1:4" ht="20.399999999999999" thickTop="1" thickBot="1">
      <c r="A324" s="7"/>
      <c r="B324" s="7" t="s">
        <v>1</v>
      </c>
      <c r="C324" s="7" t="s">
        <v>79</v>
      </c>
      <c r="D324" t="str">
        <f t="shared" si="14"/>
        <v>BRB</v>
      </c>
    </row>
    <row r="325" spans="1:4" ht="30" thickTop="1" thickBot="1">
      <c r="A325" s="7"/>
      <c r="B325" s="7" t="s">
        <v>3</v>
      </c>
      <c r="C325" s="7" t="s">
        <v>59</v>
      </c>
      <c r="D325" t="str">
        <f t="shared" si="14"/>
        <v>BRB</v>
      </c>
    </row>
    <row r="326" spans="1:4" ht="20.399999999999999" thickTop="1" thickBot="1">
      <c r="A326" s="7"/>
      <c r="B326" s="7" t="s">
        <v>5</v>
      </c>
      <c r="C326" s="7" t="s">
        <v>80</v>
      </c>
      <c r="D326" t="str">
        <f t="shared" si="14"/>
        <v>BRB</v>
      </c>
    </row>
    <row r="327" spans="1:4" ht="30" thickTop="1" thickBot="1">
      <c r="A327" s="7"/>
      <c r="B327" s="7" t="s">
        <v>7</v>
      </c>
      <c r="C327" s="7" t="s">
        <v>60</v>
      </c>
      <c r="D327" t="str">
        <f t="shared" si="14"/>
        <v>BRB</v>
      </c>
    </row>
    <row r="328" spans="1:4" ht="39.6" thickTop="1" thickBot="1">
      <c r="A328" s="7"/>
      <c r="B328" s="7" t="s">
        <v>10</v>
      </c>
      <c r="C328" s="7">
        <v>2018</v>
      </c>
      <c r="D328" t="str">
        <f t="shared" si="14"/>
        <v>BRB</v>
      </c>
    </row>
    <row r="329" spans="1:4" ht="49.2" thickTop="1" thickBot="1">
      <c r="A329" s="7"/>
      <c r="B329" s="7" t="s">
        <v>9</v>
      </c>
      <c r="C329" s="7">
        <v>2017</v>
      </c>
      <c r="D329" t="str">
        <f t="shared" si="14"/>
        <v>BRB</v>
      </c>
    </row>
    <row r="330" spans="1:4" ht="15.6" thickTop="1" thickBot="1">
      <c r="A330" s="7"/>
      <c r="B330" s="7" t="s">
        <v>11</v>
      </c>
      <c r="C330" s="7" t="s">
        <v>162</v>
      </c>
      <c r="D330" t="str">
        <f t="shared" si="14"/>
        <v>BRB</v>
      </c>
    </row>
    <row r="331" spans="1:4" ht="15.6" thickTop="1" thickBot="1">
      <c r="A331" s="7"/>
      <c r="B331" s="7" t="s">
        <v>13</v>
      </c>
      <c r="C331" s="7" t="s">
        <v>163</v>
      </c>
      <c r="D331" t="str">
        <f t="shared" si="14"/>
        <v>BRB</v>
      </c>
    </row>
    <row r="332" spans="1:4" ht="15.6" thickTop="1" thickBot="1">
      <c r="A332" s="7"/>
      <c r="B332" s="7" t="s">
        <v>15</v>
      </c>
      <c r="C332" s="7" t="s">
        <v>164</v>
      </c>
      <c r="D332" t="str">
        <f t="shared" si="14"/>
        <v>BRB</v>
      </c>
    </row>
    <row r="333" spans="1:4" ht="15.6" thickTop="1" thickBot="1">
      <c r="A333" s="7"/>
      <c r="B333" s="7" t="s">
        <v>16</v>
      </c>
      <c r="C333" s="7" t="s">
        <v>163</v>
      </c>
      <c r="D333" t="str">
        <f t="shared" si="14"/>
        <v>BRB</v>
      </c>
    </row>
    <row r="334" spans="1:4" ht="15.6" thickTop="1" thickBot="1">
      <c r="A334" s="7"/>
      <c r="B334" s="7" t="s">
        <v>17</v>
      </c>
      <c r="C334" s="7" t="s">
        <v>165</v>
      </c>
      <c r="D334" t="str">
        <f t="shared" si="14"/>
        <v>BRB</v>
      </c>
    </row>
    <row r="335" spans="1:4" ht="15.6" thickTop="1" thickBot="1">
      <c r="A335" s="7"/>
      <c r="B335" s="7" t="s">
        <v>18</v>
      </c>
      <c r="C335" s="7" t="s">
        <v>165</v>
      </c>
      <c r="D335" t="str">
        <f t="shared" si="14"/>
        <v>BRB</v>
      </c>
    </row>
    <row r="336" spans="1:4" ht="15.6" thickTop="1" thickBot="1">
      <c r="A336" s="7"/>
      <c r="B336" s="7" t="s">
        <v>19</v>
      </c>
      <c r="C336" s="7" t="s">
        <v>166</v>
      </c>
      <c r="D336" t="str">
        <f t="shared" si="14"/>
        <v>BRB</v>
      </c>
    </row>
    <row r="337" spans="1:4" ht="15.6" thickTop="1" thickBot="1">
      <c r="A337" s="7"/>
      <c r="B337" s="7" t="s">
        <v>21</v>
      </c>
      <c r="C337" s="7" t="s">
        <v>164</v>
      </c>
      <c r="D337" t="str">
        <f t="shared" si="14"/>
        <v>BRB</v>
      </c>
    </row>
    <row r="338" spans="1:4" ht="15.6" thickTop="1" thickBot="1">
      <c r="A338" s="7"/>
      <c r="B338" s="7" t="s">
        <v>22</v>
      </c>
      <c r="C338" s="7" t="s">
        <v>167</v>
      </c>
      <c r="D338" t="str">
        <f t="shared" si="14"/>
        <v>BRB</v>
      </c>
    </row>
    <row r="339" spans="1:4" ht="15.6" thickTop="1" thickBot="1">
      <c r="A339" s="7"/>
      <c r="B339" s="7" t="s">
        <v>23</v>
      </c>
      <c r="C339" s="7" t="s">
        <v>165</v>
      </c>
      <c r="D339" t="str">
        <f t="shared" si="14"/>
        <v>BRB</v>
      </c>
    </row>
    <row r="340" spans="1:4" ht="15.6" thickTop="1" thickBot="1">
      <c r="A340" s="7"/>
      <c r="B340" s="7" t="s">
        <v>24</v>
      </c>
      <c r="C340" s="7">
        <v>2040</v>
      </c>
      <c r="D340" t="str">
        <f t="shared" si="14"/>
        <v>BRB</v>
      </c>
    </row>
    <row r="341" spans="1:4" ht="20.399999999999999" thickTop="1" thickBot="1">
      <c r="A341" s="7"/>
      <c r="B341" s="7" t="s">
        <v>28</v>
      </c>
      <c r="C341" s="7" t="s">
        <v>168</v>
      </c>
      <c r="D341" t="str">
        <f t="shared" si="14"/>
        <v>BRB</v>
      </c>
    </row>
    <row r="342" spans="1:4" ht="20.399999999999999" thickTop="1" thickBot="1">
      <c r="A342" s="7"/>
      <c r="B342" s="7" t="s">
        <v>30</v>
      </c>
      <c r="C342" s="7" t="s">
        <v>169</v>
      </c>
      <c r="D342" t="str">
        <f t="shared" si="14"/>
        <v>BRB</v>
      </c>
    </row>
    <row r="343" spans="1:4" ht="20.399999999999999" thickTop="1" thickBot="1">
      <c r="A343" s="7"/>
      <c r="B343" s="7" t="s">
        <v>32</v>
      </c>
      <c r="C343" s="7" t="s">
        <v>33</v>
      </c>
      <c r="D343" t="str">
        <f t="shared" si="14"/>
        <v>BRB</v>
      </c>
    </row>
    <row r="344" spans="1:4" ht="15.6" thickTop="1" thickBot="1">
      <c r="A344" s="9" t="s">
        <v>170</v>
      </c>
      <c r="B344" s="10"/>
      <c r="C344" s="11"/>
      <c r="D344" t="str">
        <f t="shared" si="14"/>
        <v>BLR</v>
      </c>
    </row>
    <row r="345" spans="1:4" ht="30" thickTop="1" thickBot="1">
      <c r="A345" s="7"/>
      <c r="B345" s="7" t="s">
        <v>25</v>
      </c>
      <c r="C345" s="8">
        <v>202900</v>
      </c>
      <c r="D345" t="str">
        <f t="shared" si="14"/>
        <v>BLR</v>
      </c>
    </row>
    <row r="346" spans="1:4" ht="20.399999999999999" thickTop="1" thickBot="1">
      <c r="A346" s="7"/>
      <c r="B346" s="7" t="s">
        <v>26</v>
      </c>
      <c r="C346" s="7" t="s">
        <v>171</v>
      </c>
      <c r="D346" t="str">
        <f t="shared" si="14"/>
        <v>BLR</v>
      </c>
    </row>
    <row r="347" spans="1:4" ht="20.399999999999999" thickTop="1" thickBot="1">
      <c r="A347" s="7"/>
      <c r="B347" s="7" t="s">
        <v>1</v>
      </c>
      <c r="C347" s="7" t="s">
        <v>35</v>
      </c>
      <c r="D347" t="str">
        <f t="shared" si="14"/>
        <v>BLR</v>
      </c>
    </row>
    <row r="348" spans="1:4" ht="30" thickTop="1" thickBot="1">
      <c r="A348" s="7"/>
      <c r="B348" s="7" t="s">
        <v>3</v>
      </c>
      <c r="C348" s="7" t="s">
        <v>36</v>
      </c>
      <c r="D348" t="str">
        <f t="shared" si="14"/>
        <v>BLR</v>
      </c>
    </row>
    <row r="349" spans="1:4" ht="20.399999999999999" thickTop="1" thickBot="1">
      <c r="A349" s="7"/>
      <c r="B349" s="7" t="s">
        <v>5</v>
      </c>
      <c r="C349" s="7" t="s">
        <v>37</v>
      </c>
      <c r="D349" t="str">
        <f t="shared" si="14"/>
        <v>BLR</v>
      </c>
    </row>
    <row r="350" spans="1:4" ht="30" thickTop="1" thickBot="1">
      <c r="A350" s="7"/>
      <c r="B350" s="7" t="s">
        <v>7</v>
      </c>
      <c r="C350" s="7" t="s">
        <v>38</v>
      </c>
      <c r="D350" t="str">
        <f t="shared" si="14"/>
        <v>BLR</v>
      </c>
    </row>
    <row r="351" spans="1:4" ht="49.2" thickTop="1" thickBot="1">
      <c r="A351" s="7"/>
      <c r="B351" s="7" t="s">
        <v>9</v>
      </c>
      <c r="C351" s="7">
        <v>2017</v>
      </c>
      <c r="D351" t="str">
        <f t="shared" si="14"/>
        <v>BLR</v>
      </c>
    </row>
    <row r="352" spans="1:4" ht="39.6" thickTop="1" thickBot="1">
      <c r="A352" s="7"/>
      <c r="B352" s="7" t="s">
        <v>10</v>
      </c>
      <c r="C352" s="7">
        <v>2018</v>
      </c>
      <c r="D352" t="str">
        <f t="shared" si="14"/>
        <v>BLR</v>
      </c>
    </row>
    <row r="353" spans="1:4" ht="15.6" thickTop="1" thickBot="1">
      <c r="A353" s="7"/>
      <c r="B353" s="7" t="s">
        <v>11</v>
      </c>
      <c r="C353" s="7" t="s">
        <v>172</v>
      </c>
      <c r="D353" t="str">
        <f t="shared" si="14"/>
        <v>BLR</v>
      </c>
    </row>
    <row r="354" spans="1:4" ht="15.6" thickTop="1" thickBot="1">
      <c r="A354" s="7"/>
      <c r="B354" s="7" t="s">
        <v>13</v>
      </c>
      <c r="C354" s="7" t="s">
        <v>173</v>
      </c>
      <c r="D354" t="str">
        <f t="shared" si="14"/>
        <v>BLR</v>
      </c>
    </row>
    <row r="355" spans="1:4" ht="15.6" thickTop="1" thickBot="1">
      <c r="A355" s="7"/>
      <c r="B355" s="7" t="s">
        <v>15</v>
      </c>
      <c r="C355" s="7" t="s">
        <v>174</v>
      </c>
      <c r="D355" t="str">
        <f t="shared" si="14"/>
        <v>BLR</v>
      </c>
    </row>
    <row r="356" spans="1:4" ht="15.6" thickTop="1" thickBot="1">
      <c r="A356" s="7"/>
      <c r="B356" s="7" t="s">
        <v>16</v>
      </c>
      <c r="C356" s="7" t="s">
        <v>172</v>
      </c>
      <c r="D356" t="str">
        <f t="shared" si="14"/>
        <v>BLR</v>
      </c>
    </row>
    <row r="357" spans="1:4" ht="15.6" thickTop="1" thickBot="1">
      <c r="A357" s="7"/>
      <c r="B357" s="7" t="s">
        <v>17</v>
      </c>
      <c r="C357" s="7" t="s">
        <v>174</v>
      </c>
      <c r="D357" t="str">
        <f t="shared" si="14"/>
        <v>BLR</v>
      </c>
    </row>
    <row r="358" spans="1:4" ht="15.6" thickTop="1" thickBot="1">
      <c r="A358" s="7"/>
      <c r="B358" s="7" t="s">
        <v>18</v>
      </c>
      <c r="C358" s="7" t="s">
        <v>174</v>
      </c>
      <c r="D358" t="str">
        <f t="shared" si="14"/>
        <v>BLR</v>
      </c>
    </row>
    <row r="359" spans="1:4" ht="15.6" thickTop="1" thickBot="1">
      <c r="A359" s="7"/>
      <c r="B359" s="7" t="s">
        <v>19</v>
      </c>
      <c r="C359" s="7" t="s">
        <v>175</v>
      </c>
      <c r="D359" t="str">
        <f t="shared" si="14"/>
        <v>BLR</v>
      </c>
    </row>
    <row r="360" spans="1:4" ht="15.6" thickTop="1" thickBot="1">
      <c r="A360" s="7"/>
      <c r="B360" s="7" t="s">
        <v>21</v>
      </c>
      <c r="C360" s="7" t="s">
        <v>174</v>
      </c>
      <c r="D360" t="str">
        <f t="shared" si="14"/>
        <v>BLR</v>
      </c>
    </row>
    <row r="361" spans="1:4" ht="15.6" thickTop="1" thickBot="1">
      <c r="A361" s="7"/>
      <c r="B361" s="7" t="s">
        <v>22</v>
      </c>
      <c r="C361" s="7" t="s">
        <v>172</v>
      </c>
      <c r="D361" t="str">
        <f t="shared" si="14"/>
        <v>BLR</v>
      </c>
    </row>
    <row r="362" spans="1:4" ht="15.6" thickTop="1" thickBot="1">
      <c r="A362" s="7"/>
      <c r="B362" s="7" t="s">
        <v>23</v>
      </c>
      <c r="C362" s="7" t="s">
        <v>174</v>
      </c>
      <c r="D362" t="str">
        <f t="shared" si="14"/>
        <v>BLR</v>
      </c>
    </row>
    <row r="363" spans="1:4" ht="15.6" thickTop="1" thickBot="1">
      <c r="A363" s="7"/>
      <c r="B363" s="7" t="s">
        <v>24</v>
      </c>
      <c r="C363" s="7">
        <v>4018</v>
      </c>
      <c r="D363" t="str">
        <f t="shared" si="14"/>
        <v>BLR</v>
      </c>
    </row>
    <row r="364" spans="1:4" ht="20.399999999999999" thickTop="1" thickBot="1">
      <c r="A364" s="7"/>
      <c r="B364" s="7" t="s">
        <v>28</v>
      </c>
      <c r="C364" s="7" t="s">
        <v>176</v>
      </c>
      <c r="D364" t="str">
        <f t="shared" si="14"/>
        <v>BLR</v>
      </c>
    </row>
    <row r="365" spans="1:4" ht="20.399999999999999" thickTop="1" thickBot="1">
      <c r="A365" s="7"/>
      <c r="B365" s="7" t="s">
        <v>30</v>
      </c>
      <c r="C365" s="7" t="s">
        <v>177</v>
      </c>
      <c r="D365" t="str">
        <f t="shared" si="14"/>
        <v>BLR</v>
      </c>
    </row>
    <row r="366" spans="1:4" ht="20.399999999999999" thickTop="1" thickBot="1">
      <c r="A366" s="7"/>
      <c r="B366" s="7" t="s">
        <v>32</v>
      </c>
      <c r="C366" s="7" t="s">
        <v>33</v>
      </c>
      <c r="D366" t="str">
        <f t="shared" si="14"/>
        <v>BLR</v>
      </c>
    </row>
    <row r="367" spans="1:4" ht="20.399999999999999" thickTop="1" thickBot="1">
      <c r="A367" s="9" t="s">
        <v>178</v>
      </c>
      <c r="B367" s="10"/>
      <c r="C367" s="11"/>
      <c r="D367" t="str">
        <f t="shared" si="14"/>
        <v>BEL</v>
      </c>
    </row>
    <row r="368" spans="1:4" ht="30" thickTop="1" thickBot="1">
      <c r="A368" s="7"/>
      <c r="B368" s="7" t="s">
        <v>25</v>
      </c>
      <c r="C368" s="8">
        <v>30280</v>
      </c>
      <c r="D368" t="str">
        <f t="shared" si="14"/>
        <v>BEL</v>
      </c>
    </row>
    <row r="369" spans="1:4" ht="30" thickTop="1" thickBot="1">
      <c r="A369" s="7"/>
      <c r="B369" s="7" t="s">
        <v>26</v>
      </c>
      <c r="C369" s="7" t="s">
        <v>179</v>
      </c>
      <c r="D369" t="str">
        <f t="shared" si="14"/>
        <v>BEL</v>
      </c>
    </row>
    <row r="370" spans="1:4" ht="20.399999999999999" thickTop="1" thickBot="1">
      <c r="A370" s="7"/>
      <c r="B370" s="7" t="s">
        <v>1</v>
      </c>
      <c r="C370" s="7" t="s">
        <v>35</v>
      </c>
      <c r="D370" t="str">
        <f t="shared" si="14"/>
        <v>BEL</v>
      </c>
    </row>
    <row r="371" spans="1:4" ht="30" thickTop="1" thickBot="1">
      <c r="A371" s="7"/>
      <c r="B371" s="7" t="s">
        <v>3</v>
      </c>
      <c r="C371" s="7" t="s">
        <v>59</v>
      </c>
      <c r="D371" t="str">
        <f t="shared" si="14"/>
        <v>BEL</v>
      </c>
    </row>
    <row r="372" spans="1:4" ht="20.399999999999999" thickTop="1" thickBot="1">
      <c r="A372" s="7"/>
      <c r="B372" s="7" t="s">
        <v>5</v>
      </c>
      <c r="C372" s="7" t="s">
        <v>37</v>
      </c>
      <c r="D372" t="str">
        <f t="shared" si="14"/>
        <v>BEL</v>
      </c>
    </row>
    <row r="373" spans="1:4" ht="30" thickTop="1" thickBot="1">
      <c r="A373" s="7"/>
      <c r="B373" s="7" t="s">
        <v>7</v>
      </c>
      <c r="C373" s="7" t="s">
        <v>60</v>
      </c>
      <c r="D373" t="str">
        <f t="shared" si="14"/>
        <v>BEL</v>
      </c>
    </row>
    <row r="374" spans="1:4" ht="49.2" thickTop="1" thickBot="1">
      <c r="A374" s="7"/>
      <c r="B374" s="7" t="s">
        <v>9</v>
      </c>
      <c r="C374" s="7">
        <v>2017</v>
      </c>
      <c r="D374" t="str">
        <f t="shared" si="14"/>
        <v>BEL</v>
      </c>
    </row>
    <row r="375" spans="1:4" ht="39.6" thickTop="1" thickBot="1">
      <c r="A375" s="7"/>
      <c r="B375" s="7" t="s">
        <v>10</v>
      </c>
      <c r="C375" s="7">
        <v>2018</v>
      </c>
      <c r="D375" t="str">
        <f t="shared" si="14"/>
        <v>BEL</v>
      </c>
    </row>
    <row r="376" spans="1:4" ht="15.6" thickTop="1" thickBot="1">
      <c r="A376" s="7"/>
      <c r="B376" s="7" t="s">
        <v>11</v>
      </c>
      <c r="C376" s="7" t="s">
        <v>180</v>
      </c>
      <c r="D376" t="str">
        <f t="shared" si="14"/>
        <v>BEL</v>
      </c>
    </row>
    <row r="377" spans="1:4" ht="15.6" thickTop="1" thickBot="1">
      <c r="A377" s="7"/>
      <c r="B377" s="7" t="s">
        <v>13</v>
      </c>
      <c r="C377" s="7" t="s">
        <v>181</v>
      </c>
      <c r="D377" t="str">
        <f t="shared" si="14"/>
        <v>BEL</v>
      </c>
    </row>
    <row r="378" spans="1:4" ht="15.6" thickTop="1" thickBot="1">
      <c r="A378" s="7"/>
      <c r="B378" s="7" t="s">
        <v>15</v>
      </c>
      <c r="C378" s="7" t="s">
        <v>182</v>
      </c>
      <c r="D378" t="str">
        <f t="shared" si="14"/>
        <v>BEL</v>
      </c>
    </row>
    <row r="379" spans="1:4" ht="15.6" thickTop="1" thickBot="1">
      <c r="A379" s="7"/>
      <c r="B379" s="7" t="s">
        <v>16</v>
      </c>
      <c r="C379" s="7" t="s">
        <v>181</v>
      </c>
      <c r="D379" t="str">
        <f t="shared" si="14"/>
        <v>BEL</v>
      </c>
    </row>
    <row r="380" spans="1:4" ht="15.6" thickTop="1" thickBot="1">
      <c r="A380" s="7"/>
      <c r="B380" s="7" t="s">
        <v>17</v>
      </c>
      <c r="C380" s="7" t="s">
        <v>182</v>
      </c>
      <c r="D380" t="str">
        <f t="shared" si="14"/>
        <v>BEL</v>
      </c>
    </row>
    <row r="381" spans="1:4" ht="15.6" thickTop="1" thickBot="1">
      <c r="A381" s="7"/>
      <c r="B381" s="7" t="s">
        <v>18</v>
      </c>
      <c r="C381" s="7" t="s">
        <v>182</v>
      </c>
      <c r="D381" t="str">
        <f t="shared" si="14"/>
        <v>BEL</v>
      </c>
    </row>
    <row r="382" spans="1:4" ht="15.6" thickTop="1" thickBot="1">
      <c r="A382" s="7"/>
      <c r="B382" s="7" t="s">
        <v>19</v>
      </c>
      <c r="C382" s="7" t="s">
        <v>183</v>
      </c>
      <c r="D382" t="str">
        <f t="shared" si="14"/>
        <v>BEL</v>
      </c>
    </row>
    <row r="383" spans="1:4" ht="15.6" thickTop="1" thickBot="1">
      <c r="A383" s="7"/>
      <c r="B383" s="7" t="s">
        <v>21</v>
      </c>
      <c r="C383" s="7" t="s">
        <v>182</v>
      </c>
      <c r="D383" t="str">
        <f t="shared" si="14"/>
        <v>BEL</v>
      </c>
    </row>
    <row r="384" spans="1:4" ht="15.6" thickTop="1" thickBot="1">
      <c r="A384" s="7"/>
      <c r="B384" s="7" t="s">
        <v>22</v>
      </c>
      <c r="C384" s="7" t="s">
        <v>184</v>
      </c>
      <c r="D384" t="str">
        <f t="shared" si="14"/>
        <v>BEL</v>
      </c>
    </row>
    <row r="385" spans="1:4" ht="15.6" thickTop="1" thickBot="1">
      <c r="A385" s="7"/>
      <c r="B385" s="7" t="s">
        <v>23</v>
      </c>
      <c r="C385" s="7" t="s">
        <v>182</v>
      </c>
      <c r="D385" t="str">
        <f t="shared" si="14"/>
        <v>BEL</v>
      </c>
    </row>
    <row r="386" spans="1:4" ht="15.6" thickTop="1" thickBot="1">
      <c r="A386" s="7"/>
      <c r="B386" s="7" t="s">
        <v>24</v>
      </c>
      <c r="C386" s="7">
        <v>4020</v>
      </c>
      <c r="D386" t="str">
        <f t="shared" ref="D386:D449" si="15">IF(ISNUMBER(FIND(":", A386)), LEFT(A386, FIND(":", A386) - 1), D385)</f>
        <v>BEL</v>
      </c>
    </row>
    <row r="387" spans="1:4" ht="20.399999999999999" thickTop="1" thickBot="1">
      <c r="A387" s="7"/>
      <c r="B387" s="7" t="s">
        <v>28</v>
      </c>
      <c r="C387" s="7" t="s">
        <v>185</v>
      </c>
      <c r="D387" t="str">
        <f t="shared" si="15"/>
        <v>BEL</v>
      </c>
    </row>
    <row r="388" spans="1:4" ht="20.399999999999999" thickTop="1" thickBot="1">
      <c r="A388" s="7"/>
      <c r="B388" s="7" t="s">
        <v>30</v>
      </c>
      <c r="C388" s="7" t="s">
        <v>186</v>
      </c>
      <c r="D388" t="str">
        <f t="shared" si="15"/>
        <v>BEL</v>
      </c>
    </row>
    <row r="389" spans="1:4" ht="20.399999999999999" thickTop="1" thickBot="1">
      <c r="A389" s="7"/>
      <c r="B389" s="7" t="s">
        <v>32</v>
      </c>
      <c r="C389" s="7" t="s">
        <v>33</v>
      </c>
      <c r="D389" t="str">
        <f t="shared" si="15"/>
        <v>BEL</v>
      </c>
    </row>
    <row r="390" spans="1:4" ht="15.6" thickTop="1" thickBot="1">
      <c r="A390" s="9" t="s">
        <v>187</v>
      </c>
      <c r="B390" s="10"/>
      <c r="C390" s="11"/>
      <c r="D390" t="str">
        <f t="shared" si="15"/>
        <v>BLZ</v>
      </c>
    </row>
    <row r="391" spans="1:4" ht="30" thickTop="1" thickBot="1">
      <c r="A391" s="7"/>
      <c r="B391" s="7" t="s">
        <v>25</v>
      </c>
      <c r="C391" s="8">
        <v>22810</v>
      </c>
      <c r="D391" t="str">
        <f t="shared" si="15"/>
        <v>BLZ</v>
      </c>
    </row>
    <row r="392" spans="1:4" ht="49.2" thickTop="1" thickBot="1">
      <c r="A392" s="7"/>
      <c r="B392" s="7" t="s">
        <v>26</v>
      </c>
      <c r="C392" s="7" t="s">
        <v>188</v>
      </c>
      <c r="D392" t="str">
        <f t="shared" si="15"/>
        <v>BLZ</v>
      </c>
    </row>
    <row r="393" spans="1:4" ht="20.399999999999999" thickTop="1" thickBot="1">
      <c r="A393" s="7"/>
      <c r="B393" s="7" t="s">
        <v>1</v>
      </c>
      <c r="C393" s="7" t="s">
        <v>79</v>
      </c>
      <c r="D393" t="str">
        <f t="shared" si="15"/>
        <v>BLZ</v>
      </c>
    </row>
    <row r="394" spans="1:4" ht="30" thickTop="1" thickBot="1">
      <c r="A394" s="7"/>
      <c r="B394" s="7" t="s">
        <v>3</v>
      </c>
      <c r="C394" s="7" t="s">
        <v>36</v>
      </c>
      <c r="D394" t="str">
        <f t="shared" si="15"/>
        <v>BLZ</v>
      </c>
    </row>
    <row r="395" spans="1:4" ht="20.399999999999999" thickTop="1" thickBot="1">
      <c r="A395" s="7"/>
      <c r="B395" s="7" t="s">
        <v>5</v>
      </c>
      <c r="C395" s="7" t="s">
        <v>80</v>
      </c>
      <c r="D395" t="str">
        <f t="shared" si="15"/>
        <v>BLZ</v>
      </c>
    </row>
    <row r="396" spans="1:4" ht="30" thickTop="1" thickBot="1">
      <c r="A396" s="7"/>
      <c r="B396" s="7" t="s">
        <v>7</v>
      </c>
      <c r="C396" s="7" t="s">
        <v>38</v>
      </c>
      <c r="D396" t="str">
        <f t="shared" si="15"/>
        <v>BLZ</v>
      </c>
    </row>
    <row r="397" spans="1:4" ht="49.2" thickTop="1" thickBot="1">
      <c r="A397" s="7"/>
      <c r="B397" s="7" t="s">
        <v>9</v>
      </c>
      <c r="C397" s="7">
        <v>2017</v>
      </c>
      <c r="D397" t="str">
        <f t="shared" si="15"/>
        <v>BLZ</v>
      </c>
    </row>
    <row r="398" spans="1:4" ht="39.6" thickTop="1" thickBot="1">
      <c r="A398" s="7"/>
      <c r="B398" s="7" t="s">
        <v>10</v>
      </c>
      <c r="C398" s="7">
        <v>2018</v>
      </c>
      <c r="D398" t="str">
        <f t="shared" si="15"/>
        <v>BLZ</v>
      </c>
    </row>
    <row r="399" spans="1:4" ht="15.6" thickTop="1" thickBot="1">
      <c r="A399" s="7"/>
      <c r="B399" s="7" t="s">
        <v>11</v>
      </c>
      <c r="C399" s="7" t="s">
        <v>189</v>
      </c>
      <c r="D399" t="str">
        <f t="shared" si="15"/>
        <v>BLZ</v>
      </c>
    </row>
    <row r="400" spans="1:4" ht="15.6" thickTop="1" thickBot="1">
      <c r="A400" s="7"/>
      <c r="B400" s="7" t="s">
        <v>13</v>
      </c>
      <c r="C400" s="7" t="s">
        <v>147</v>
      </c>
      <c r="D400" t="str">
        <f t="shared" si="15"/>
        <v>BLZ</v>
      </c>
    </row>
    <row r="401" spans="1:4" ht="15.6" thickTop="1" thickBot="1">
      <c r="A401" s="7"/>
      <c r="B401" s="7" t="s">
        <v>15</v>
      </c>
      <c r="C401" s="7" t="s">
        <v>190</v>
      </c>
      <c r="D401" t="str">
        <f t="shared" si="15"/>
        <v>BLZ</v>
      </c>
    </row>
    <row r="402" spans="1:4" ht="15.6" thickTop="1" thickBot="1">
      <c r="A402" s="7"/>
      <c r="B402" s="7" t="s">
        <v>16</v>
      </c>
      <c r="C402" s="7" t="s">
        <v>189</v>
      </c>
      <c r="D402" t="str">
        <f t="shared" si="15"/>
        <v>BLZ</v>
      </c>
    </row>
    <row r="403" spans="1:4" ht="15.6" thickTop="1" thickBot="1">
      <c r="A403" s="7"/>
      <c r="B403" s="7" t="s">
        <v>17</v>
      </c>
      <c r="C403" s="7" t="s">
        <v>191</v>
      </c>
      <c r="D403" t="str">
        <f t="shared" si="15"/>
        <v>BLZ</v>
      </c>
    </row>
    <row r="404" spans="1:4" ht="15.6" thickTop="1" thickBot="1">
      <c r="A404" s="7"/>
      <c r="B404" s="7" t="s">
        <v>18</v>
      </c>
      <c r="C404" s="7" t="s">
        <v>191</v>
      </c>
      <c r="D404" t="str">
        <f t="shared" si="15"/>
        <v>BLZ</v>
      </c>
    </row>
    <row r="405" spans="1:4" ht="15.6" thickTop="1" thickBot="1">
      <c r="A405" s="7"/>
      <c r="B405" s="7" t="s">
        <v>19</v>
      </c>
      <c r="C405" s="7" t="s">
        <v>192</v>
      </c>
      <c r="D405" t="str">
        <f t="shared" si="15"/>
        <v>BLZ</v>
      </c>
    </row>
    <row r="406" spans="1:4" ht="15.6" thickTop="1" thickBot="1">
      <c r="A406" s="7"/>
      <c r="B406" s="7" t="s">
        <v>21</v>
      </c>
      <c r="C406" s="7" t="s">
        <v>191</v>
      </c>
      <c r="D406" t="str">
        <f t="shared" si="15"/>
        <v>BLZ</v>
      </c>
    </row>
    <row r="407" spans="1:4" ht="15.6" thickTop="1" thickBot="1">
      <c r="A407" s="7"/>
      <c r="B407" s="7" t="s">
        <v>22</v>
      </c>
      <c r="C407" s="7" t="s">
        <v>147</v>
      </c>
      <c r="D407" t="str">
        <f t="shared" si="15"/>
        <v>BLZ</v>
      </c>
    </row>
    <row r="408" spans="1:4" ht="15.6" thickTop="1" thickBot="1">
      <c r="A408" s="7"/>
      <c r="B408" s="7" t="s">
        <v>23</v>
      </c>
      <c r="C408" s="7" t="s">
        <v>191</v>
      </c>
      <c r="D408" t="str">
        <f t="shared" si="15"/>
        <v>BLZ</v>
      </c>
    </row>
    <row r="409" spans="1:4" ht="15.6" thickTop="1" thickBot="1">
      <c r="A409" s="7"/>
      <c r="B409" s="7" t="s">
        <v>24</v>
      </c>
      <c r="C409" s="7">
        <v>2045</v>
      </c>
      <c r="D409" t="str">
        <f t="shared" si="15"/>
        <v>BLZ</v>
      </c>
    </row>
    <row r="410" spans="1:4" ht="20.399999999999999" thickTop="1" thickBot="1">
      <c r="A410" s="7"/>
      <c r="B410" s="7" t="s">
        <v>28</v>
      </c>
      <c r="C410" s="7" t="s">
        <v>193</v>
      </c>
      <c r="D410" t="str">
        <f t="shared" si="15"/>
        <v>BLZ</v>
      </c>
    </row>
    <row r="411" spans="1:4" ht="20.399999999999999" thickTop="1" thickBot="1">
      <c r="A411" s="7"/>
      <c r="B411" s="7" t="s">
        <v>30</v>
      </c>
      <c r="C411" s="7" t="s">
        <v>194</v>
      </c>
      <c r="D411" t="str">
        <f t="shared" si="15"/>
        <v>BLZ</v>
      </c>
    </row>
    <row r="412" spans="1:4" ht="20.399999999999999" thickTop="1" thickBot="1">
      <c r="A412" s="7"/>
      <c r="B412" s="7" t="s">
        <v>32</v>
      </c>
      <c r="C412" s="7" t="s">
        <v>33</v>
      </c>
      <c r="D412" t="str">
        <f t="shared" si="15"/>
        <v>BLZ</v>
      </c>
    </row>
    <row r="413" spans="1:4" ht="15.6" thickTop="1" thickBot="1">
      <c r="A413" s="9" t="s">
        <v>195</v>
      </c>
      <c r="B413" s="10"/>
      <c r="C413" s="11"/>
      <c r="D413" t="str">
        <f t="shared" si="15"/>
        <v>BEN</v>
      </c>
    </row>
    <row r="414" spans="1:4" ht="30" thickTop="1" thickBot="1">
      <c r="A414" s="7"/>
      <c r="B414" s="7" t="s">
        <v>25</v>
      </c>
      <c r="C414" s="8">
        <v>112760</v>
      </c>
      <c r="D414" t="str">
        <f t="shared" si="15"/>
        <v>BEN</v>
      </c>
    </row>
    <row r="415" spans="1:4" ht="30" thickTop="1" thickBot="1">
      <c r="A415" s="7"/>
      <c r="B415" s="7" t="s">
        <v>26</v>
      </c>
      <c r="C415" s="7" t="s">
        <v>196</v>
      </c>
      <c r="D415" t="str">
        <f t="shared" si="15"/>
        <v>BEN</v>
      </c>
    </row>
    <row r="416" spans="1:4" ht="20.399999999999999" thickTop="1" thickBot="1">
      <c r="A416" s="7"/>
      <c r="B416" s="7" t="s">
        <v>1</v>
      </c>
      <c r="C416" s="7" t="s">
        <v>50</v>
      </c>
      <c r="D416" t="str">
        <f t="shared" si="15"/>
        <v>BEN</v>
      </c>
    </row>
    <row r="417" spans="1:4" ht="30" thickTop="1" thickBot="1">
      <c r="A417" s="7"/>
      <c r="B417" s="7" t="s">
        <v>3</v>
      </c>
      <c r="C417" s="7" t="s">
        <v>4</v>
      </c>
      <c r="D417" t="str">
        <f t="shared" si="15"/>
        <v>BEN</v>
      </c>
    </row>
    <row r="418" spans="1:4" ht="20.399999999999999" thickTop="1" thickBot="1">
      <c r="A418" s="7"/>
      <c r="B418" s="7" t="s">
        <v>5</v>
      </c>
      <c r="C418" s="7" t="s">
        <v>51</v>
      </c>
      <c r="D418" t="str">
        <f t="shared" si="15"/>
        <v>BEN</v>
      </c>
    </row>
    <row r="419" spans="1:4" ht="30" thickTop="1" thickBot="1">
      <c r="A419" s="7"/>
      <c r="B419" s="7" t="s">
        <v>7</v>
      </c>
      <c r="C419" s="7" t="s">
        <v>8</v>
      </c>
      <c r="D419" t="str">
        <f t="shared" si="15"/>
        <v>BEN</v>
      </c>
    </row>
    <row r="420" spans="1:4" ht="49.2" thickTop="1" thickBot="1">
      <c r="A420" s="7"/>
      <c r="B420" s="7" t="s">
        <v>9</v>
      </c>
      <c r="C420" s="7">
        <v>2017</v>
      </c>
      <c r="D420" t="str">
        <f t="shared" si="15"/>
        <v>BEN</v>
      </c>
    </row>
    <row r="421" spans="1:4" ht="39.6" thickTop="1" thickBot="1">
      <c r="A421" s="7"/>
      <c r="B421" s="7" t="s">
        <v>10</v>
      </c>
      <c r="C421" s="7">
        <v>2018</v>
      </c>
      <c r="D421" t="str">
        <f t="shared" si="15"/>
        <v>BEN</v>
      </c>
    </row>
    <row r="422" spans="1:4" ht="15.6" thickTop="1" thickBot="1">
      <c r="A422" s="7"/>
      <c r="B422" s="7" t="s">
        <v>11</v>
      </c>
      <c r="C422" s="7" t="s">
        <v>197</v>
      </c>
      <c r="D422" t="str">
        <f t="shared" si="15"/>
        <v>BEN</v>
      </c>
    </row>
    <row r="423" spans="1:4" ht="15.6" thickTop="1" thickBot="1">
      <c r="A423" s="7"/>
      <c r="B423" s="7" t="s">
        <v>13</v>
      </c>
      <c r="C423" s="7" t="s">
        <v>143</v>
      </c>
      <c r="D423" t="str">
        <f t="shared" si="15"/>
        <v>BEN</v>
      </c>
    </row>
    <row r="424" spans="1:4" ht="15.6" thickTop="1" thickBot="1">
      <c r="A424" s="7"/>
      <c r="B424" s="7" t="s">
        <v>15</v>
      </c>
      <c r="C424" s="7" t="s">
        <v>198</v>
      </c>
      <c r="D424" t="str">
        <f t="shared" si="15"/>
        <v>BEN</v>
      </c>
    </row>
    <row r="425" spans="1:4" ht="15.6" thickTop="1" thickBot="1">
      <c r="A425" s="7"/>
      <c r="B425" s="7" t="s">
        <v>16</v>
      </c>
      <c r="C425" s="7" t="s">
        <v>199</v>
      </c>
      <c r="D425" t="str">
        <f t="shared" si="15"/>
        <v>BEN</v>
      </c>
    </row>
    <row r="426" spans="1:4" ht="15.6" thickTop="1" thickBot="1">
      <c r="A426" s="7"/>
      <c r="B426" s="7" t="s">
        <v>17</v>
      </c>
      <c r="C426" s="7" t="s">
        <v>198</v>
      </c>
      <c r="D426" t="str">
        <f t="shared" si="15"/>
        <v>BEN</v>
      </c>
    </row>
    <row r="427" spans="1:4" ht="15.6" thickTop="1" thickBot="1">
      <c r="A427" s="7"/>
      <c r="B427" s="7" t="s">
        <v>18</v>
      </c>
      <c r="C427" s="7" t="s">
        <v>198</v>
      </c>
      <c r="D427" t="str">
        <f t="shared" si="15"/>
        <v>BEN</v>
      </c>
    </row>
    <row r="428" spans="1:4" ht="15.6" thickTop="1" thickBot="1">
      <c r="A428" s="7"/>
      <c r="B428" s="7" t="s">
        <v>19</v>
      </c>
      <c r="C428" s="7" t="s">
        <v>200</v>
      </c>
      <c r="D428" t="str">
        <f t="shared" si="15"/>
        <v>BEN</v>
      </c>
    </row>
    <row r="429" spans="1:4" ht="15.6" thickTop="1" thickBot="1">
      <c r="A429" s="7"/>
      <c r="B429" s="7" t="s">
        <v>21</v>
      </c>
      <c r="C429" s="7" t="s">
        <v>198</v>
      </c>
      <c r="D429" t="str">
        <f t="shared" si="15"/>
        <v>BEN</v>
      </c>
    </row>
    <row r="430" spans="1:4" ht="15.6" thickTop="1" thickBot="1">
      <c r="A430" s="7"/>
      <c r="B430" s="7" t="s">
        <v>22</v>
      </c>
      <c r="C430" s="7" t="s">
        <v>199</v>
      </c>
      <c r="D430" t="str">
        <f t="shared" si="15"/>
        <v>BEN</v>
      </c>
    </row>
    <row r="431" spans="1:4" ht="20.399999999999999" thickTop="1" thickBot="1">
      <c r="A431" s="7"/>
      <c r="B431" s="7" t="s">
        <v>28</v>
      </c>
      <c r="C431" s="7" t="s">
        <v>201</v>
      </c>
      <c r="D431" t="str">
        <f t="shared" si="15"/>
        <v>BEN</v>
      </c>
    </row>
    <row r="432" spans="1:4" ht="20.399999999999999" thickTop="1" thickBot="1">
      <c r="A432" s="7"/>
      <c r="B432" s="7" t="s">
        <v>30</v>
      </c>
      <c r="C432" s="7" t="s">
        <v>202</v>
      </c>
      <c r="D432" t="str">
        <f t="shared" si="15"/>
        <v>BEN</v>
      </c>
    </row>
    <row r="433" spans="1:4" ht="20.399999999999999" thickTop="1" thickBot="1">
      <c r="A433" s="7"/>
      <c r="B433" s="7" t="s">
        <v>32</v>
      </c>
      <c r="C433" s="7" t="s">
        <v>33</v>
      </c>
      <c r="D433" t="str">
        <f t="shared" si="15"/>
        <v>BEN</v>
      </c>
    </row>
    <row r="434" spans="1:4" ht="15.6" thickTop="1" thickBot="1">
      <c r="A434" s="7"/>
      <c r="B434" s="7" t="s">
        <v>23</v>
      </c>
      <c r="C434" s="7" t="s">
        <v>198</v>
      </c>
      <c r="D434" t="str">
        <f t="shared" si="15"/>
        <v>BEN</v>
      </c>
    </row>
    <row r="435" spans="1:4" ht="15.6" thickTop="1" thickBot="1">
      <c r="A435" s="7"/>
      <c r="B435" s="7" t="s">
        <v>24</v>
      </c>
      <c r="C435" s="7">
        <v>1025</v>
      </c>
      <c r="D435" t="str">
        <f t="shared" si="15"/>
        <v>BEN</v>
      </c>
    </row>
    <row r="436" spans="1:4" ht="15.6" thickTop="1" thickBot="1">
      <c r="A436" s="9" t="s">
        <v>203</v>
      </c>
      <c r="B436" s="10"/>
      <c r="C436" s="11"/>
      <c r="D436" t="str">
        <f t="shared" si="15"/>
        <v>BTN</v>
      </c>
    </row>
    <row r="437" spans="1:4" ht="30" thickTop="1" thickBot="1">
      <c r="A437" s="7"/>
      <c r="B437" s="7" t="s">
        <v>25</v>
      </c>
      <c r="C437" s="8">
        <v>38394</v>
      </c>
      <c r="D437" t="str">
        <f t="shared" si="15"/>
        <v>BTN</v>
      </c>
    </row>
    <row r="438" spans="1:4" ht="39.6" thickTop="1" thickBot="1">
      <c r="A438" s="7"/>
      <c r="B438" s="7" t="s">
        <v>26</v>
      </c>
      <c r="C438" s="7" t="s">
        <v>204</v>
      </c>
      <c r="D438" t="str">
        <f t="shared" si="15"/>
        <v>BTN</v>
      </c>
    </row>
    <row r="439" spans="1:4" ht="20.399999999999999" thickTop="1" thickBot="1">
      <c r="A439" s="7"/>
      <c r="B439" s="7" t="s">
        <v>1</v>
      </c>
      <c r="C439" s="7" t="s">
        <v>152</v>
      </c>
      <c r="D439" t="str">
        <f t="shared" si="15"/>
        <v>BTN</v>
      </c>
    </row>
    <row r="440" spans="1:4" ht="30" thickTop="1" thickBot="1">
      <c r="A440" s="7"/>
      <c r="B440" s="7" t="s">
        <v>3</v>
      </c>
      <c r="C440" s="7" t="s">
        <v>69</v>
      </c>
      <c r="D440" t="str">
        <f t="shared" si="15"/>
        <v>BTN</v>
      </c>
    </row>
    <row r="441" spans="1:4" ht="20.399999999999999" thickTop="1" thickBot="1">
      <c r="A441" s="7"/>
      <c r="B441" s="7" t="s">
        <v>5</v>
      </c>
      <c r="C441" s="7" t="s">
        <v>153</v>
      </c>
      <c r="D441" t="str">
        <f t="shared" si="15"/>
        <v>BTN</v>
      </c>
    </row>
    <row r="442" spans="1:4" ht="30" thickTop="1" thickBot="1">
      <c r="A442" s="7"/>
      <c r="B442" s="7" t="s">
        <v>7</v>
      </c>
      <c r="C442" s="7" t="s">
        <v>70</v>
      </c>
      <c r="D442" t="str">
        <f t="shared" si="15"/>
        <v>BTN</v>
      </c>
    </row>
    <row r="443" spans="1:4" ht="49.2" thickTop="1" thickBot="1">
      <c r="A443" s="7"/>
      <c r="B443" s="7" t="s">
        <v>9</v>
      </c>
      <c r="C443" s="7">
        <v>2017</v>
      </c>
      <c r="D443" t="str">
        <f t="shared" si="15"/>
        <v>BTN</v>
      </c>
    </row>
    <row r="444" spans="1:4" ht="39.6" thickTop="1" thickBot="1">
      <c r="A444" s="7"/>
      <c r="B444" s="7" t="s">
        <v>10</v>
      </c>
      <c r="C444" s="7">
        <v>2018</v>
      </c>
      <c r="D444" t="str">
        <f t="shared" si="15"/>
        <v>BTN</v>
      </c>
    </row>
    <row r="445" spans="1:4" ht="20.399999999999999" thickTop="1" thickBot="1">
      <c r="A445" s="7"/>
      <c r="B445" s="7" t="s">
        <v>28</v>
      </c>
      <c r="C445" s="7" t="s">
        <v>205</v>
      </c>
      <c r="D445" t="str">
        <f t="shared" si="15"/>
        <v>BTN</v>
      </c>
    </row>
    <row r="446" spans="1:4" ht="20.399999999999999" thickTop="1" thickBot="1">
      <c r="A446" s="7"/>
      <c r="B446" s="7" t="s">
        <v>30</v>
      </c>
      <c r="C446" s="7" t="s">
        <v>206</v>
      </c>
      <c r="D446" t="str">
        <f t="shared" si="15"/>
        <v>BTN</v>
      </c>
    </row>
    <row r="447" spans="1:4" ht="20.399999999999999" thickTop="1" thickBot="1">
      <c r="A447" s="7"/>
      <c r="B447" s="7" t="s">
        <v>32</v>
      </c>
      <c r="C447" s="7" t="s">
        <v>33</v>
      </c>
      <c r="D447" t="str">
        <f t="shared" si="15"/>
        <v>BTN</v>
      </c>
    </row>
    <row r="448" spans="1:4" ht="15.6" thickTop="1" thickBot="1">
      <c r="A448" s="7"/>
      <c r="B448" s="7" t="s">
        <v>13</v>
      </c>
      <c r="C448" s="7" t="s">
        <v>207</v>
      </c>
      <c r="D448" t="str">
        <f t="shared" si="15"/>
        <v>BTN</v>
      </c>
    </row>
    <row r="449" spans="1:4" ht="15.6" thickTop="1" thickBot="1">
      <c r="A449" s="7"/>
      <c r="B449" s="7" t="s">
        <v>15</v>
      </c>
      <c r="C449" s="7" t="s">
        <v>208</v>
      </c>
      <c r="D449" t="str">
        <f t="shared" si="15"/>
        <v>BTN</v>
      </c>
    </row>
    <row r="450" spans="1:4" ht="15.6" thickTop="1" thickBot="1">
      <c r="A450" s="7"/>
      <c r="B450" s="7" t="s">
        <v>23</v>
      </c>
      <c r="C450" s="7" t="s">
        <v>209</v>
      </c>
      <c r="D450" t="str">
        <f t="shared" ref="D450:D513" si="16">IF(ISNUMBER(FIND(":", A450)), LEFT(A450, FIND(":", A450) - 1), D449)</f>
        <v>BTN</v>
      </c>
    </row>
    <row r="451" spans="1:4" ht="15.6" thickTop="1" thickBot="1">
      <c r="A451" s="7"/>
      <c r="B451" s="7" t="s">
        <v>24</v>
      </c>
      <c r="C451" s="7">
        <v>3027</v>
      </c>
      <c r="D451" t="str">
        <f t="shared" si="16"/>
        <v>BTN</v>
      </c>
    </row>
    <row r="452" spans="1:4" ht="15.6" thickTop="1" thickBot="1">
      <c r="A452" s="7"/>
      <c r="B452" s="7" t="s">
        <v>18</v>
      </c>
      <c r="C452" s="7" t="s">
        <v>209</v>
      </c>
      <c r="D452" t="str">
        <f t="shared" si="16"/>
        <v>BTN</v>
      </c>
    </row>
    <row r="453" spans="1:4" ht="15.6" thickTop="1" thickBot="1">
      <c r="A453" s="7"/>
      <c r="B453" s="7" t="s">
        <v>19</v>
      </c>
      <c r="C453" s="7" t="s">
        <v>210</v>
      </c>
      <c r="D453" t="str">
        <f t="shared" si="16"/>
        <v>BTN</v>
      </c>
    </row>
    <row r="454" spans="1:4" ht="15.6" thickTop="1" thickBot="1">
      <c r="A454" s="7"/>
      <c r="B454" s="7" t="s">
        <v>21</v>
      </c>
      <c r="C454" s="7" t="s">
        <v>208</v>
      </c>
      <c r="D454" t="str">
        <f t="shared" si="16"/>
        <v>BTN</v>
      </c>
    </row>
    <row r="455" spans="1:4" ht="15.6" thickTop="1" thickBot="1">
      <c r="A455" s="7"/>
      <c r="B455" s="7" t="s">
        <v>16</v>
      </c>
      <c r="C455" s="7" t="s">
        <v>207</v>
      </c>
      <c r="D455" t="str">
        <f t="shared" si="16"/>
        <v>BTN</v>
      </c>
    </row>
    <row r="456" spans="1:4" ht="15.6" thickTop="1" thickBot="1">
      <c r="A456" s="7"/>
      <c r="B456" s="7" t="s">
        <v>17</v>
      </c>
      <c r="C456" s="7" t="s">
        <v>209</v>
      </c>
      <c r="D456" t="str">
        <f t="shared" si="16"/>
        <v>BTN</v>
      </c>
    </row>
    <row r="457" spans="1:4" ht="30" thickTop="1" thickBot="1">
      <c r="A457" s="9" t="s">
        <v>211</v>
      </c>
      <c r="B457" s="10"/>
      <c r="C457" s="11"/>
      <c r="D457" t="str">
        <f t="shared" si="16"/>
        <v>BOL</v>
      </c>
    </row>
    <row r="458" spans="1:4" ht="30" thickTop="1" thickBot="1">
      <c r="A458" s="7"/>
      <c r="B458" s="7" t="s">
        <v>25</v>
      </c>
      <c r="C458" s="8">
        <v>1083300</v>
      </c>
      <c r="D458" t="str">
        <f t="shared" si="16"/>
        <v>BOL</v>
      </c>
    </row>
    <row r="459" spans="1:4" ht="30" thickTop="1" thickBot="1">
      <c r="A459" s="7"/>
      <c r="B459" s="7" t="s">
        <v>26</v>
      </c>
      <c r="C459" s="7" t="s">
        <v>212</v>
      </c>
      <c r="D459" t="str">
        <f t="shared" si="16"/>
        <v>BOL</v>
      </c>
    </row>
    <row r="460" spans="1:4" ht="20.399999999999999" thickTop="1" thickBot="1">
      <c r="A460" s="7"/>
      <c r="B460" s="7" t="s">
        <v>1</v>
      </c>
      <c r="C460" s="7" t="s">
        <v>79</v>
      </c>
      <c r="D460" t="str">
        <f t="shared" si="16"/>
        <v>BOL</v>
      </c>
    </row>
    <row r="461" spans="1:4" ht="30" thickTop="1" thickBot="1">
      <c r="A461" s="7"/>
      <c r="B461" s="7" t="s">
        <v>3</v>
      </c>
      <c r="C461" s="7" t="s">
        <v>69</v>
      </c>
      <c r="D461" t="str">
        <f t="shared" si="16"/>
        <v>BOL</v>
      </c>
    </row>
    <row r="462" spans="1:4" ht="20.399999999999999" thickTop="1" thickBot="1">
      <c r="A462" s="7"/>
      <c r="B462" s="7" t="s">
        <v>5</v>
      </c>
      <c r="C462" s="7" t="s">
        <v>80</v>
      </c>
      <c r="D462" t="str">
        <f t="shared" si="16"/>
        <v>BOL</v>
      </c>
    </row>
    <row r="463" spans="1:4" ht="30" thickTop="1" thickBot="1">
      <c r="A463" s="7"/>
      <c r="B463" s="7" t="s">
        <v>7</v>
      </c>
      <c r="C463" s="7" t="s">
        <v>70</v>
      </c>
      <c r="D463" t="str">
        <f t="shared" si="16"/>
        <v>BOL</v>
      </c>
    </row>
    <row r="464" spans="1:4" ht="49.2" thickTop="1" thickBot="1">
      <c r="A464" s="7"/>
      <c r="B464" s="7" t="s">
        <v>9</v>
      </c>
      <c r="C464" s="7">
        <v>2017</v>
      </c>
      <c r="D464" t="str">
        <f t="shared" si="16"/>
        <v>BOL</v>
      </c>
    </row>
    <row r="465" spans="1:4" ht="39.6" thickTop="1" thickBot="1">
      <c r="A465" s="7"/>
      <c r="B465" s="7" t="s">
        <v>10</v>
      </c>
      <c r="C465" s="7">
        <v>2018</v>
      </c>
      <c r="D465" t="str">
        <f t="shared" si="16"/>
        <v>BOL</v>
      </c>
    </row>
    <row r="466" spans="1:4" ht="39.6" thickTop="1" thickBot="1">
      <c r="A466" s="7"/>
      <c r="B466" s="7" t="s">
        <v>28</v>
      </c>
      <c r="C466" s="7" t="s">
        <v>213</v>
      </c>
      <c r="D466" t="str">
        <f t="shared" si="16"/>
        <v>BOL</v>
      </c>
    </row>
    <row r="467" spans="1:4" ht="30" thickTop="1" thickBot="1">
      <c r="A467" s="7"/>
      <c r="B467" s="7" t="s">
        <v>30</v>
      </c>
      <c r="C467" s="7" t="s">
        <v>214</v>
      </c>
      <c r="D467" t="str">
        <f t="shared" si="16"/>
        <v>BOL</v>
      </c>
    </row>
    <row r="468" spans="1:4" ht="20.399999999999999" thickTop="1" thickBot="1">
      <c r="A468" s="7"/>
      <c r="B468" s="7" t="s">
        <v>32</v>
      </c>
      <c r="C468" s="7" t="s">
        <v>33</v>
      </c>
      <c r="D468" t="str">
        <f t="shared" si="16"/>
        <v>BOL</v>
      </c>
    </row>
    <row r="469" spans="1:4" ht="15.6" thickTop="1" thickBot="1">
      <c r="A469" s="7"/>
      <c r="B469" s="7" t="s">
        <v>11</v>
      </c>
      <c r="C469" s="7" t="s">
        <v>215</v>
      </c>
      <c r="D469" t="str">
        <f t="shared" si="16"/>
        <v>BOL</v>
      </c>
    </row>
    <row r="470" spans="1:4" ht="15.6" thickTop="1" thickBot="1">
      <c r="A470" s="7"/>
      <c r="B470" s="7" t="s">
        <v>13</v>
      </c>
      <c r="C470" s="7" t="s">
        <v>216</v>
      </c>
      <c r="D470" t="str">
        <f t="shared" si="16"/>
        <v>BOL</v>
      </c>
    </row>
    <row r="471" spans="1:4" ht="15.6" thickTop="1" thickBot="1">
      <c r="A471" s="7"/>
      <c r="B471" s="7" t="s">
        <v>15</v>
      </c>
      <c r="C471" s="7" t="s">
        <v>215</v>
      </c>
      <c r="D471" t="str">
        <f t="shared" si="16"/>
        <v>BOL</v>
      </c>
    </row>
    <row r="472" spans="1:4" ht="15.6" thickTop="1" thickBot="1">
      <c r="A472" s="7"/>
      <c r="B472" s="7" t="s">
        <v>16</v>
      </c>
      <c r="C472" s="7" t="s">
        <v>173</v>
      </c>
      <c r="D472" t="str">
        <f t="shared" si="16"/>
        <v>BOL</v>
      </c>
    </row>
    <row r="473" spans="1:4" ht="15.6" thickTop="1" thickBot="1">
      <c r="A473" s="7"/>
      <c r="B473" s="7" t="s">
        <v>17</v>
      </c>
      <c r="C473" s="7" t="s">
        <v>215</v>
      </c>
      <c r="D473" t="str">
        <f t="shared" si="16"/>
        <v>BOL</v>
      </c>
    </row>
    <row r="474" spans="1:4" ht="15.6" thickTop="1" thickBot="1">
      <c r="A474" s="7"/>
      <c r="B474" s="7" t="s">
        <v>18</v>
      </c>
      <c r="C474" s="7" t="s">
        <v>215</v>
      </c>
      <c r="D474" t="str">
        <f t="shared" si="16"/>
        <v>BOL</v>
      </c>
    </row>
    <row r="475" spans="1:4" ht="15.6" thickTop="1" thickBot="1">
      <c r="A475" s="7"/>
      <c r="B475" s="7" t="s">
        <v>19</v>
      </c>
      <c r="C475" s="7" t="s">
        <v>217</v>
      </c>
      <c r="D475" t="str">
        <f t="shared" si="16"/>
        <v>BOL</v>
      </c>
    </row>
    <row r="476" spans="1:4" ht="15.6" thickTop="1" thickBot="1">
      <c r="A476" s="7"/>
      <c r="B476" s="7" t="s">
        <v>21</v>
      </c>
      <c r="C476" s="7" t="s">
        <v>215</v>
      </c>
      <c r="D476" t="str">
        <f t="shared" si="16"/>
        <v>BOL</v>
      </c>
    </row>
    <row r="477" spans="1:4" ht="15.6" thickTop="1" thickBot="1">
      <c r="A477" s="7"/>
      <c r="B477" s="7" t="s">
        <v>22</v>
      </c>
      <c r="C477" s="7" t="s">
        <v>173</v>
      </c>
      <c r="D477" t="str">
        <f t="shared" si="16"/>
        <v>BOL</v>
      </c>
    </row>
    <row r="478" spans="1:4" ht="15.6" thickTop="1" thickBot="1">
      <c r="A478" s="7"/>
      <c r="B478" s="7" t="s">
        <v>23</v>
      </c>
      <c r="C478" s="7" t="s">
        <v>215</v>
      </c>
      <c r="D478" t="str">
        <f t="shared" si="16"/>
        <v>BOL</v>
      </c>
    </row>
    <row r="479" spans="1:4" ht="15.6" thickTop="1" thickBot="1">
      <c r="A479" s="7"/>
      <c r="B479" s="7" t="s">
        <v>24</v>
      </c>
      <c r="C479" s="7">
        <v>2060</v>
      </c>
      <c r="D479" t="str">
        <f t="shared" si="16"/>
        <v>BOL</v>
      </c>
    </row>
    <row r="480" spans="1:4" ht="30" thickTop="1" thickBot="1">
      <c r="A480" s="9" t="s">
        <v>218</v>
      </c>
      <c r="B480" s="10"/>
      <c r="C480" s="11"/>
      <c r="D480" t="str">
        <f t="shared" si="16"/>
        <v>BIH</v>
      </c>
    </row>
    <row r="481" spans="1:4" ht="30" thickTop="1" thickBot="1">
      <c r="A481" s="7"/>
      <c r="B481" s="7" t="s">
        <v>25</v>
      </c>
      <c r="C481" s="8">
        <v>51000</v>
      </c>
      <c r="D481" t="str">
        <f t="shared" si="16"/>
        <v>BIH</v>
      </c>
    </row>
    <row r="482" spans="1:4" ht="30" thickTop="1" thickBot="1">
      <c r="A482" s="7"/>
      <c r="B482" s="7" t="s">
        <v>26</v>
      </c>
      <c r="C482" s="7" t="s">
        <v>219</v>
      </c>
      <c r="D482" t="str">
        <f t="shared" si="16"/>
        <v>BIH</v>
      </c>
    </row>
    <row r="483" spans="1:4" ht="20.399999999999999" thickTop="1" thickBot="1">
      <c r="A483" s="7"/>
      <c r="B483" s="7" t="s">
        <v>1</v>
      </c>
      <c r="C483" s="7" t="s">
        <v>35</v>
      </c>
      <c r="D483" t="str">
        <f t="shared" si="16"/>
        <v>BIH</v>
      </c>
    </row>
    <row r="484" spans="1:4" ht="30" thickTop="1" thickBot="1">
      <c r="A484" s="7"/>
      <c r="B484" s="7" t="s">
        <v>3</v>
      </c>
      <c r="C484" s="7" t="s">
        <v>36</v>
      </c>
      <c r="D484" t="str">
        <f t="shared" si="16"/>
        <v>BIH</v>
      </c>
    </row>
    <row r="485" spans="1:4" ht="20.399999999999999" thickTop="1" thickBot="1">
      <c r="A485" s="7"/>
      <c r="B485" s="7" t="s">
        <v>5</v>
      </c>
      <c r="C485" s="7" t="s">
        <v>37</v>
      </c>
      <c r="D485" t="str">
        <f t="shared" si="16"/>
        <v>BIH</v>
      </c>
    </row>
    <row r="486" spans="1:4" ht="30" thickTop="1" thickBot="1">
      <c r="A486" s="7"/>
      <c r="B486" s="7" t="s">
        <v>7</v>
      </c>
      <c r="C486" s="7" t="s">
        <v>38</v>
      </c>
      <c r="D486" t="str">
        <f t="shared" si="16"/>
        <v>BIH</v>
      </c>
    </row>
    <row r="487" spans="1:4" ht="49.2" thickTop="1" thickBot="1">
      <c r="A487" s="7"/>
      <c r="B487" s="7" t="s">
        <v>9</v>
      </c>
      <c r="C487" s="7">
        <v>2017</v>
      </c>
      <c r="D487" t="str">
        <f t="shared" si="16"/>
        <v>BIH</v>
      </c>
    </row>
    <row r="488" spans="1:4" ht="39.6" thickTop="1" thickBot="1">
      <c r="A488" s="7"/>
      <c r="B488" s="7" t="s">
        <v>10</v>
      </c>
      <c r="C488" s="7">
        <v>2018</v>
      </c>
      <c r="D488" t="str">
        <f t="shared" si="16"/>
        <v>BIH</v>
      </c>
    </row>
    <row r="489" spans="1:4" ht="20.399999999999999" thickTop="1" thickBot="1">
      <c r="A489" s="7"/>
      <c r="B489" s="7" t="s">
        <v>28</v>
      </c>
      <c r="C489" s="7" t="s">
        <v>220</v>
      </c>
      <c r="D489" t="str">
        <f t="shared" si="16"/>
        <v>BIH</v>
      </c>
    </row>
    <row r="490" spans="1:4" ht="20.399999999999999" thickTop="1" thickBot="1">
      <c r="A490" s="7"/>
      <c r="B490" s="7" t="s">
        <v>30</v>
      </c>
      <c r="C490" s="7" t="s">
        <v>221</v>
      </c>
      <c r="D490" t="str">
        <f t="shared" si="16"/>
        <v>BIH</v>
      </c>
    </row>
    <row r="491" spans="1:4" ht="20.399999999999999" thickTop="1" thickBot="1">
      <c r="A491" s="7"/>
      <c r="B491" s="7" t="s">
        <v>32</v>
      </c>
      <c r="C491" s="7" t="s">
        <v>33</v>
      </c>
      <c r="D491" t="str">
        <f t="shared" si="16"/>
        <v>BIH</v>
      </c>
    </row>
    <row r="492" spans="1:4" ht="15.6" thickTop="1" thickBot="1">
      <c r="A492" s="7"/>
      <c r="B492" s="7" t="s">
        <v>11</v>
      </c>
      <c r="C492" s="7" t="s">
        <v>222</v>
      </c>
      <c r="D492" t="str">
        <f t="shared" si="16"/>
        <v>BIH</v>
      </c>
    </row>
    <row r="493" spans="1:4" ht="15.6" thickTop="1" thickBot="1">
      <c r="A493" s="7"/>
      <c r="B493" s="7" t="s">
        <v>13</v>
      </c>
      <c r="C493" s="7" t="s">
        <v>223</v>
      </c>
      <c r="D493" t="str">
        <f t="shared" si="16"/>
        <v>BIH</v>
      </c>
    </row>
    <row r="494" spans="1:4" ht="15.6" thickTop="1" thickBot="1">
      <c r="A494" s="7"/>
      <c r="B494" s="7" t="s">
        <v>15</v>
      </c>
      <c r="C494" s="7" t="s">
        <v>222</v>
      </c>
      <c r="D494" t="str">
        <f t="shared" si="16"/>
        <v>BIH</v>
      </c>
    </row>
    <row r="495" spans="1:4" ht="15.6" thickTop="1" thickBot="1">
      <c r="A495" s="7"/>
      <c r="B495" s="7" t="s">
        <v>22</v>
      </c>
      <c r="C495" s="7" t="s">
        <v>155</v>
      </c>
      <c r="D495" t="str">
        <f t="shared" si="16"/>
        <v>BIH</v>
      </c>
    </row>
    <row r="496" spans="1:4" ht="15.6" thickTop="1" thickBot="1">
      <c r="A496" s="7"/>
      <c r="B496" s="7" t="s">
        <v>23</v>
      </c>
      <c r="C496" s="7" t="s">
        <v>222</v>
      </c>
      <c r="D496" t="str">
        <f t="shared" si="16"/>
        <v>BIH</v>
      </c>
    </row>
    <row r="497" spans="1:4" ht="15.6" thickTop="1" thickBot="1">
      <c r="A497" s="7"/>
      <c r="B497" s="7" t="s">
        <v>24</v>
      </c>
      <c r="C497" s="7">
        <v>4025</v>
      </c>
      <c r="D497" t="str">
        <f t="shared" si="16"/>
        <v>BIH</v>
      </c>
    </row>
    <row r="498" spans="1:4" ht="15.6" thickTop="1" thickBot="1">
      <c r="A498" s="7"/>
      <c r="B498" s="7" t="s">
        <v>18</v>
      </c>
      <c r="C498" s="7" t="s">
        <v>222</v>
      </c>
      <c r="D498" t="str">
        <f t="shared" si="16"/>
        <v>BIH</v>
      </c>
    </row>
    <row r="499" spans="1:4" ht="15.6" thickTop="1" thickBot="1">
      <c r="A499" s="7"/>
      <c r="B499" s="7" t="s">
        <v>19</v>
      </c>
      <c r="C499" s="7" t="s">
        <v>224</v>
      </c>
      <c r="D499" t="str">
        <f t="shared" si="16"/>
        <v>BIH</v>
      </c>
    </row>
    <row r="500" spans="1:4" ht="15.6" thickTop="1" thickBot="1">
      <c r="A500" s="7"/>
      <c r="B500" s="7" t="s">
        <v>21</v>
      </c>
      <c r="C500" s="7" t="s">
        <v>222</v>
      </c>
      <c r="D500" t="str">
        <f t="shared" si="16"/>
        <v>BIH</v>
      </c>
    </row>
    <row r="501" spans="1:4" ht="15.6" thickTop="1" thickBot="1">
      <c r="A501" s="7"/>
      <c r="B501" s="7" t="s">
        <v>16</v>
      </c>
      <c r="C501" s="7" t="s">
        <v>138</v>
      </c>
      <c r="D501" t="str">
        <f t="shared" si="16"/>
        <v>BIH</v>
      </c>
    </row>
    <row r="502" spans="1:4" ht="15.6" thickTop="1" thickBot="1">
      <c r="A502" s="7"/>
      <c r="B502" s="7" t="s">
        <v>17</v>
      </c>
      <c r="C502" s="7" t="s">
        <v>222</v>
      </c>
      <c r="D502" t="str">
        <f t="shared" si="16"/>
        <v>BIH</v>
      </c>
    </row>
    <row r="503" spans="1:4" ht="20.399999999999999" thickTop="1" thickBot="1">
      <c r="A503" s="9" t="s">
        <v>225</v>
      </c>
      <c r="B503" s="10"/>
      <c r="C503" s="11"/>
      <c r="D503" t="str">
        <f t="shared" si="16"/>
        <v>BWA</v>
      </c>
    </row>
    <row r="504" spans="1:4" ht="30" thickTop="1" thickBot="1">
      <c r="A504" s="7"/>
      <c r="B504" s="7" t="s">
        <v>25</v>
      </c>
      <c r="C504" s="8">
        <v>566730</v>
      </c>
      <c r="D504" t="str">
        <f t="shared" si="16"/>
        <v>BWA</v>
      </c>
    </row>
    <row r="505" spans="1:4" ht="30" thickTop="1" thickBot="1">
      <c r="A505" s="7"/>
      <c r="B505" s="7" t="s">
        <v>26</v>
      </c>
      <c r="C505" s="7" t="s">
        <v>226</v>
      </c>
      <c r="D505" t="str">
        <f t="shared" si="16"/>
        <v>BWA</v>
      </c>
    </row>
    <row r="506" spans="1:4" ht="20.399999999999999" thickTop="1" thickBot="1">
      <c r="A506" s="7"/>
      <c r="B506" s="7" t="s">
        <v>1</v>
      </c>
      <c r="C506" s="7" t="s">
        <v>50</v>
      </c>
      <c r="D506" t="str">
        <f t="shared" si="16"/>
        <v>BWA</v>
      </c>
    </row>
    <row r="507" spans="1:4" ht="30" thickTop="1" thickBot="1">
      <c r="A507" s="7"/>
      <c r="B507" s="7" t="s">
        <v>3</v>
      </c>
      <c r="C507" s="7" t="s">
        <v>36</v>
      </c>
      <c r="D507" t="str">
        <f t="shared" si="16"/>
        <v>BWA</v>
      </c>
    </row>
    <row r="508" spans="1:4" ht="20.399999999999999" thickTop="1" thickBot="1">
      <c r="A508" s="7"/>
      <c r="B508" s="7" t="s">
        <v>5</v>
      </c>
      <c r="C508" s="7" t="s">
        <v>51</v>
      </c>
      <c r="D508" t="str">
        <f t="shared" si="16"/>
        <v>BWA</v>
      </c>
    </row>
    <row r="509" spans="1:4" ht="30" thickTop="1" thickBot="1">
      <c r="A509" s="7"/>
      <c r="B509" s="7" t="s">
        <v>7</v>
      </c>
      <c r="C509" s="7" t="s">
        <v>38</v>
      </c>
      <c r="D509" t="str">
        <f t="shared" si="16"/>
        <v>BWA</v>
      </c>
    </row>
    <row r="510" spans="1:4" ht="49.2" thickTop="1" thickBot="1">
      <c r="A510" s="7"/>
      <c r="B510" s="7" t="s">
        <v>9</v>
      </c>
      <c r="C510" s="7">
        <v>2017</v>
      </c>
      <c r="D510" t="str">
        <f t="shared" si="16"/>
        <v>BWA</v>
      </c>
    </row>
    <row r="511" spans="1:4" ht="39.6" thickTop="1" thickBot="1">
      <c r="A511" s="7"/>
      <c r="B511" s="7" t="s">
        <v>10</v>
      </c>
      <c r="C511" s="7">
        <v>2018</v>
      </c>
      <c r="D511" t="str">
        <f t="shared" si="16"/>
        <v>BWA</v>
      </c>
    </row>
    <row r="512" spans="1:4" ht="20.399999999999999" thickTop="1" thickBot="1">
      <c r="A512" s="7"/>
      <c r="B512" s="7" t="s">
        <v>28</v>
      </c>
      <c r="C512" s="7" t="s">
        <v>227</v>
      </c>
      <c r="D512" t="str">
        <f t="shared" si="16"/>
        <v>BWA</v>
      </c>
    </row>
    <row r="513" spans="1:4" ht="20.399999999999999" thickTop="1" thickBot="1">
      <c r="A513" s="7"/>
      <c r="B513" s="7" t="s">
        <v>30</v>
      </c>
      <c r="C513" s="7" t="s">
        <v>227</v>
      </c>
      <c r="D513" t="str">
        <f t="shared" si="16"/>
        <v>BWA</v>
      </c>
    </row>
    <row r="514" spans="1:4" ht="20.399999999999999" thickTop="1" thickBot="1">
      <c r="A514" s="7"/>
      <c r="B514" s="7" t="s">
        <v>32</v>
      </c>
      <c r="C514" s="7" t="s">
        <v>33</v>
      </c>
      <c r="D514" t="str">
        <f t="shared" ref="D514:D577" si="17">IF(ISNUMBER(FIND(":", A514)), LEFT(A514, FIND(":", A514) - 1), D513)</f>
        <v>BWA</v>
      </c>
    </row>
    <row r="515" spans="1:4" ht="15.6" thickTop="1" thickBot="1">
      <c r="A515" s="7"/>
      <c r="B515" s="7" t="s">
        <v>11</v>
      </c>
      <c r="C515" s="7" t="s">
        <v>159</v>
      </c>
      <c r="D515" t="str">
        <f t="shared" si="17"/>
        <v>BWA</v>
      </c>
    </row>
    <row r="516" spans="1:4" ht="15.6" thickTop="1" thickBot="1">
      <c r="A516" s="7"/>
      <c r="B516" s="7" t="s">
        <v>13</v>
      </c>
      <c r="C516" s="7" t="s">
        <v>228</v>
      </c>
      <c r="D516" t="str">
        <f t="shared" si="17"/>
        <v>BWA</v>
      </c>
    </row>
    <row r="517" spans="1:4" ht="15.6" thickTop="1" thickBot="1">
      <c r="A517" s="7"/>
      <c r="B517" s="7" t="s">
        <v>15</v>
      </c>
      <c r="C517" s="7" t="s">
        <v>229</v>
      </c>
      <c r="D517" t="str">
        <f t="shared" si="17"/>
        <v>BWA</v>
      </c>
    </row>
    <row r="518" spans="1:4" ht="15.6" thickTop="1" thickBot="1">
      <c r="A518" s="7"/>
      <c r="B518" s="7" t="s">
        <v>22</v>
      </c>
      <c r="C518" s="7" t="s">
        <v>228</v>
      </c>
      <c r="D518" t="str">
        <f t="shared" si="17"/>
        <v>BWA</v>
      </c>
    </row>
    <row r="519" spans="1:4" ht="15.6" thickTop="1" thickBot="1">
      <c r="A519" s="7"/>
      <c r="B519" s="7" t="s">
        <v>23</v>
      </c>
      <c r="C519" s="7" t="s">
        <v>230</v>
      </c>
      <c r="D519" t="str">
        <f t="shared" si="17"/>
        <v>BWA</v>
      </c>
    </row>
    <row r="520" spans="1:4" ht="15.6" thickTop="1" thickBot="1">
      <c r="A520" s="7"/>
      <c r="B520" s="7" t="s">
        <v>24</v>
      </c>
      <c r="C520" s="7">
        <v>1030</v>
      </c>
      <c r="D520" t="str">
        <f t="shared" si="17"/>
        <v>BWA</v>
      </c>
    </row>
    <row r="521" spans="1:4" ht="15.6" thickTop="1" thickBot="1">
      <c r="A521" s="7"/>
      <c r="B521" s="7" t="s">
        <v>18</v>
      </c>
      <c r="C521" s="7" t="s">
        <v>229</v>
      </c>
      <c r="D521" t="str">
        <f t="shared" si="17"/>
        <v>BWA</v>
      </c>
    </row>
    <row r="522" spans="1:4" ht="15.6" thickTop="1" thickBot="1">
      <c r="A522" s="7"/>
      <c r="B522" s="7" t="s">
        <v>19</v>
      </c>
      <c r="C522" s="7" t="s">
        <v>231</v>
      </c>
      <c r="D522" t="str">
        <f t="shared" si="17"/>
        <v>BWA</v>
      </c>
    </row>
    <row r="523" spans="1:4" ht="15.6" thickTop="1" thickBot="1">
      <c r="A523" s="7"/>
      <c r="B523" s="7" t="s">
        <v>21</v>
      </c>
      <c r="C523" s="7" t="s">
        <v>229</v>
      </c>
      <c r="D523" t="str">
        <f t="shared" si="17"/>
        <v>BWA</v>
      </c>
    </row>
    <row r="524" spans="1:4" ht="15.6" thickTop="1" thickBot="1">
      <c r="A524" s="7"/>
      <c r="B524" s="7" t="s">
        <v>16</v>
      </c>
      <c r="C524" s="7" t="s">
        <v>159</v>
      </c>
      <c r="D524" t="str">
        <f t="shared" si="17"/>
        <v>BWA</v>
      </c>
    </row>
    <row r="525" spans="1:4" ht="15.6" thickTop="1" thickBot="1">
      <c r="A525" s="7"/>
      <c r="B525" s="7" t="s">
        <v>17</v>
      </c>
      <c r="C525" s="7" t="s">
        <v>230</v>
      </c>
      <c r="D525" t="str">
        <f t="shared" si="17"/>
        <v>BWA</v>
      </c>
    </row>
    <row r="526" spans="1:4" ht="15.6" thickTop="1" thickBot="1">
      <c r="A526" s="9" t="s">
        <v>232</v>
      </c>
      <c r="B526" s="10"/>
      <c r="C526" s="11"/>
      <c r="D526" t="str">
        <f t="shared" si="17"/>
        <v>BRA</v>
      </c>
    </row>
    <row r="527" spans="1:4" ht="30" thickTop="1" thickBot="1">
      <c r="A527" s="7"/>
      <c r="B527" s="7" t="s">
        <v>25</v>
      </c>
      <c r="C527" s="8">
        <v>8459420</v>
      </c>
      <c r="D527" t="str">
        <f t="shared" si="17"/>
        <v>BRA</v>
      </c>
    </row>
    <row r="528" spans="1:4" ht="20.399999999999999" thickTop="1" thickBot="1">
      <c r="A528" s="7"/>
      <c r="B528" s="7" t="s">
        <v>26</v>
      </c>
      <c r="C528" s="7" t="s">
        <v>233</v>
      </c>
      <c r="D528" t="str">
        <f t="shared" si="17"/>
        <v>BRA</v>
      </c>
    </row>
    <row r="529" spans="1:4" ht="20.399999999999999" thickTop="1" thickBot="1">
      <c r="A529" s="7"/>
      <c r="B529" s="7" t="s">
        <v>1</v>
      </c>
      <c r="C529" s="7" t="s">
        <v>79</v>
      </c>
      <c r="D529" t="str">
        <f t="shared" si="17"/>
        <v>BRA</v>
      </c>
    </row>
    <row r="530" spans="1:4" ht="30" thickTop="1" thickBot="1">
      <c r="A530" s="7"/>
      <c r="B530" s="7" t="s">
        <v>3</v>
      </c>
      <c r="C530" s="7" t="s">
        <v>36</v>
      </c>
      <c r="D530" t="str">
        <f t="shared" si="17"/>
        <v>BRA</v>
      </c>
    </row>
    <row r="531" spans="1:4" ht="20.399999999999999" thickTop="1" thickBot="1">
      <c r="A531" s="7"/>
      <c r="B531" s="7" t="s">
        <v>5</v>
      </c>
      <c r="C531" s="7" t="s">
        <v>80</v>
      </c>
      <c r="D531" t="str">
        <f t="shared" si="17"/>
        <v>BRA</v>
      </c>
    </row>
    <row r="532" spans="1:4" ht="30" thickTop="1" thickBot="1">
      <c r="A532" s="7"/>
      <c r="B532" s="7" t="s">
        <v>7</v>
      </c>
      <c r="C532" s="7" t="s">
        <v>38</v>
      </c>
      <c r="D532" t="str">
        <f t="shared" si="17"/>
        <v>BRA</v>
      </c>
    </row>
    <row r="533" spans="1:4" ht="49.2" thickTop="1" thickBot="1">
      <c r="A533" s="7"/>
      <c r="B533" s="7" t="s">
        <v>9</v>
      </c>
      <c r="C533" s="7">
        <v>2017</v>
      </c>
      <c r="D533" t="str">
        <f t="shared" si="17"/>
        <v>BRA</v>
      </c>
    </row>
    <row r="534" spans="1:4" ht="39.6" thickTop="1" thickBot="1">
      <c r="A534" s="7"/>
      <c r="B534" s="7" t="s">
        <v>10</v>
      </c>
      <c r="C534" s="7">
        <v>2018</v>
      </c>
      <c r="D534" t="str">
        <f t="shared" si="17"/>
        <v>BRA</v>
      </c>
    </row>
    <row r="535" spans="1:4" ht="20.399999999999999" thickTop="1" thickBot="1">
      <c r="A535" s="7"/>
      <c r="B535" s="7" t="s">
        <v>28</v>
      </c>
      <c r="C535" s="7" t="s">
        <v>234</v>
      </c>
      <c r="D535" t="str">
        <f t="shared" si="17"/>
        <v>BRA</v>
      </c>
    </row>
    <row r="536" spans="1:4" ht="20.399999999999999" thickTop="1" thickBot="1">
      <c r="A536" s="7"/>
      <c r="B536" s="7" t="s">
        <v>30</v>
      </c>
      <c r="C536" s="7" t="s">
        <v>235</v>
      </c>
      <c r="D536" t="str">
        <f t="shared" si="17"/>
        <v>BRA</v>
      </c>
    </row>
    <row r="537" spans="1:4" ht="20.399999999999999" thickTop="1" thickBot="1">
      <c r="A537" s="7"/>
      <c r="B537" s="7" t="s">
        <v>32</v>
      </c>
      <c r="C537" s="7" t="s">
        <v>33</v>
      </c>
      <c r="D537" t="str">
        <f t="shared" si="17"/>
        <v>BRA</v>
      </c>
    </row>
    <row r="538" spans="1:4" ht="15.6" thickTop="1" thickBot="1">
      <c r="A538" s="7"/>
      <c r="B538" s="7" t="s">
        <v>11</v>
      </c>
      <c r="C538" s="7" t="s">
        <v>167</v>
      </c>
      <c r="D538" t="str">
        <f t="shared" si="17"/>
        <v>BRA</v>
      </c>
    </row>
    <row r="539" spans="1:4" ht="15.6" thickTop="1" thickBot="1">
      <c r="A539" s="7"/>
      <c r="B539" s="7" t="s">
        <v>13</v>
      </c>
      <c r="C539" s="7" t="s">
        <v>167</v>
      </c>
      <c r="D539" t="str">
        <f t="shared" si="17"/>
        <v>BRA</v>
      </c>
    </row>
    <row r="540" spans="1:4" ht="15.6" thickTop="1" thickBot="1">
      <c r="A540" s="7"/>
      <c r="B540" s="7" t="s">
        <v>15</v>
      </c>
      <c r="C540" s="7" t="s">
        <v>236</v>
      </c>
      <c r="D540" t="str">
        <f t="shared" si="17"/>
        <v>BRA</v>
      </c>
    </row>
    <row r="541" spans="1:4" ht="15.6" thickTop="1" thickBot="1">
      <c r="A541" s="7"/>
      <c r="B541" s="7" t="s">
        <v>16</v>
      </c>
      <c r="C541" s="7" t="s">
        <v>167</v>
      </c>
      <c r="D541" t="str">
        <f t="shared" si="17"/>
        <v>BRA</v>
      </c>
    </row>
    <row r="542" spans="1:4" ht="15.6" thickTop="1" thickBot="1">
      <c r="A542" s="7"/>
      <c r="B542" s="7" t="s">
        <v>17</v>
      </c>
      <c r="C542" s="7" t="s">
        <v>236</v>
      </c>
      <c r="D542" t="str">
        <f t="shared" si="17"/>
        <v>BRA</v>
      </c>
    </row>
    <row r="543" spans="1:4" ht="15.6" thickTop="1" thickBot="1">
      <c r="A543" s="7"/>
      <c r="B543" s="7" t="s">
        <v>18</v>
      </c>
      <c r="C543" s="7" t="s">
        <v>180</v>
      </c>
      <c r="D543" t="str">
        <f t="shared" si="17"/>
        <v>BRA</v>
      </c>
    </row>
    <row r="544" spans="1:4" ht="15.6" thickTop="1" thickBot="1">
      <c r="A544" s="7"/>
      <c r="B544" s="7" t="s">
        <v>19</v>
      </c>
      <c r="C544" s="7" t="s">
        <v>237</v>
      </c>
      <c r="D544" t="str">
        <f t="shared" si="17"/>
        <v>BRA</v>
      </c>
    </row>
    <row r="545" spans="1:4" ht="15.6" thickTop="1" thickBot="1">
      <c r="A545" s="7"/>
      <c r="B545" s="7" t="s">
        <v>21</v>
      </c>
      <c r="C545" s="7" t="s">
        <v>236</v>
      </c>
      <c r="D545" t="str">
        <f t="shared" si="17"/>
        <v>BRA</v>
      </c>
    </row>
    <row r="546" spans="1:4" ht="15.6" thickTop="1" thickBot="1">
      <c r="A546" s="7"/>
      <c r="B546" s="7" t="s">
        <v>22</v>
      </c>
      <c r="C546" s="7" t="s">
        <v>189</v>
      </c>
      <c r="D546" t="str">
        <f t="shared" si="17"/>
        <v>BRA</v>
      </c>
    </row>
    <row r="547" spans="1:4" ht="15.6" thickTop="1" thickBot="1">
      <c r="A547" s="7"/>
      <c r="B547" s="7" t="s">
        <v>23</v>
      </c>
      <c r="C547" s="7" t="s">
        <v>236</v>
      </c>
      <c r="D547" t="str">
        <f t="shared" si="17"/>
        <v>BRA</v>
      </c>
    </row>
    <row r="548" spans="1:4" ht="15.6" thickTop="1" thickBot="1">
      <c r="A548" s="7"/>
      <c r="B548" s="7" t="s">
        <v>24</v>
      </c>
      <c r="C548" s="7">
        <v>2070</v>
      </c>
      <c r="D548" t="str">
        <f t="shared" si="17"/>
        <v>BRA</v>
      </c>
    </row>
    <row r="549" spans="1:4" ht="20.399999999999999" thickTop="1" thickBot="1">
      <c r="A549" s="9" t="s">
        <v>238</v>
      </c>
      <c r="B549" s="10"/>
      <c r="C549" s="11"/>
      <c r="D549" t="str">
        <f t="shared" si="17"/>
        <v>BRN</v>
      </c>
    </row>
    <row r="550" spans="1:4" ht="30" thickTop="1" thickBot="1">
      <c r="A550" s="7"/>
      <c r="B550" s="7" t="s">
        <v>25</v>
      </c>
      <c r="C550" s="7">
        <v>5270</v>
      </c>
      <c r="D550" t="str">
        <f t="shared" si="17"/>
        <v>BRN</v>
      </c>
    </row>
    <row r="551" spans="1:4" ht="30" thickTop="1" thickBot="1">
      <c r="A551" s="7"/>
      <c r="B551" s="7" t="s">
        <v>26</v>
      </c>
      <c r="C551" s="7" t="s">
        <v>239</v>
      </c>
      <c r="D551" t="str">
        <f t="shared" si="17"/>
        <v>BRN</v>
      </c>
    </row>
    <row r="552" spans="1:4" ht="20.399999999999999" thickTop="1" thickBot="1">
      <c r="A552" s="7"/>
      <c r="B552" s="7" t="s">
        <v>1</v>
      </c>
      <c r="C552" s="7" t="s">
        <v>107</v>
      </c>
      <c r="D552" t="str">
        <f t="shared" si="17"/>
        <v>BRN</v>
      </c>
    </row>
    <row r="553" spans="1:4" ht="30" thickTop="1" thickBot="1">
      <c r="A553" s="7"/>
      <c r="B553" s="7" t="s">
        <v>3</v>
      </c>
      <c r="C553" s="7" t="s">
        <v>59</v>
      </c>
      <c r="D553" t="str">
        <f t="shared" si="17"/>
        <v>BRN</v>
      </c>
    </row>
    <row r="554" spans="1:4" ht="20.399999999999999" thickTop="1" thickBot="1">
      <c r="A554" s="7"/>
      <c r="B554" s="7" t="s">
        <v>5</v>
      </c>
      <c r="C554" s="7" t="s">
        <v>108</v>
      </c>
      <c r="D554" t="str">
        <f t="shared" si="17"/>
        <v>BRN</v>
      </c>
    </row>
    <row r="555" spans="1:4" ht="30" thickTop="1" thickBot="1">
      <c r="A555" s="7"/>
      <c r="B555" s="7" t="s">
        <v>7</v>
      </c>
      <c r="C555" s="7" t="s">
        <v>60</v>
      </c>
      <c r="D555" t="str">
        <f t="shared" si="17"/>
        <v>BRN</v>
      </c>
    </row>
    <row r="556" spans="1:4" ht="49.2" thickTop="1" thickBot="1">
      <c r="A556" s="7"/>
      <c r="B556" s="7" t="s">
        <v>9</v>
      </c>
      <c r="C556" s="7">
        <v>2017</v>
      </c>
      <c r="D556" t="str">
        <f t="shared" si="17"/>
        <v>BRN</v>
      </c>
    </row>
    <row r="557" spans="1:4" ht="39.6" thickTop="1" thickBot="1">
      <c r="A557" s="7"/>
      <c r="B557" s="7" t="s">
        <v>10</v>
      </c>
      <c r="C557" s="7">
        <v>2018</v>
      </c>
      <c r="D557" t="str">
        <f t="shared" si="17"/>
        <v>BRN</v>
      </c>
    </row>
    <row r="558" spans="1:4" ht="20.399999999999999" thickTop="1" thickBot="1">
      <c r="A558" s="7"/>
      <c r="B558" s="7" t="s">
        <v>28</v>
      </c>
      <c r="C558" s="7" t="s">
        <v>240</v>
      </c>
      <c r="D558" t="str">
        <f t="shared" si="17"/>
        <v>BRN</v>
      </c>
    </row>
    <row r="559" spans="1:4" ht="20.399999999999999" thickTop="1" thickBot="1">
      <c r="A559" s="7"/>
      <c r="B559" s="7" t="s">
        <v>30</v>
      </c>
      <c r="C559" s="7" t="s">
        <v>241</v>
      </c>
      <c r="D559" t="str">
        <f t="shared" si="17"/>
        <v>BRN</v>
      </c>
    </row>
    <row r="560" spans="1:4" ht="20.399999999999999" thickTop="1" thickBot="1">
      <c r="A560" s="7"/>
      <c r="B560" s="7" t="s">
        <v>32</v>
      </c>
      <c r="C560" s="7" t="s">
        <v>33</v>
      </c>
      <c r="D560" t="str">
        <f t="shared" si="17"/>
        <v>BRN</v>
      </c>
    </row>
    <row r="561" spans="1:4" ht="15.6" thickTop="1" thickBot="1">
      <c r="A561" s="7"/>
      <c r="B561" s="7" t="s">
        <v>11</v>
      </c>
      <c r="C561" s="7" t="s">
        <v>242</v>
      </c>
      <c r="D561" t="str">
        <f t="shared" si="17"/>
        <v>BRN</v>
      </c>
    </row>
    <row r="562" spans="1:4" ht="15.6" thickTop="1" thickBot="1">
      <c r="A562" s="7"/>
      <c r="B562" s="7" t="s">
        <v>13</v>
      </c>
      <c r="C562" s="7" t="s">
        <v>184</v>
      </c>
      <c r="D562" t="str">
        <f t="shared" si="17"/>
        <v>BRN</v>
      </c>
    </row>
    <row r="563" spans="1:4" ht="15.6" thickTop="1" thickBot="1">
      <c r="A563" s="7"/>
      <c r="B563" s="7" t="s">
        <v>15</v>
      </c>
      <c r="C563" s="7" t="s">
        <v>242</v>
      </c>
      <c r="D563" t="str">
        <f t="shared" si="17"/>
        <v>BRN</v>
      </c>
    </row>
    <row r="564" spans="1:4" ht="15.6" thickTop="1" thickBot="1">
      <c r="A564" s="7"/>
      <c r="B564" s="7" t="s">
        <v>16</v>
      </c>
      <c r="C564" s="7" t="s">
        <v>143</v>
      </c>
      <c r="D564" t="str">
        <f t="shared" si="17"/>
        <v>BRN</v>
      </c>
    </row>
    <row r="565" spans="1:4" ht="15.6" thickTop="1" thickBot="1">
      <c r="A565" s="7"/>
      <c r="B565" s="7" t="s">
        <v>17</v>
      </c>
      <c r="C565" s="7" t="s">
        <v>142</v>
      </c>
      <c r="D565" t="str">
        <f t="shared" si="17"/>
        <v>BRN</v>
      </c>
    </row>
    <row r="566" spans="1:4" ht="15.6" thickTop="1" thickBot="1">
      <c r="A566" s="7"/>
      <c r="B566" s="7" t="s">
        <v>18</v>
      </c>
      <c r="C566" s="7" t="s">
        <v>242</v>
      </c>
      <c r="D566" t="str">
        <f t="shared" si="17"/>
        <v>BRN</v>
      </c>
    </row>
    <row r="567" spans="1:4" ht="15.6" thickTop="1" thickBot="1">
      <c r="A567" s="7"/>
      <c r="B567" s="7" t="s">
        <v>19</v>
      </c>
      <c r="C567" s="7" t="s">
        <v>243</v>
      </c>
      <c r="D567" t="str">
        <f t="shared" si="17"/>
        <v>BRN</v>
      </c>
    </row>
    <row r="568" spans="1:4" ht="15.6" thickTop="1" thickBot="1">
      <c r="A568" s="7"/>
      <c r="B568" s="7" t="s">
        <v>21</v>
      </c>
      <c r="C568" s="7" t="s">
        <v>242</v>
      </c>
      <c r="D568" t="str">
        <f t="shared" si="17"/>
        <v>BRN</v>
      </c>
    </row>
    <row r="569" spans="1:4" ht="15.6" thickTop="1" thickBot="1">
      <c r="A569" s="7"/>
      <c r="B569" s="7" t="s">
        <v>22</v>
      </c>
      <c r="C569" s="7" t="s">
        <v>154</v>
      </c>
      <c r="D569" t="str">
        <f t="shared" si="17"/>
        <v>BRN</v>
      </c>
    </row>
    <row r="570" spans="1:4" ht="15.6" thickTop="1" thickBot="1">
      <c r="A570" s="7"/>
      <c r="B570" s="7" t="s">
        <v>23</v>
      </c>
      <c r="C570" s="7" t="s">
        <v>142</v>
      </c>
      <c r="D570" t="str">
        <f t="shared" si="17"/>
        <v>BRN</v>
      </c>
    </row>
    <row r="571" spans="1:4" ht="15.6" thickTop="1" thickBot="1">
      <c r="A571" s="7"/>
      <c r="B571" s="7" t="s">
        <v>24</v>
      </c>
      <c r="C571" s="7">
        <v>3030</v>
      </c>
      <c r="D571" t="str">
        <f t="shared" si="17"/>
        <v>BRN</v>
      </c>
    </row>
    <row r="572" spans="1:4" ht="20.399999999999999" thickTop="1" thickBot="1">
      <c r="A572" s="9" t="s">
        <v>244</v>
      </c>
      <c r="B572" s="10"/>
      <c r="C572" s="11"/>
      <c r="D572" t="str">
        <f t="shared" si="17"/>
        <v>BGR</v>
      </c>
    </row>
    <row r="573" spans="1:4" ht="30" thickTop="1" thickBot="1">
      <c r="A573" s="7"/>
      <c r="B573" s="7" t="s">
        <v>25</v>
      </c>
      <c r="C573" s="8">
        <v>108610</v>
      </c>
      <c r="D573" t="str">
        <f t="shared" si="17"/>
        <v>BGR</v>
      </c>
    </row>
    <row r="574" spans="1:4" ht="20.399999999999999" thickTop="1" thickBot="1">
      <c r="A574" s="7"/>
      <c r="B574" s="7" t="s">
        <v>26</v>
      </c>
      <c r="C574" s="7" t="s">
        <v>245</v>
      </c>
      <c r="D574" t="str">
        <f t="shared" si="17"/>
        <v>BGR</v>
      </c>
    </row>
    <row r="575" spans="1:4" ht="20.399999999999999" thickTop="1" thickBot="1">
      <c r="A575" s="7"/>
      <c r="B575" s="7" t="s">
        <v>1</v>
      </c>
      <c r="C575" s="7" t="s">
        <v>35</v>
      </c>
      <c r="D575" t="str">
        <f t="shared" si="17"/>
        <v>BGR</v>
      </c>
    </row>
    <row r="576" spans="1:4" ht="30" thickTop="1" thickBot="1">
      <c r="A576" s="7"/>
      <c r="B576" s="7" t="s">
        <v>3</v>
      </c>
      <c r="C576" s="7" t="s">
        <v>36</v>
      </c>
      <c r="D576" t="str">
        <f t="shared" si="17"/>
        <v>BGR</v>
      </c>
    </row>
    <row r="577" spans="1:4" ht="20.399999999999999" thickTop="1" thickBot="1">
      <c r="A577" s="7"/>
      <c r="B577" s="7" t="s">
        <v>5</v>
      </c>
      <c r="C577" s="7" t="s">
        <v>37</v>
      </c>
      <c r="D577" t="str">
        <f t="shared" si="17"/>
        <v>BGR</v>
      </c>
    </row>
    <row r="578" spans="1:4" ht="30" thickTop="1" thickBot="1">
      <c r="A578" s="7"/>
      <c r="B578" s="7" t="s">
        <v>7</v>
      </c>
      <c r="C578" s="7" t="s">
        <v>38</v>
      </c>
      <c r="D578" t="str">
        <f t="shared" ref="D578:D641" si="18">IF(ISNUMBER(FIND(":", A578)), LEFT(A578, FIND(":", A578) - 1), D577)</f>
        <v>BGR</v>
      </c>
    </row>
    <row r="579" spans="1:4" ht="49.2" thickTop="1" thickBot="1">
      <c r="A579" s="7"/>
      <c r="B579" s="7" t="s">
        <v>9</v>
      </c>
      <c r="C579" s="7">
        <v>2017</v>
      </c>
      <c r="D579" t="str">
        <f t="shared" si="18"/>
        <v>BGR</v>
      </c>
    </row>
    <row r="580" spans="1:4" ht="39.6" thickTop="1" thickBot="1">
      <c r="A580" s="7"/>
      <c r="B580" s="7" t="s">
        <v>10</v>
      </c>
      <c r="C580" s="7">
        <v>2018</v>
      </c>
      <c r="D580" t="str">
        <f t="shared" si="18"/>
        <v>BGR</v>
      </c>
    </row>
    <row r="581" spans="1:4" ht="20.399999999999999" thickTop="1" thickBot="1">
      <c r="A581" s="7"/>
      <c r="B581" s="7" t="s">
        <v>28</v>
      </c>
      <c r="C581" s="7" t="s">
        <v>246</v>
      </c>
      <c r="D581" t="str">
        <f t="shared" si="18"/>
        <v>BGR</v>
      </c>
    </row>
    <row r="582" spans="1:4" ht="20.399999999999999" thickTop="1" thickBot="1">
      <c r="A582" s="7"/>
      <c r="B582" s="7" t="s">
        <v>30</v>
      </c>
      <c r="C582" s="7" t="s">
        <v>247</v>
      </c>
      <c r="D582" t="str">
        <f t="shared" si="18"/>
        <v>BGR</v>
      </c>
    </row>
    <row r="583" spans="1:4" ht="20.399999999999999" thickTop="1" thickBot="1">
      <c r="A583" s="7"/>
      <c r="B583" s="7" t="s">
        <v>32</v>
      </c>
      <c r="C583" s="7" t="s">
        <v>33</v>
      </c>
      <c r="D583" t="str">
        <f t="shared" si="18"/>
        <v>BGR</v>
      </c>
    </row>
    <row r="584" spans="1:4" ht="15.6" thickTop="1" thickBot="1">
      <c r="A584" s="7"/>
      <c r="B584" s="7" t="s">
        <v>11</v>
      </c>
      <c r="C584" s="7" t="s">
        <v>155</v>
      </c>
      <c r="D584" t="str">
        <f t="shared" si="18"/>
        <v>BGR</v>
      </c>
    </row>
    <row r="585" spans="1:4" ht="15.6" thickTop="1" thickBot="1">
      <c r="A585" s="7"/>
      <c r="B585" s="7" t="s">
        <v>13</v>
      </c>
      <c r="C585" s="7" t="s">
        <v>248</v>
      </c>
      <c r="D585" t="str">
        <f t="shared" si="18"/>
        <v>BGR</v>
      </c>
    </row>
    <row r="586" spans="1:4" ht="15.6" thickTop="1" thickBot="1">
      <c r="A586" s="7"/>
      <c r="B586" s="7" t="s">
        <v>15</v>
      </c>
      <c r="C586" s="7" t="s">
        <v>249</v>
      </c>
      <c r="D586" t="str">
        <f t="shared" si="18"/>
        <v>BGR</v>
      </c>
    </row>
    <row r="587" spans="1:4" ht="15.6" thickTop="1" thickBot="1">
      <c r="A587" s="7"/>
      <c r="B587" s="7" t="s">
        <v>16</v>
      </c>
      <c r="C587" s="7" t="s">
        <v>155</v>
      </c>
      <c r="D587" t="str">
        <f t="shared" si="18"/>
        <v>BGR</v>
      </c>
    </row>
    <row r="588" spans="1:4" ht="15.6" thickTop="1" thickBot="1">
      <c r="A588" s="7"/>
      <c r="B588" s="7" t="s">
        <v>17</v>
      </c>
      <c r="C588" s="7" t="s">
        <v>250</v>
      </c>
      <c r="D588" t="str">
        <f t="shared" si="18"/>
        <v>BGR</v>
      </c>
    </row>
    <row r="589" spans="1:4" ht="15.6" thickTop="1" thickBot="1">
      <c r="A589" s="7"/>
      <c r="B589" s="7" t="s">
        <v>18</v>
      </c>
      <c r="C589" s="7" t="s">
        <v>249</v>
      </c>
      <c r="D589" t="str">
        <f t="shared" si="18"/>
        <v>BGR</v>
      </c>
    </row>
    <row r="590" spans="1:4" ht="15.6" thickTop="1" thickBot="1">
      <c r="A590" s="7"/>
      <c r="B590" s="7" t="s">
        <v>19</v>
      </c>
      <c r="C590" s="7" t="s">
        <v>251</v>
      </c>
      <c r="D590" t="str">
        <f t="shared" si="18"/>
        <v>BGR</v>
      </c>
    </row>
    <row r="591" spans="1:4" ht="15.6" thickTop="1" thickBot="1">
      <c r="A591" s="7"/>
      <c r="B591" s="7" t="s">
        <v>21</v>
      </c>
      <c r="C591" s="7" t="s">
        <v>249</v>
      </c>
      <c r="D591" t="str">
        <f t="shared" si="18"/>
        <v>BGR</v>
      </c>
    </row>
    <row r="592" spans="1:4" ht="15.6" thickTop="1" thickBot="1">
      <c r="A592" s="7"/>
      <c r="B592" s="7" t="s">
        <v>22</v>
      </c>
      <c r="C592" s="7" t="s">
        <v>248</v>
      </c>
      <c r="D592" t="str">
        <f t="shared" si="18"/>
        <v>BGR</v>
      </c>
    </row>
    <row r="593" spans="1:4" ht="15.6" thickTop="1" thickBot="1">
      <c r="A593" s="7"/>
      <c r="B593" s="7" t="s">
        <v>23</v>
      </c>
      <c r="C593" s="7" t="s">
        <v>250</v>
      </c>
      <c r="D593" t="str">
        <f t="shared" si="18"/>
        <v>BGR</v>
      </c>
    </row>
    <row r="594" spans="1:4" ht="15.6" thickTop="1" thickBot="1">
      <c r="A594" s="7"/>
      <c r="B594" s="7" t="s">
        <v>24</v>
      </c>
      <c r="C594" s="7">
        <v>4030</v>
      </c>
      <c r="D594" t="str">
        <f t="shared" si="18"/>
        <v>BGR</v>
      </c>
    </row>
    <row r="595" spans="1:4" ht="20.399999999999999" thickTop="1" thickBot="1">
      <c r="A595" s="9" t="s">
        <v>252</v>
      </c>
      <c r="B595" s="10"/>
      <c r="C595" s="11"/>
      <c r="D595" t="str">
        <f t="shared" si="18"/>
        <v>BFA</v>
      </c>
    </row>
    <row r="596" spans="1:4" ht="30" thickTop="1" thickBot="1">
      <c r="A596" s="7"/>
      <c r="B596" s="7" t="s">
        <v>25</v>
      </c>
      <c r="C596" s="8">
        <v>273600</v>
      </c>
      <c r="D596" t="str">
        <f t="shared" si="18"/>
        <v>BFA</v>
      </c>
    </row>
    <row r="597" spans="1:4" ht="30" thickTop="1" thickBot="1">
      <c r="A597" s="7"/>
      <c r="B597" s="7" t="s">
        <v>26</v>
      </c>
      <c r="C597" s="7" t="s">
        <v>253</v>
      </c>
      <c r="D597" t="str">
        <f t="shared" si="18"/>
        <v>BFA</v>
      </c>
    </row>
    <row r="598" spans="1:4" ht="20.399999999999999" thickTop="1" thickBot="1">
      <c r="A598" s="7"/>
      <c r="B598" s="7" t="s">
        <v>1</v>
      </c>
      <c r="C598" s="7" t="s">
        <v>50</v>
      </c>
      <c r="D598" t="str">
        <f t="shared" si="18"/>
        <v>BFA</v>
      </c>
    </row>
    <row r="599" spans="1:4" ht="30" thickTop="1" thickBot="1">
      <c r="A599" s="7"/>
      <c r="B599" s="7" t="s">
        <v>3</v>
      </c>
      <c r="C599" s="7" t="s">
        <v>4</v>
      </c>
      <c r="D599" t="str">
        <f t="shared" si="18"/>
        <v>BFA</v>
      </c>
    </row>
    <row r="600" spans="1:4" ht="20.399999999999999" thickTop="1" thickBot="1">
      <c r="A600" s="7"/>
      <c r="B600" s="7" t="s">
        <v>5</v>
      </c>
      <c r="C600" s="7" t="s">
        <v>51</v>
      </c>
      <c r="D600" t="str">
        <f t="shared" si="18"/>
        <v>BFA</v>
      </c>
    </row>
    <row r="601" spans="1:4" ht="30" thickTop="1" thickBot="1">
      <c r="A601" s="7"/>
      <c r="B601" s="7" t="s">
        <v>7</v>
      </c>
      <c r="C601" s="7" t="s">
        <v>8</v>
      </c>
      <c r="D601" t="str">
        <f t="shared" si="18"/>
        <v>BFA</v>
      </c>
    </row>
    <row r="602" spans="1:4" ht="49.2" thickTop="1" thickBot="1">
      <c r="A602" s="7"/>
      <c r="B602" s="7" t="s">
        <v>9</v>
      </c>
      <c r="C602" s="7">
        <v>2017</v>
      </c>
      <c r="D602" t="str">
        <f t="shared" si="18"/>
        <v>BFA</v>
      </c>
    </row>
    <row r="603" spans="1:4" ht="39.6" thickTop="1" thickBot="1">
      <c r="A603" s="7"/>
      <c r="B603" s="7" t="s">
        <v>10</v>
      </c>
      <c r="C603" s="7">
        <v>2018</v>
      </c>
      <c r="D603" t="str">
        <f t="shared" si="18"/>
        <v>BFA</v>
      </c>
    </row>
    <row r="604" spans="1:4" ht="20.399999999999999" thickTop="1" thickBot="1">
      <c r="A604" s="7"/>
      <c r="B604" s="7" t="s">
        <v>28</v>
      </c>
      <c r="C604" s="7" t="s">
        <v>254</v>
      </c>
      <c r="D604" t="str">
        <f t="shared" si="18"/>
        <v>BFA</v>
      </c>
    </row>
    <row r="605" spans="1:4" ht="20.399999999999999" thickTop="1" thickBot="1">
      <c r="A605" s="7"/>
      <c r="B605" s="7" t="s">
        <v>30</v>
      </c>
      <c r="C605" s="7" t="s">
        <v>254</v>
      </c>
      <c r="D605" t="str">
        <f t="shared" si="18"/>
        <v>BFA</v>
      </c>
    </row>
    <row r="606" spans="1:4" ht="20.399999999999999" thickTop="1" thickBot="1">
      <c r="A606" s="7"/>
      <c r="B606" s="7" t="s">
        <v>32</v>
      </c>
      <c r="C606" s="7" t="s">
        <v>33</v>
      </c>
      <c r="D606" t="str">
        <f t="shared" si="18"/>
        <v>BFA</v>
      </c>
    </row>
    <row r="607" spans="1:4" ht="15.6" thickTop="1" thickBot="1">
      <c r="A607" s="7"/>
      <c r="B607" s="7" t="s">
        <v>11</v>
      </c>
      <c r="C607" s="7" t="s">
        <v>134</v>
      </c>
      <c r="D607" t="str">
        <f t="shared" si="18"/>
        <v>BFA</v>
      </c>
    </row>
    <row r="608" spans="1:4" ht="15.6" thickTop="1" thickBot="1">
      <c r="A608" s="7"/>
      <c r="B608" s="7" t="s">
        <v>13</v>
      </c>
      <c r="C608" s="7" t="s">
        <v>255</v>
      </c>
      <c r="D608" t="str">
        <f t="shared" si="18"/>
        <v>BFA</v>
      </c>
    </row>
    <row r="609" spans="1:4" ht="15.6" thickTop="1" thickBot="1">
      <c r="A609" s="7"/>
      <c r="B609" s="7" t="s">
        <v>15</v>
      </c>
      <c r="C609" s="7" t="s">
        <v>256</v>
      </c>
      <c r="D609" t="str">
        <f t="shared" si="18"/>
        <v>BFA</v>
      </c>
    </row>
    <row r="610" spans="1:4" ht="15.6" thickTop="1" thickBot="1">
      <c r="A610" s="7"/>
      <c r="B610" s="7" t="s">
        <v>22</v>
      </c>
      <c r="C610" s="7" t="s">
        <v>257</v>
      </c>
      <c r="D610" t="str">
        <f t="shared" si="18"/>
        <v>BFA</v>
      </c>
    </row>
    <row r="611" spans="1:4" ht="15.6" thickTop="1" thickBot="1">
      <c r="A611" s="7"/>
      <c r="B611" s="7" t="s">
        <v>23</v>
      </c>
      <c r="C611" s="7" t="s">
        <v>258</v>
      </c>
      <c r="D611" t="str">
        <f t="shared" si="18"/>
        <v>BFA</v>
      </c>
    </row>
    <row r="612" spans="1:4" ht="15.6" thickTop="1" thickBot="1">
      <c r="A612" s="7"/>
      <c r="B612" s="7" t="s">
        <v>24</v>
      </c>
      <c r="C612" s="7">
        <v>1035</v>
      </c>
      <c r="D612" t="str">
        <f t="shared" si="18"/>
        <v>BFA</v>
      </c>
    </row>
    <row r="613" spans="1:4" ht="15.6" thickTop="1" thickBot="1">
      <c r="A613" s="7"/>
      <c r="B613" s="7" t="s">
        <v>18</v>
      </c>
      <c r="C613" s="7" t="s">
        <v>258</v>
      </c>
      <c r="D613" t="str">
        <f t="shared" si="18"/>
        <v>BFA</v>
      </c>
    </row>
    <row r="614" spans="1:4" ht="15.6" thickTop="1" thickBot="1">
      <c r="A614" s="7"/>
      <c r="B614" s="7" t="s">
        <v>19</v>
      </c>
      <c r="C614" s="7" t="s">
        <v>259</v>
      </c>
      <c r="D614" t="str">
        <f t="shared" si="18"/>
        <v>BFA</v>
      </c>
    </row>
    <row r="615" spans="1:4" ht="15.6" thickTop="1" thickBot="1">
      <c r="A615" s="7"/>
      <c r="B615" s="7" t="s">
        <v>21</v>
      </c>
      <c r="C615" s="7" t="s">
        <v>258</v>
      </c>
      <c r="D615" t="str">
        <f t="shared" si="18"/>
        <v>BFA</v>
      </c>
    </row>
    <row r="616" spans="1:4" ht="15.6" thickTop="1" thickBot="1">
      <c r="A616" s="7"/>
      <c r="B616" s="7" t="s">
        <v>16</v>
      </c>
      <c r="C616" s="7" t="s">
        <v>134</v>
      </c>
      <c r="D616" t="str">
        <f t="shared" si="18"/>
        <v>BFA</v>
      </c>
    </row>
    <row r="617" spans="1:4" ht="15.6" thickTop="1" thickBot="1">
      <c r="A617" s="7"/>
      <c r="B617" s="7" t="s">
        <v>17</v>
      </c>
      <c r="C617" s="7" t="s">
        <v>258</v>
      </c>
      <c r="D617" t="str">
        <f t="shared" si="18"/>
        <v>BFA</v>
      </c>
    </row>
    <row r="618" spans="1:4" ht="15.6" thickTop="1" thickBot="1">
      <c r="A618" s="9" t="s">
        <v>260</v>
      </c>
      <c r="B618" s="10"/>
      <c r="C618" s="11"/>
      <c r="D618" t="str">
        <f t="shared" si="18"/>
        <v>BDI</v>
      </c>
    </row>
    <row r="619" spans="1:4" ht="30" thickTop="1" thickBot="1">
      <c r="A619" s="7"/>
      <c r="B619" s="7" t="s">
        <v>25</v>
      </c>
      <c r="C619" s="8">
        <v>25680</v>
      </c>
      <c r="D619" t="str">
        <f t="shared" si="18"/>
        <v>BDI</v>
      </c>
    </row>
    <row r="620" spans="1:4" ht="30" thickTop="1" thickBot="1">
      <c r="A620" s="7"/>
      <c r="B620" s="7" t="s">
        <v>26</v>
      </c>
      <c r="C620" s="7" t="s">
        <v>261</v>
      </c>
      <c r="D620" t="str">
        <f t="shared" si="18"/>
        <v>BDI</v>
      </c>
    </row>
    <row r="621" spans="1:4" ht="20.399999999999999" thickTop="1" thickBot="1">
      <c r="A621" s="7"/>
      <c r="B621" s="7" t="s">
        <v>1</v>
      </c>
      <c r="C621" s="7" t="s">
        <v>50</v>
      </c>
      <c r="D621" t="str">
        <f t="shared" si="18"/>
        <v>BDI</v>
      </c>
    </row>
    <row r="622" spans="1:4" ht="30" thickTop="1" thickBot="1">
      <c r="A622" s="7"/>
      <c r="B622" s="7" t="s">
        <v>3</v>
      </c>
      <c r="C622" s="7" t="s">
        <v>4</v>
      </c>
      <c r="D622" t="str">
        <f t="shared" si="18"/>
        <v>BDI</v>
      </c>
    </row>
    <row r="623" spans="1:4" ht="20.399999999999999" thickTop="1" thickBot="1">
      <c r="A623" s="7"/>
      <c r="B623" s="7" t="s">
        <v>5</v>
      </c>
      <c r="C623" s="7" t="s">
        <v>51</v>
      </c>
      <c r="D623" t="str">
        <f t="shared" si="18"/>
        <v>BDI</v>
      </c>
    </row>
    <row r="624" spans="1:4" ht="30" thickTop="1" thickBot="1">
      <c r="A624" s="7"/>
      <c r="B624" s="7" t="s">
        <v>7</v>
      </c>
      <c r="C624" s="7" t="s">
        <v>8</v>
      </c>
      <c r="D624" t="str">
        <f t="shared" si="18"/>
        <v>BDI</v>
      </c>
    </row>
    <row r="625" spans="1:4" ht="49.2" thickTop="1" thickBot="1">
      <c r="A625" s="7"/>
      <c r="B625" s="7" t="s">
        <v>9</v>
      </c>
      <c r="C625" s="7">
        <v>2017</v>
      </c>
      <c r="D625" t="str">
        <f t="shared" si="18"/>
        <v>BDI</v>
      </c>
    </row>
    <row r="626" spans="1:4" ht="39.6" thickTop="1" thickBot="1">
      <c r="A626" s="7"/>
      <c r="B626" s="7" t="s">
        <v>10</v>
      </c>
      <c r="C626" s="7">
        <v>2018</v>
      </c>
      <c r="D626" t="str">
        <f t="shared" si="18"/>
        <v>BDI</v>
      </c>
    </row>
    <row r="627" spans="1:4" ht="20.399999999999999" thickTop="1" thickBot="1">
      <c r="A627" s="7"/>
      <c r="B627" s="7" t="s">
        <v>28</v>
      </c>
      <c r="C627" s="7" t="s">
        <v>262</v>
      </c>
      <c r="D627" t="str">
        <f t="shared" si="18"/>
        <v>BDI</v>
      </c>
    </row>
    <row r="628" spans="1:4" ht="20.399999999999999" thickTop="1" thickBot="1">
      <c r="A628" s="7"/>
      <c r="B628" s="7" t="s">
        <v>30</v>
      </c>
      <c r="C628" s="7" t="s">
        <v>262</v>
      </c>
      <c r="D628" t="str">
        <f t="shared" si="18"/>
        <v>BDI</v>
      </c>
    </row>
    <row r="629" spans="1:4" ht="20.399999999999999" thickTop="1" thickBot="1">
      <c r="A629" s="7"/>
      <c r="B629" s="7" t="s">
        <v>32</v>
      </c>
      <c r="C629" s="7" t="s">
        <v>33</v>
      </c>
      <c r="D629" t="str">
        <f t="shared" si="18"/>
        <v>BDI</v>
      </c>
    </row>
    <row r="630" spans="1:4" ht="15.6" thickTop="1" thickBot="1">
      <c r="A630" s="7"/>
      <c r="B630" s="7" t="s">
        <v>11</v>
      </c>
      <c r="C630" s="7" t="s">
        <v>263</v>
      </c>
      <c r="D630" t="str">
        <f t="shared" si="18"/>
        <v>BDI</v>
      </c>
    </row>
    <row r="631" spans="1:4" ht="15.6" thickTop="1" thickBot="1">
      <c r="A631" s="7"/>
      <c r="B631" s="7" t="s">
        <v>13</v>
      </c>
      <c r="C631" s="7" t="s">
        <v>172</v>
      </c>
      <c r="D631" t="str">
        <f t="shared" si="18"/>
        <v>BDI</v>
      </c>
    </row>
    <row r="632" spans="1:4" ht="15.6" thickTop="1" thickBot="1">
      <c r="A632" s="7"/>
      <c r="B632" s="7" t="s">
        <v>15</v>
      </c>
      <c r="C632" s="7" t="s">
        <v>264</v>
      </c>
      <c r="D632" t="str">
        <f t="shared" si="18"/>
        <v>BDI</v>
      </c>
    </row>
    <row r="633" spans="1:4" ht="15.6" thickTop="1" thickBot="1">
      <c r="A633" s="7"/>
      <c r="B633" s="7" t="s">
        <v>22</v>
      </c>
      <c r="C633" s="7" t="s">
        <v>265</v>
      </c>
      <c r="D633" t="str">
        <f t="shared" si="18"/>
        <v>BDI</v>
      </c>
    </row>
    <row r="634" spans="1:4" ht="15.6" thickTop="1" thickBot="1">
      <c r="A634" s="7"/>
      <c r="B634" s="7" t="s">
        <v>23</v>
      </c>
      <c r="C634" s="7" t="s">
        <v>264</v>
      </c>
      <c r="D634" t="str">
        <f t="shared" si="18"/>
        <v>BDI</v>
      </c>
    </row>
    <row r="635" spans="1:4" ht="15.6" thickTop="1" thickBot="1">
      <c r="A635" s="7"/>
      <c r="B635" s="7" t="s">
        <v>24</v>
      </c>
      <c r="C635" s="7">
        <v>1040</v>
      </c>
      <c r="D635" t="str">
        <f t="shared" si="18"/>
        <v>BDI</v>
      </c>
    </row>
    <row r="636" spans="1:4" ht="15.6" thickTop="1" thickBot="1">
      <c r="A636" s="7"/>
      <c r="B636" s="7" t="s">
        <v>18</v>
      </c>
      <c r="C636" s="7" t="s">
        <v>264</v>
      </c>
      <c r="D636" t="str">
        <f t="shared" si="18"/>
        <v>BDI</v>
      </c>
    </row>
    <row r="637" spans="1:4" ht="15.6" thickTop="1" thickBot="1">
      <c r="A637" s="7"/>
      <c r="B637" s="7" t="s">
        <v>19</v>
      </c>
      <c r="C637" s="7" t="s">
        <v>266</v>
      </c>
      <c r="D637" t="str">
        <f t="shared" si="18"/>
        <v>BDI</v>
      </c>
    </row>
    <row r="638" spans="1:4" ht="15.6" thickTop="1" thickBot="1">
      <c r="A638" s="7"/>
      <c r="B638" s="7" t="s">
        <v>21</v>
      </c>
      <c r="C638" s="7" t="s">
        <v>267</v>
      </c>
      <c r="D638" t="str">
        <f t="shared" si="18"/>
        <v>BDI</v>
      </c>
    </row>
    <row r="639" spans="1:4" ht="15.6" thickTop="1" thickBot="1">
      <c r="A639" s="7"/>
      <c r="B639" s="7" t="s">
        <v>16</v>
      </c>
      <c r="C639" s="7" t="s">
        <v>265</v>
      </c>
      <c r="D639" t="str">
        <f t="shared" si="18"/>
        <v>BDI</v>
      </c>
    </row>
    <row r="640" spans="1:4" ht="15.6" thickTop="1" thickBot="1">
      <c r="A640" s="7"/>
      <c r="B640" s="7" t="s">
        <v>17</v>
      </c>
      <c r="C640" s="7" t="s">
        <v>264</v>
      </c>
      <c r="D640" t="str">
        <f t="shared" si="18"/>
        <v>BDI</v>
      </c>
    </row>
    <row r="641" spans="1:4" ht="20.399999999999999" thickTop="1" thickBot="1">
      <c r="A641" s="9" t="s">
        <v>268</v>
      </c>
      <c r="B641" s="10"/>
      <c r="C641" s="11"/>
      <c r="D641" t="str">
        <f t="shared" si="18"/>
        <v>KHM</v>
      </c>
    </row>
    <row r="642" spans="1:4" ht="30" thickTop="1" thickBot="1">
      <c r="A642" s="7"/>
      <c r="B642" s="7" t="s">
        <v>25</v>
      </c>
      <c r="C642" s="8">
        <v>176520</v>
      </c>
      <c r="D642" t="str">
        <f t="shared" ref="D642:D705" si="19">IF(ISNUMBER(FIND(":", A642)), LEFT(A642, FIND(":", A642) - 1), D641)</f>
        <v>KHM</v>
      </c>
    </row>
    <row r="643" spans="1:4" ht="30" thickTop="1" thickBot="1">
      <c r="A643" s="7"/>
      <c r="B643" s="7" t="s">
        <v>26</v>
      </c>
      <c r="C643" s="7" t="s">
        <v>269</v>
      </c>
      <c r="D643" t="str">
        <f t="shared" si="19"/>
        <v>KHM</v>
      </c>
    </row>
    <row r="644" spans="1:4" ht="20.399999999999999" thickTop="1" thickBot="1">
      <c r="A644" s="7"/>
      <c r="B644" s="7" t="s">
        <v>28</v>
      </c>
      <c r="C644" s="7" t="s">
        <v>270</v>
      </c>
      <c r="D644" t="str">
        <f t="shared" si="19"/>
        <v>KHM</v>
      </c>
    </row>
    <row r="645" spans="1:4" ht="20.399999999999999" thickTop="1" thickBot="1">
      <c r="A645" s="7"/>
      <c r="B645" s="7" t="s">
        <v>30</v>
      </c>
      <c r="C645" s="7" t="s">
        <v>271</v>
      </c>
      <c r="D645" t="str">
        <f t="shared" si="19"/>
        <v>KHM</v>
      </c>
    </row>
    <row r="646" spans="1:4" ht="20.399999999999999" thickTop="1" thickBot="1">
      <c r="A646" s="7"/>
      <c r="B646" s="7" t="s">
        <v>32</v>
      </c>
      <c r="C646" s="7" t="s">
        <v>33</v>
      </c>
      <c r="D646" t="str">
        <f t="shared" si="19"/>
        <v>KHM</v>
      </c>
    </row>
    <row r="647" spans="1:4" ht="20.399999999999999" thickTop="1" thickBot="1">
      <c r="A647" s="7"/>
      <c r="B647" s="7" t="s">
        <v>1</v>
      </c>
      <c r="C647" s="7" t="s">
        <v>107</v>
      </c>
      <c r="D647" t="str">
        <f t="shared" si="19"/>
        <v>KHM</v>
      </c>
    </row>
    <row r="648" spans="1:4" ht="30" thickTop="1" thickBot="1">
      <c r="A648" s="7"/>
      <c r="B648" s="7" t="s">
        <v>3</v>
      </c>
      <c r="C648" s="7" t="s">
        <v>69</v>
      </c>
      <c r="D648" t="str">
        <f t="shared" si="19"/>
        <v>KHM</v>
      </c>
    </row>
    <row r="649" spans="1:4" ht="20.399999999999999" thickTop="1" thickBot="1">
      <c r="A649" s="7"/>
      <c r="B649" s="7" t="s">
        <v>5</v>
      </c>
      <c r="C649" s="7" t="s">
        <v>108</v>
      </c>
      <c r="D649" t="str">
        <f t="shared" si="19"/>
        <v>KHM</v>
      </c>
    </row>
    <row r="650" spans="1:4" ht="30" thickTop="1" thickBot="1">
      <c r="A650" s="7"/>
      <c r="B650" s="7" t="s">
        <v>7</v>
      </c>
      <c r="C650" s="7" t="s">
        <v>70</v>
      </c>
      <c r="D650" t="str">
        <f t="shared" si="19"/>
        <v>KHM</v>
      </c>
    </row>
    <row r="651" spans="1:4" ht="49.2" thickTop="1" thickBot="1">
      <c r="A651" s="7"/>
      <c r="B651" s="7" t="s">
        <v>9</v>
      </c>
      <c r="C651" s="7">
        <v>2017</v>
      </c>
      <c r="D651" t="str">
        <f t="shared" si="19"/>
        <v>KHM</v>
      </c>
    </row>
    <row r="652" spans="1:4" ht="39.6" thickTop="1" thickBot="1">
      <c r="A652" s="7"/>
      <c r="B652" s="7" t="s">
        <v>10</v>
      </c>
      <c r="C652" s="7">
        <v>2018</v>
      </c>
      <c r="D652" t="str">
        <f t="shared" si="19"/>
        <v>KHM</v>
      </c>
    </row>
    <row r="653" spans="1:4" ht="15.6" thickTop="1" thickBot="1">
      <c r="A653" s="7"/>
      <c r="B653" s="7" t="s">
        <v>11</v>
      </c>
      <c r="C653" s="7" t="s">
        <v>272</v>
      </c>
      <c r="D653" t="str">
        <f t="shared" si="19"/>
        <v>KHM</v>
      </c>
    </row>
    <row r="654" spans="1:4" ht="15.6" thickTop="1" thickBot="1">
      <c r="A654" s="7"/>
      <c r="B654" s="7" t="s">
        <v>13</v>
      </c>
      <c r="C654" s="7" t="s">
        <v>273</v>
      </c>
      <c r="D654" t="str">
        <f t="shared" si="19"/>
        <v>KHM</v>
      </c>
    </row>
    <row r="655" spans="1:4" ht="15.6" thickTop="1" thickBot="1">
      <c r="A655" s="7"/>
      <c r="B655" s="7" t="s">
        <v>15</v>
      </c>
      <c r="C655" s="7" t="s">
        <v>274</v>
      </c>
      <c r="D655" t="str">
        <f t="shared" si="19"/>
        <v>KHM</v>
      </c>
    </row>
    <row r="656" spans="1:4" ht="15.6" thickTop="1" thickBot="1">
      <c r="A656" s="7"/>
      <c r="B656" s="7" t="s">
        <v>16</v>
      </c>
      <c r="C656" s="7" t="s">
        <v>275</v>
      </c>
      <c r="D656" t="str">
        <f t="shared" si="19"/>
        <v>KHM</v>
      </c>
    </row>
    <row r="657" spans="1:4" ht="15.6" thickTop="1" thickBot="1">
      <c r="A657" s="7"/>
      <c r="B657" s="7" t="s">
        <v>17</v>
      </c>
      <c r="C657" s="7" t="s">
        <v>276</v>
      </c>
      <c r="D657" t="str">
        <f t="shared" si="19"/>
        <v>KHM</v>
      </c>
    </row>
    <row r="658" spans="1:4" ht="15.6" thickTop="1" thickBot="1">
      <c r="A658" s="7"/>
      <c r="B658" s="7" t="s">
        <v>18</v>
      </c>
      <c r="C658" s="7" t="s">
        <v>277</v>
      </c>
      <c r="D658" t="str">
        <f t="shared" si="19"/>
        <v>KHM</v>
      </c>
    </row>
    <row r="659" spans="1:4" ht="15.6" thickTop="1" thickBot="1">
      <c r="A659" s="7"/>
      <c r="B659" s="7" t="s">
        <v>19</v>
      </c>
      <c r="C659" s="7" t="s">
        <v>278</v>
      </c>
      <c r="D659" t="str">
        <f t="shared" si="19"/>
        <v>KHM</v>
      </c>
    </row>
    <row r="660" spans="1:4" ht="15.6" thickTop="1" thickBot="1">
      <c r="A660" s="7"/>
      <c r="B660" s="7" t="s">
        <v>21</v>
      </c>
      <c r="C660" s="7" t="s">
        <v>274</v>
      </c>
      <c r="D660" t="str">
        <f t="shared" si="19"/>
        <v>KHM</v>
      </c>
    </row>
    <row r="661" spans="1:4" ht="15.6" thickTop="1" thickBot="1">
      <c r="A661" s="7"/>
      <c r="B661" s="7" t="s">
        <v>22</v>
      </c>
      <c r="C661" s="7" t="s">
        <v>279</v>
      </c>
      <c r="D661" t="str">
        <f t="shared" si="19"/>
        <v>KHM</v>
      </c>
    </row>
    <row r="662" spans="1:4" ht="15.6" thickTop="1" thickBot="1">
      <c r="A662" s="7"/>
      <c r="B662" s="7" t="s">
        <v>23</v>
      </c>
      <c r="C662" s="7" t="s">
        <v>276</v>
      </c>
      <c r="D662" t="str">
        <f t="shared" si="19"/>
        <v>KHM</v>
      </c>
    </row>
    <row r="663" spans="1:4" ht="15.6" thickTop="1" thickBot="1">
      <c r="A663" s="7"/>
      <c r="B663" s="7" t="s">
        <v>24</v>
      </c>
      <c r="C663" s="7">
        <v>3050</v>
      </c>
      <c r="D663" t="str">
        <f t="shared" si="19"/>
        <v>KHM</v>
      </c>
    </row>
    <row r="664" spans="1:4" ht="20.399999999999999" thickTop="1" thickBot="1">
      <c r="A664" s="9" t="s">
        <v>280</v>
      </c>
      <c r="B664" s="10"/>
      <c r="C664" s="11"/>
      <c r="D664" t="str">
        <f t="shared" si="19"/>
        <v>CMR</v>
      </c>
    </row>
    <row r="665" spans="1:4" ht="30" thickTop="1" thickBot="1">
      <c r="A665" s="7"/>
      <c r="B665" s="7" t="s">
        <v>25</v>
      </c>
      <c r="C665" s="8">
        <v>472710</v>
      </c>
      <c r="D665" t="str">
        <f t="shared" si="19"/>
        <v>CMR</v>
      </c>
    </row>
    <row r="666" spans="1:4" ht="49.2" thickTop="1" thickBot="1">
      <c r="A666" s="7"/>
      <c r="B666" s="7" t="s">
        <v>26</v>
      </c>
      <c r="C666" s="7" t="s">
        <v>281</v>
      </c>
      <c r="D666" t="str">
        <f t="shared" si="19"/>
        <v>CMR</v>
      </c>
    </row>
    <row r="667" spans="1:4" ht="20.399999999999999" thickTop="1" thickBot="1">
      <c r="A667" s="7"/>
      <c r="B667" s="7" t="s">
        <v>28</v>
      </c>
      <c r="C667" s="7" t="s">
        <v>282</v>
      </c>
      <c r="D667" t="str">
        <f t="shared" si="19"/>
        <v>CMR</v>
      </c>
    </row>
    <row r="668" spans="1:4" ht="20.399999999999999" thickTop="1" thickBot="1">
      <c r="A668" s="7"/>
      <c r="B668" s="7" t="s">
        <v>30</v>
      </c>
      <c r="C668" s="7" t="s">
        <v>283</v>
      </c>
      <c r="D668" t="str">
        <f t="shared" si="19"/>
        <v>CMR</v>
      </c>
    </row>
    <row r="669" spans="1:4" ht="20.399999999999999" thickTop="1" thickBot="1">
      <c r="A669" s="7"/>
      <c r="B669" s="7" t="s">
        <v>32</v>
      </c>
      <c r="C669" s="7" t="s">
        <v>33</v>
      </c>
      <c r="D669" t="str">
        <f t="shared" si="19"/>
        <v>CMR</v>
      </c>
    </row>
    <row r="670" spans="1:4" ht="20.399999999999999" thickTop="1" thickBot="1">
      <c r="A670" s="7"/>
      <c r="B670" s="7" t="s">
        <v>1</v>
      </c>
      <c r="C670" s="7" t="s">
        <v>50</v>
      </c>
      <c r="D670" t="str">
        <f t="shared" si="19"/>
        <v>CMR</v>
      </c>
    </row>
    <row r="671" spans="1:4" ht="30" thickTop="1" thickBot="1">
      <c r="A671" s="7"/>
      <c r="B671" s="7" t="s">
        <v>3</v>
      </c>
      <c r="C671" s="7" t="s">
        <v>69</v>
      </c>
      <c r="D671" t="str">
        <f t="shared" si="19"/>
        <v>CMR</v>
      </c>
    </row>
    <row r="672" spans="1:4" ht="20.399999999999999" thickTop="1" thickBot="1">
      <c r="A672" s="7"/>
      <c r="B672" s="7" t="s">
        <v>5</v>
      </c>
      <c r="C672" s="7" t="s">
        <v>51</v>
      </c>
      <c r="D672" t="str">
        <f t="shared" si="19"/>
        <v>CMR</v>
      </c>
    </row>
    <row r="673" spans="1:4" ht="30" thickTop="1" thickBot="1">
      <c r="A673" s="7"/>
      <c r="B673" s="7" t="s">
        <v>7</v>
      </c>
      <c r="C673" s="7" t="s">
        <v>70</v>
      </c>
      <c r="D673" t="str">
        <f t="shared" si="19"/>
        <v>CMR</v>
      </c>
    </row>
    <row r="674" spans="1:4" ht="49.2" thickTop="1" thickBot="1">
      <c r="A674" s="7"/>
      <c r="B674" s="7" t="s">
        <v>9</v>
      </c>
      <c r="C674" s="7">
        <v>2017</v>
      </c>
      <c r="D674" t="str">
        <f t="shared" si="19"/>
        <v>CMR</v>
      </c>
    </row>
    <row r="675" spans="1:4" ht="39.6" thickTop="1" thickBot="1">
      <c r="A675" s="7"/>
      <c r="B675" s="7" t="s">
        <v>10</v>
      </c>
      <c r="C675" s="7">
        <v>2018</v>
      </c>
      <c r="D675" t="str">
        <f t="shared" si="19"/>
        <v>CMR</v>
      </c>
    </row>
    <row r="676" spans="1:4" ht="15.6" thickTop="1" thickBot="1">
      <c r="A676" s="7"/>
      <c r="B676" s="7" t="s">
        <v>11</v>
      </c>
      <c r="C676" s="7" t="s">
        <v>274</v>
      </c>
      <c r="D676" t="str">
        <f t="shared" si="19"/>
        <v>CMR</v>
      </c>
    </row>
    <row r="677" spans="1:4" ht="15.6" thickTop="1" thickBot="1">
      <c r="A677" s="7"/>
      <c r="B677" s="7" t="s">
        <v>13</v>
      </c>
      <c r="C677" s="7" t="s">
        <v>284</v>
      </c>
      <c r="D677" t="str">
        <f t="shared" si="19"/>
        <v>CMR</v>
      </c>
    </row>
    <row r="678" spans="1:4" ht="15.6" thickTop="1" thickBot="1">
      <c r="A678" s="7"/>
      <c r="B678" s="7" t="s">
        <v>15</v>
      </c>
      <c r="C678" s="7" t="s">
        <v>285</v>
      </c>
      <c r="D678" t="str">
        <f t="shared" si="19"/>
        <v>CMR</v>
      </c>
    </row>
    <row r="679" spans="1:4" ht="15.6" thickTop="1" thickBot="1">
      <c r="A679" s="7"/>
      <c r="B679" s="7" t="s">
        <v>22</v>
      </c>
      <c r="C679" s="7" t="s">
        <v>284</v>
      </c>
      <c r="D679" t="str">
        <f t="shared" si="19"/>
        <v>CMR</v>
      </c>
    </row>
    <row r="680" spans="1:4" ht="15.6" thickTop="1" thickBot="1">
      <c r="A680" s="7"/>
      <c r="B680" s="7" t="s">
        <v>23</v>
      </c>
      <c r="C680" s="7" t="s">
        <v>285</v>
      </c>
      <c r="D680" t="str">
        <f t="shared" si="19"/>
        <v>CMR</v>
      </c>
    </row>
    <row r="681" spans="1:4" ht="15.6" thickTop="1" thickBot="1">
      <c r="A681" s="7"/>
      <c r="B681" s="7" t="s">
        <v>24</v>
      </c>
      <c r="C681" s="7">
        <v>1045</v>
      </c>
      <c r="D681" t="str">
        <f t="shared" si="19"/>
        <v>CMR</v>
      </c>
    </row>
    <row r="682" spans="1:4" ht="15.6" thickTop="1" thickBot="1">
      <c r="A682" s="7"/>
      <c r="B682" s="7" t="s">
        <v>18</v>
      </c>
      <c r="C682" s="7" t="s">
        <v>286</v>
      </c>
      <c r="D682" t="str">
        <f t="shared" si="19"/>
        <v>CMR</v>
      </c>
    </row>
    <row r="683" spans="1:4" ht="15.6" thickTop="1" thickBot="1">
      <c r="A683" s="7"/>
      <c r="B683" s="7" t="s">
        <v>19</v>
      </c>
      <c r="C683" s="7" t="s">
        <v>287</v>
      </c>
      <c r="D683" t="str">
        <f t="shared" si="19"/>
        <v>CMR</v>
      </c>
    </row>
    <row r="684" spans="1:4" ht="15.6" thickTop="1" thickBot="1">
      <c r="A684" s="7"/>
      <c r="B684" s="7" t="s">
        <v>21</v>
      </c>
      <c r="C684" s="7" t="s">
        <v>288</v>
      </c>
      <c r="D684" t="str">
        <f t="shared" si="19"/>
        <v>CMR</v>
      </c>
    </row>
    <row r="685" spans="1:4" ht="15.6" thickTop="1" thickBot="1">
      <c r="A685" s="7"/>
      <c r="B685" s="7" t="s">
        <v>16</v>
      </c>
      <c r="C685" s="7" t="s">
        <v>284</v>
      </c>
      <c r="D685" t="str">
        <f t="shared" si="19"/>
        <v>CMR</v>
      </c>
    </row>
    <row r="686" spans="1:4" ht="15.6" thickTop="1" thickBot="1">
      <c r="A686" s="7"/>
      <c r="B686" s="7" t="s">
        <v>17</v>
      </c>
      <c r="C686" s="7" t="s">
        <v>285</v>
      </c>
      <c r="D686" t="str">
        <f t="shared" si="19"/>
        <v>CMR</v>
      </c>
    </row>
    <row r="687" spans="1:4" ht="15.6" thickTop="1" thickBot="1">
      <c r="A687" s="9" t="s">
        <v>289</v>
      </c>
      <c r="B687" s="10"/>
      <c r="C687" s="11"/>
      <c r="D687" t="str">
        <f t="shared" si="19"/>
        <v>CAN</v>
      </c>
    </row>
    <row r="688" spans="1:4" ht="30" thickTop="1" thickBot="1">
      <c r="A688" s="7"/>
      <c r="B688" s="7" t="s">
        <v>25</v>
      </c>
      <c r="C688" s="8">
        <v>9093510</v>
      </c>
      <c r="D688" t="str">
        <f t="shared" si="19"/>
        <v>CAN</v>
      </c>
    </row>
    <row r="689" spans="1:4" ht="30" thickTop="1" thickBot="1">
      <c r="A689" s="7"/>
      <c r="B689" s="7" t="s">
        <v>26</v>
      </c>
      <c r="C689" s="7" t="s">
        <v>290</v>
      </c>
      <c r="D689" t="str">
        <f t="shared" si="19"/>
        <v>CAN</v>
      </c>
    </row>
    <row r="690" spans="1:4" ht="20.399999999999999" thickTop="1" thickBot="1">
      <c r="A690" s="7"/>
      <c r="B690" s="7" t="s">
        <v>1</v>
      </c>
      <c r="C690" s="7" t="s">
        <v>79</v>
      </c>
      <c r="D690" t="str">
        <f t="shared" si="19"/>
        <v>CAN</v>
      </c>
    </row>
    <row r="691" spans="1:4" ht="30" thickTop="1" thickBot="1">
      <c r="A691" s="7"/>
      <c r="B691" s="7" t="s">
        <v>3</v>
      </c>
      <c r="C691" s="7" t="s">
        <v>59</v>
      </c>
      <c r="D691" t="str">
        <f t="shared" si="19"/>
        <v>CAN</v>
      </c>
    </row>
    <row r="692" spans="1:4" ht="20.399999999999999" thickTop="1" thickBot="1">
      <c r="A692" s="7"/>
      <c r="B692" s="7" t="s">
        <v>5</v>
      </c>
      <c r="C692" s="7" t="s">
        <v>80</v>
      </c>
      <c r="D692" t="str">
        <f t="shared" si="19"/>
        <v>CAN</v>
      </c>
    </row>
    <row r="693" spans="1:4" ht="30" thickTop="1" thickBot="1">
      <c r="A693" s="7"/>
      <c r="B693" s="7" t="s">
        <v>7</v>
      </c>
      <c r="C693" s="7" t="s">
        <v>60</v>
      </c>
      <c r="D693" t="str">
        <f t="shared" si="19"/>
        <v>CAN</v>
      </c>
    </row>
    <row r="694" spans="1:4" ht="49.2" thickTop="1" thickBot="1">
      <c r="A694" s="7"/>
      <c r="B694" s="7" t="s">
        <v>9</v>
      </c>
      <c r="C694" s="7">
        <v>2017</v>
      </c>
      <c r="D694" t="str">
        <f t="shared" si="19"/>
        <v>CAN</v>
      </c>
    </row>
    <row r="695" spans="1:4" ht="39.6" thickTop="1" thickBot="1">
      <c r="A695" s="7"/>
      <c r="B695" s="7" t="s">
        <v>10</v>
      </c>
      <c r="C695" s="7">
        <v>2018</v>
      </c>
      <c r="D695" t="str">
        <f t="shared" si="19"/>
        <v>CAN</v>
      </c>
    </row>
    <row r="696" spans="1:4" ht="20.399999999999999" thickTop="1" thickBot="1">
      <c r="A696" s="7"/>
      <c r="B696" s="7" t="s">
        <v>28</v>
      </c>
      <c r="C696" s="7" t="s">
        <v>291</v>
      </c>
      <c r="D696" t="str">
        <f t="shared" si="19"/>
        <v>CAN</v>
      </c>
    </row>
    <row r="697" spans="1:4" ht="20.399999999999999" thickTop="1" thickBot="1">
      <c r="A697" s="7"/>
      <c r="B697" s="7" t="s">
        <v>30</v>
      </c>
      <c r="C697" s="7" t="s">
        <v>291</v>
      </c>
      <c r="D697" t="str">
        <f t="shared" si="19"/>
        <v>CAN</v>
      </c>
    </row>
    <row r="698" spans="1:4" ht="20.399999999999999" thickTop="1" thickBot="1">
      <c r="A698" s="7"/>
      <c r="B698" s="7" t="s">
        <v>32</v>
      </c>
      <c r="C698" s="7" t="s">
        <v>33</v>
      </c>
      <c r="D698" t="str">
        <f t="shared" si="19"/>
        <v>CAN</v>
      </c>
    </row>
    <row r="699" spans="1:4" ht="15.6" thickTop="1" thickBot="1">
      <c r="A699" s="7"/>
      <c r="B699" s="7" t="s">
        <v>11</v>
      </c>
      <c r="C699" s="7" t="s">
        <v>292</v>
      </c>
      <c r="D699" t="str">
        <f t="shared" si="19"/>
        <v>CAN</v>
      </c>
    </row>
    <row r="700" spans="1:4" ht="15.6" thickTop="1" thickBot="1">
      <c r="A700" s="7"/>
      <c r="B700" s="7" t="s">
        <v>13</v>
      </c>
      <c r="C700" s="7" t="s">
        <v>293</v>
      </c>
      <c r="D700" t="str">
        <f t="shared" si="19"/>
        <v>CAN</v>
      </c>
    </row>
    <row r="701" spans="1:4" ht="15.6" thickTop="1" thickBot="1">
      <c r="A701" s="7"/>
      <c r="B701" s="7" t="s">
        <v>15</v>
      </c>
      <c r="C701" s="7" t="s">
        <v>294</v>
      </c>
      <c r="D701" t="str">
        <f t="shared" si="19"/>
        <v>CAN</v>
      </c>
    </row>
    <row r="702" spans="1:4" ht="15.6" thickTop="1" thickBot="1">
      <c r="A702" s="7"/>
      <c r="B702" s="7" t="s">
        <v>16</v>
      </c>
      <c r="C702" s="7" t="s">
        <v>293</v>
      </c>
      <c r="D702" t="str">
        <f t="shared" si="19"/>
        <v>CAN</v>
      </c>
    </row>
    <row r="703" spans="1:4" ht="15.6" thickTop="1" thickBot="1">
      <c r="A703" s="7"/>
      <c r="B703" s="7" t="s">
        <v>17</v>
      </c>
      <c r="C703" s="7" t="s">
        <v>294</v>
      </c>
      <c r="D703" t="str">
        <f t="shared" si="19"/>
        <v>CAN</v>
      </c>
    </row>
    <row r="704" spans="1:4" ht="15.6" thickTop="1" thickBot="1">
      <c r="A704" s="7"/>
      <c r="B704" s="7" t="s">
        <v>18</v>
      </c>
      <c r="C704" s="7" t="s">
        <v>294</v>
      </c>
      <c r="D704" t="str">
        <f t="shared" si="19"/>
        <v>CAN</v>
      </c>
    </row>
    <row r="705" spans="1:4" ht="15.6" thickTop="1" thickBot="1">
      <c r="A705" s="7"/>
      <c r="B705" s="7" t="s">
        <v>19</v>
      </c>
      <c r="C705" s="7" t="s">
        <v>295</v>
      </c>
      <c r="D705" t="str">
        <f t="shared" si="19"/>
        <v>CAN</v>
      </c>
    </row>
    <row r="706" spans="1:4" ht="15.6" thickTop="1" thickBot="1">
      <c r="A706" s="7"/>
      <c r="B706" s="7" t="s">
        <v>21</v>
      </c>
      <c r="C706" s="7" t="s">
        <v>294</v>
      </c>
      <c r="D706" t="str">
        <f t="shared" ref="D706:D769" si="20">IF(ISNUMBER(FIND(":", A706)), LEFT(A706, FIND(":", A706) - 1), D705)</f>
        <v>CAN</v>
      </c>
    </row>
    <row r="707" spans="1:4" ht="15.6" thickTop="1" thickBot="1">
      <c r="A707" s="7"/>
      <c r="B707" s="7" t="s">
        <v>22</v>
      </c>
      <c r="C707" s="7" t="s">
        <v>296</v>
      </c>
      <c r="D707" t="str">
        <f t="shared" si="20"/>
        <v>CAN</v>
      </c>
    </row>
    <row r="708" spans="1:4" ht="15.6" thickTop="1" thickBot="1">
      <c r="A708" s="7"/>
      <c r="B708" s="7" t="s">
        <v>23</v>
      </c>
      <c r="C708" s="7" t="s">
        <v>294</v>
      </c>
      <c r="D708" t="str">
        <f t="shared" si="20"/>
        <v>CAN</v>
      </c>
    </row>
    <row r="709" spans="1:4" ht="15.6" thickTop="1" thickBot="1">
      <c r="A709" s="7"/>
      <c r="B709" s="7" t="s">
        <v>24</v>
      </c>
      <c r="C709" s="7">
        <v>2090</v>
      </c>
      <c r="D709" t="str">
        <f t="shared" si="20"/>
        <v>CAN</v>
      </c>
    </row>
    <row r="710" spans="1:4" ht="20.399999999999999" thickTop="1" thickBot="1">
      <c r="A710" s="9" t="s">
        <v>297</v>
      </c>
      <c r="B710" s="10"/>
      <c r="C710" s="11"/>
      <c r="D710" t="str">
        <f t="shared" si="20"/>
        <v>CPV</v>
      </c>
    </row>
    <row r="711" spans="1:4" ht="30" thickTop="1" thickBot="1">
      <c r="A711" s="7"/>
      <c r="B711" s="7" t="s">
        <v>25</v>
      </c>
      <c r="C711" s="8">
        <v>4030</v>
      </c>
      <c r="D711" t="str">
        <f t="shared" si="20"/>
        <v>CPV</v>
      </c>
    </row>
    <row r="712" spans="1:4" ht="20.399999999999999" thickTop="1" thickBot="1">
      <c r="A712" s="7"/>
      <c r="B712" s="7" t="s">
        <v>26</v>
      </c>
      <c r="C712" s="7" t="s">
        <v>298</v>
      </c>
      <c r="D712" t="str">
        <f t="shared" si="20"/>
        <v>CPV</v>
      </c>
    </row>
    <row r="713" spans="1:4" ht="20.399999999999999" thickTop="1" thickBot="1">
      <c r="A713" s="7"/>
      <c r="B713" s="7" t="s">
        <v>28</v>
      </c>
      <c r="C713" s="7" t="s">
        <v>299</v>
      </c>
      <c r="D713" t="str">
        <f t="shared" si="20"/>
        <v>CPV</v>
      </c>
    </row>
    <row r="714" spans="1:4" ht="20.399999999999999" thickTop="1" thickBot="1">
      <c r="A714" s="7"/>
      <c r="B714" s="7" t="s">
        <v>30</v>
      </c>
      <c r="C714" s="7" t="s">
        <v>299</v>
      </c>
      <c r="D714" t="str">
        <f t="shared" si="20"/>
        <v>CPV</v>
      </c>
    </row>
    <row r="715" spans="1:4" ht="20.399999999999999" thickTop="1" thickBot="1">
      <c r="A715" s="7"/>
      <c r="B715" s="7" t="s">
        <v>32</v>
      </c>
      <c r="C715" s="7" t="s">
        <v>33</v>
      </c>
      <c r="D715" t="str">
        <f t="shared" si="20"/>
        <v>CPV</v>
      </c>
    </row>
    <row r="716" spans="1:4" ht="20.399999999999999" thickTop="1" thickBot="1">
      <c r="A716" s="7"/>
      <c r="B716" s="7" t="s">
        <v>1</v>
      </c>
      <c r="C716" s="7" t="s">
        <v>50</v>
      </c>
      <c r="D716" t="str">
        <f t="shared" si="20"/>
        <v>CPV</v>
      </c>
    </row>
    <row r="717" spans="1:4" ht="30" thickTop="1" thickBot="1">
      <c r="A717" s="7"/>
      <c r="B717" s="7" t="s">
        <v>3</v>
      </c>
      <c r="C717" s="7" t="s">
        <v>69</v>
      </c>
      <c r="D717" t="str">
        <f t="shared" si="20"/>
        <v>CPV</v>
      </c>
    </row>
    <row r="718" spans="1:4" ht="20.399999999999999" thickTop="1" thickBot="1">
      <c r="A718" s="7"/>
      <c r="B718" s="7" t="s">
        <v>5</v>
      </c>
      <c r="C718" s="7" t="s">
        <v>51</v>
      </c>
      <c r="D718" t="str">
        <f t="shared" si="20"/>
        <v>CPV</v>
      </c>
    </row>
    <row r="719" spans="1:4" ht="30" thickTop="1" thickBot="1">
      <c r="A719" s="7"/>
      <c r="B719" s="7" t="s">
        <v>7</v>
      </c>
      <c r="C719" s="7" t="s">
        <v>70</v>
      </c>
      <c r="D719" t="str">
        <f t="shared" si="20"/>
        <v>CPV</v>
      </c>
    </row>
    <row r="720" spans="1:4" ht="49.2" thickTop="1" thickBot="1">
      <c r="A720" s="7"/>
      <c r="B720" s="7" t="s">
        <v>9</v>
      </c>
      <c r="C720" s="7">
        <v>2017</v>
      </c>
      <c r="D720" t="str">
        <f t="shared" si="20"/>
        <v>CPV</v>
      </c>
    </row>
    <row r="721" spans="1:4" ht="39.6" thickTop="1" thickBot="1">
      <c r="A721" s="7"/>
      <c r="B721" s="7" t="s">
        <v>10</v>
      </c>
      <c r="C721" s="7">
        <v>2018</v>
      </c>
      <c r="D721" t="str">
        <f t="shared" si="20"/>
        <v>CPV</v>
      </c>
    </row>
    <row r="722" spans="1:4" ht="15.6" thickTop="1" thickBot="1">
      <c r="A722" s="7"/>
      <c r="B722" s="7" t="s">
        <v>13</v>
      </c>
      <c r="C722" s="7" t="s">
        <v>300</v>
      </c>
      <c r="D722" t="str">
        <f t="shared" si="20"/>
        <v>CPV</v>
      </c>
    </row>
    <row r="723" spans="1:4" ht="15.6" thickTop="1" thickBot="1">
      <c r="A723" s="7"/>
      <c r="B723" s="7" t="s">
        <v>15</v>
      </c>
      <c r="C723" s="7" t="s">
        <v>301</v>
      </c>
      <c r="D723" t="str">
        <f t="shared" si="20"/>
        <v>CPV</v>
      </c>
    </row>
    <row r="724" spans="1:4" ht="15.6" thickTop="1" thickBot="1">
      <c r="A724" s="7"/>
      <c r="B724" s="7" t="s">
        <v>16</v>
      </c>
      <c r="C724" s="7" t="s">
        <v>300</v>
      </c>
      <c r="D724" t="str">
        <f t="shared" si="20"/>
        <v>CPV</v>
      </c>
    </row>
    <row r="725" spans="1:4" ht="15.6" thickTop="1" thickBot="1">
      <c r="A725" s="7"/>
      <c r="B725" s="7" t="s">
        <v>17</v>
      </c>
      <c r="C725" s="7" t="s">
        <v>301</v>
      </c>
      <c r="D725" t="str">
        <f t="shared" si="20"/>
        <v>CPV</v>
      </c>
    </row>
    <row r="726" spans="1:4" ht="15.6" thickTop="1" thickBot="1">
      <c r="A726" s="7"/>
      <c r="B726" s="7" t="s">
        <v>18</v>
      </c>
      <c r="C726" s="7" t="s">
        <v>301</v>
      </c>
      <c r="D726" t="str">
        <f t="shared" si="20"/>
        <v>CPV</v>
      </c>
    </row>
    <row r="727" spans="1:4" ht="15.6" thickTop="1" thickBot="1">
      <c r="A727" s="7"/>
      <c r="B727" s="7" t="s">
        <v>19</v>
      </c>
      <c r="C727" s="7" t="s">
        <v>302</v>
      </c>
      <c r="D727" t="str">
        <f t="shared" si="20"/>
        <v>CPV</v>
      </c>
    </row>
    <row r="728" spans="1:4" ht="15.6" thickTop="1" thickBot="1">
      <c r="A728" s="7"/>
      <c r="B728" s="7" t="s">
        <v>21</v>
      </c>
      <c r="C728" s="7" t="s">
        <v>303</v>
      </c>
      <c r="D728" t="str">
        <f t="shared" si="20"/>
        <v>CPV</v>
      </c>
    </row>
    <row r="729" spans="1:4" ht="15.6" thickTop="1" thickBot="1">
      <c r="A729" s="7"/>
      <c r="B729" s="7" t="s">
        <v>22</v>
      </c>
      <c r="C729" s="7" t="s">
        <v>300</v>
      </c>
      <c r="D729" t="str">
        <f t="shared" si="20"/>
        <v>CPV</v>
      </c>
    </row>
    <row r="730" spans="1:4" ht="15.6" thickTop="1" thickBot="1">
      <c r="A730" s="7"/>
      <c r="B730" s="7" t="s">
        <v>23</v>
      </c>
      <c r="C730" s="7" t="s">
        <v>301</v>
      </c>
      <c r="D730" t="str">
        <f t="shared" si="20"/>
        <v>CPV</v>
      </c>
    </row>
    <row r="731" spans="1:4" ht="15.6" thickTop="1" thickBot="1">
      <c r="A731" s="7"/>
      <c r="B731" s="7" t="s">
        <v>24</v>
      </c>
      <c r="C731" s="7">
        <v>1060</v>
      </c>
      <c r="D731" t="str">
        <f t="shared" si="20"/>
        <v>CPV</v>
      </c>
    </row>
    <row r="732" spans="1:4" ht="30" thickTop="1" thickBot="1">
      <c r="A732" s="9" t="s">
        <v>304</v>
      </c>
      <c r="B732" s="10"/>
      <c r="C732" s="11"/>
      <c r="D732" t="str">
        <f t="shared" si="20"/>
        <v>CAF</v>
      </c>
    </row>
    <row r="733" spans="1:4" ht="30" thickTop="1" thickBot="1">
      <c r="A733" s="7"/>
      <c r="B733" s="7" t="s">
        <v>25</v>
      </c>
      <c r="C733" s="8">
        <v>622980</v>
      </c>
      <c r="D733" t="str">
        <f t="shared" si="20"/>
        <v>CAF</v>
      </c>
    </row>
    <row r="734" spans="1:4" ht="30" thickTop="1" thickBot="1">
      <c r="A734" s="7"/>
      <c r="B734" s="7" t="s">
        <v>26</v>
      </c>
      <c r="C734" s="7" t="s">
        <v>305</v>
      </c>
      <c r="D734" t="str">
        <f t="shared" si="20"/>
        <v>CAF</v>
      </c>
    </row>
    <row r="735" spans="1:4" ht="20.399999999999999" thickTop="1" thickBot="1">
      <c r="A735" s="7"/>
      <c r="B735" s="7" t="s">
        <v>1</v>
      </c>
      <c r="C735" s="7" t="s">
        <v>50</v>
      </c>
      <c r="D735" t="str">
        <f t="shared" si="20"/>
        <v>CAF</v>
      </c>
    </row>
    <row r="736" spans="1:4" ht="30" thickTop="1" thickBot="1">
      <c r="A736" s="7"/>
      <c r="B736" s="7" t="s">
        <v>3</v>
      </c>
      <c r="C736" s="7" t="s">
        <v>4</v>
      </c>
      <c r="D736" t="str">
        <f t="shared" si="20"/>
        <v>CAF</v>
      </c>
    </row>
    <row r="737" spans="1:4" ht="20.399999999999999" thickTop="1" thickBot="1">
      <c r="A737" s="7"/>
      <c r="B737" s="7" t="s">
        <v>5</v>
      </c>
      <c r="C737" s="7" t="s">
        <v>51</v>
      </c>
      <c r="D737" t="str">
        <f t="shared" si="20"/>
        <v>CAF</v>
      </c>
    </row>
    <row r="738" spans="1:4" ht="30" thickTop="1" thickBot="1">
      <c r="A738" s="7"/>
      <c r="B738" s="7" t="s">
        <v>7</v>
      </c>
      <c r="C738" s="7" t="s">
        <v>8</v>
      </c>
      <c r="D738" t="str">
        <f t="shared" si="20"/>
        <v>CAF</v>
      </c>
    </row>
    <row r="739" spans="1:4" ht="49.2" thickTop="1" thickBot="1">
      <c r="A739" s="7"/>
      <c r="B739" s="7" t="s">
        <v>9</v>
      </c>
      <c r="C739" s="7">
        <v>2017</v>
      </c>
      <c r="D739" t="str">
        <f t="shared" si="20"/>
        <v>CAF</v>
      </c>
    </row>
    <row r="740" spans="1:4" ht="39.6" thickTop="1" thickBot="1">
      <c r="A740" s="7"/>
      <c r="B740" s="7" t="s">
        <v>10</v>
      </c>
      <c r="C740" s="7">
        <v>2018</v>
      </c>
      <c r="D740" t="str">
        <f t="shared" si="20"/>
        <v>CAF</v>
      </c>
    </row>
    <row r="741" spans="1:4" ht="30" thickTop="1" thickBot="1">
      <c r="A741" s="7"/>
      <c r="B741" s="7" t="s">
        <v>28</v>
      </c>
      <c r="C741" s="7" t="s">
        <v>306</v>
      </c>
      <c r="D741" t="str">
        <f t="shared" si="20"/>
        <v>CAF</v>
      </c>
    </row>
    <row r="742" spans="1:4" ht="30" thickTop="1" thickBot="1">
      <c r="A742" s="7"/>
      <c r="B742" s="7" t="s">
        <v>30</v>
      </c>
      <c r="C742" s="7" t="s">
        <v>307</v>
      </c>
      <c r="D742" t="str">
        <f t="shared" si="20"/>
        <v>CAF</v>
      </c>
    </row>
    <row r="743" spans="1:4" ht="20.399999999999999" thickTop="1" thickBot="1">
      <c r="A743" s="7"/>
      <c r="B743" s="7" t="s">
        <v>32</v>
      </c>
      <c r="C743" s="7" t="s">
        <v>33</v>
      </c>
      <c r="D743" t="str">
        <f t="shared" si="20"/>
        <v>CAF</v>
      </c>
    </row>
    <row r="744" spans="1:4" ht="15.6" thickTop="1" thickBot="1">
      <c r="A744" s="7"/>
      <c r="B744" s="7" t="s">
        <v>11</v>
      </c>
      <c r="C744" s="7" t="s">
        <v>308</v>
      </c>
      <c r="D744" t="str">
        <f t="shared" si="20"/>
        <v>CAF</v>
      </c>
    </row>
    <row r="745" spans="1:4" ht="15.6" thickTop="1" thickBot="1">
      <c r="A745" s="7"/>
      <c r="B745" s="7" t="s">
        <v>13</v>
      </c>
      <c r="C745" s="7" t="s">
        <v>309</v>
      </c>
      <c r="D745" t="str">
        <f t="shared" si="20"/>
        <v>CAF</v>
      </c>
    </row>
    <row r="746" spans="1:4" ht="15.6" thickTop="1" thickBot="1">
      <c r="A746" s="7"/>
      <c r="B746" s="7" t="s">
        <v>15</v>
      </c>
      <c r="C746" s="7" t="s">
        <v>310</v>
      </c>
      <c r="D746" t="str">
        <f t="shared" si="20"/>
        <v>CAF</v>
      </c>
    </row>
    <row r="747" spans="1:4" ht="15.6" thickTop="1" thickBot="1">
      <c r="A747" s="7"/>
      <c r="B747" s="7" t="s">
        <v>16</v>
      </c>
      <c r="C747" s="7" t="s">
        <v>311</v>
      </c>
      <c r="D747" t="str">
        <f t="shared" si="20"/>
        <v>CAF</v>
      </c>
    </row>
    <row r="748" spans="1:4" ht="15.6" thickTop="1" thickBot="1">
      <c r="A748" s="7"/>
      <c r="B748" s="7" t="s">
        <v>17</v>
      </c>
      <c r="C748" s="7" t="s">
        <v>310</v>
      </c>
      <c r="D748" t="str">
        <f t="shared" si="20"/>
        <v>CAF</v>
      </c>
    </row>
    <row r="749" spans="1:4" ht="15.6" thickTop="1" thickBot="1">
      <c r="A749" s="7"/>
      <c r="B749" s="7" t="s">
        <v>18</v>
      </c>
      <c r="C749" s="7" t="s">
        <v>310</v>
      </c>
      <c r="D749" t="str">
        <f t="shared" si="20"/>
        <v>CAF</v>
      </c>
    </row>
    <row r="750" spans="1:4" ht="15.6" thickTop="1" thickBot="1">
      <c r="A750" s="7"/>
      <c r="B750" s="7" t="s">
        <v>19</v>
      </c>
      <c r="C750" s="7" t="s">
        <v>312</v>
      </c>
      <c r="D750" t="str">
        <f t="shared" si="20"/>
        <v>CAF</v>
      </c>
    </row>
    <row r="751" spans="1:4" ht="15.6" thickTop="1" thickBot="1">
      <c r="A751" s="7"/>
      <c r="B751" s="7" t="s">
        <v>21</v>
      </c>
      <c r="C751" s="7" t="s">
        <v>310</v>
      </c>
      <c r="D751" t="str">
        <f t="shared" si="20"/>
        <v>CAF</v>
      </c>
    </row>
    <row r="752" spans="1:4" ht="15.6" thickTop="1" thickBot="1">
      <c r="A752" s="7"/>
      <c r="B752" s="7" t="s">
        <v>22</v>
      </c>
      <c r="C752" s="7" t="s">
        <v>313</v>
      </c>
      <c r="D752" t="str">
        <f t="shared" si="20"/>
        <v>CAF</v>
      </c>
    </row>
    <row r="753" spans="1:4" ht="15.6" thickTop="1" thickBot="1">
      <c r="A753" s="7"/>
      <c r="B753" s="7" t="s">
        <v>23</v>
      </c>
      <c r="C753" s="7" t="s">
        <v>310</v>
      </c>
      <c r="D753" t="str">
        <f t="shared" si="20"/>
        <v>CAF</v>
      </c>
    </row>
    <row r="754" spans="1:4" ht="15.6" thickTop="1" thickBot="1">
      <c r="A754" s="7"/>
      <c r="B754" s="7" t="s">
        <v>24</v>
      </c>
      <c r="C754" s="7">
        <v>1070</v>
      </c>
      <c r="D754" t="str">
        <f t="shared" si="20"/>
        <v>CAF</v>
      </c>
    </row>
    <row r="755" spans="1:4" ht="15.6" thickTop="1" thickBot="1">
      <c r="A755" s="9" t="s">
        <v>314</v>
      </c>
      <c r="B755" s="10"/>
      <c r="C755" s="11"/>
      <c r="D755" t="str">
        <f t="shared" si="20"/>
        <v>TCD</v>
      </c>
    </row>
    <row r="756" spans="1:4" ht="30" thickTop="1" thickBot="1">
      <c r="A756" s="7"/>
      <c r="B756" s="7" t="s">
        <v>25</v>
      </c>
      <c r="C756" s="8">
        <v>1259200</v>
      </c>
      <c r="D756" t="str">
        <f t="shared" si="20"/>
        <v>TCD</v>
      </c>
    </row>
    <row r="757" spans="1:4" ht="58.8" thickTop="1" thickBot="1">
      <c r="A757" s="7"/>
      <c r="B757" s="7" t="s">
        <v>26</v>
      </c>
      <c r="C757" s="7" t="s">
        <v>315</v>
      </c>
      <c r="D757" t="str">
        <f t="shared" si="20"/>
        <v>TCD</v>
      </c>
    </row>
    <row r="758" spans="1:4" ht="20.399999999999999" thickTop="1" thickBot="1">
      <c r="A758" s="7"/>
      <c r="B758" s="7" t="s">
        <v>28</v>
      </c>
      <c r="C758" s="7" t="s">
        <v>316</v>
      </c>
      <c r="D758" t="str">
        <f t="shared" si="20"/>
        <v>TCD</v>
      </c>
    </row>
    <row r="759" spans="1:4" ht="20.399999999999999" thickTop="1" thickBot="1">
      <c r="A759" s="7"/>
      <c r="B759" s="7" t="s">
        <v>30</v>
      </c>
      <c r="C759" s="7" t="s">
        <v>317</v>
      </c>
      <c r="D759" t="str">
        <f t="shared" si="20"/>
        <v>TCD</v>
      </c>
    </row>
    <row r="760" spans="1:4" ht="20.399999999999999" thickTop="1" thickBot="1">
      <c r="A760" s="7"/>
      <c r="B760" s="7" t="s">
        <v>32</v>
      </c>
      <c r="C760" s="7" t="s">
        <v>33</v>
      </c>
      <c r="D760" t="str">
        <f t="shared" si="20"/>
        <v>TCD</v>
      </c>
    </row>
    <row r="761" spans="1:4" ht="20.399999999999999" thickTop="1" thickBot="1">
      <c r="A761" s="7"/>
      <c r="B761" s="7" t="s">
        <v>1</v>
      </c>
      <c r="C761" s="7" t="s">
        <v>50</v>
      </c>
      <c r="D761" t="str">
        <f t="shared" si="20"/>
        <v>TCD</v>
      </c>
    </row>
    <row r="762" spans="1:4" ht="30" thickTop="1" thickBot="1">
      <c r="A762" s="7"/>
      <c r="B762" s="7" t="s">
        <v>3</v>
      </c>
      <c r="C762" s="7" t="s">
        <v>4</v>
      </c>
      <c r="D762" t="str">
        <f t="shared" si="20"/>
        <v>TCD</v>
      </c>
    </row>
    <row r="763" spans="1:4" ht="20.399999999999999" thickTop="1" thickBot="1">
      <c r="A763" s="7"/>
      <c r="B763" s="7" t="s">
        <v>5</v>
      </c>
      <c r="C763" s="7" t="s">
        <v>51</v>
      </c>
      <c r="D763" t="str">
        <f t="shared" si="20"/>
        <v>TCD</v>
      </c>
    </row>
    <row r="764" spans="1:4" ht="30" thickTop="1" thickBot="1">
      <c r="A764" s="7"/>
      <c r="B764" s="7" t="s">
        <v>7</v>
      </c>
      <c r="C764" s="7" t="s">
        <v>8</v>
      </c>
      <c r="D764" t="str">
        <f t="shared" si="20"/>
        <v>TCD</v>
      </c>
    </row>
    <row r="765" spans="1:4" ht="49.2" thickTop="1" thickBot="1">
      <c r="A765" s="7"/>
      <c r="B765" s="7" t="s">
        <v>9</v>
      </c>
      <c r="C765" s="7">
        <v>2017</v>
      </c>
      <c r="D765" t="str">
        <f t="shared" si="20"/>
        <v>TCD</v>
      </c>
    </row>
    <row r="766" spans="1:4" ht="39.6" thickTop="1" thickBot="1">
      <c r="A766" s="7"/>
      <c r="B766" s="7" t="s">
        <v>10</v>
      </c>
      <c r="C766" s="7">
        <v>2018</v>
      </c>
      <c r="D766" t="str">
        <f t="shared" si="20"/>
        <v>TCD</v>
      </c>
    </row>
    <row r="767" spans="1:4" ht="15.6" thickTop="1" thickBot="1">
      <c r="A767" s="7"/>
      <c r="B767" s="7" t="s">
        <v>11</v>
      </c>
      <c r="C767" s="7" t="s">
        <v>318</v>
      </c>
      <c r="D767" t="str">
        <f t="shared" si="20"/>
        <v>TCD</v>
      </c>
    </row>
    <row r="768" spans="1:4" ht="15.6" thickTop="1" thickBot="1">
      <c r="A768" s="7"/>
      <c r="B768" s="7" t="s">
        <v>13</v>
      </c>
      <c r="C768" s="7" t="s">
        <v>319</v>
      </c>
      <c r="D768" t="str">
        <f t="shared" si="20"/>
        <v>TCD</v>
      </c>
    </row>
    <row r="769" spans="1:4" ht="15.6" thickTop="1" thickBot="1">
      <c r="A769" s="7"/>
      <c r="B769" s="7" t="s">
        <v>15</v>
      </c>
      <c r="C769" s="7" t="s">
        <v>320</v>
      </c>
      <c r="D769" t="str">
        <f t="shared" si="20"/>
        <v>TCD</v>
      </c>
    </row>
    <row r="770" spans="1:4" ht="15.6" thickTop="1" thickBot="1">
      <c r="A770" s="7"/>
      <c r="B770" s="7" t="s">
        <v>16</v>
      </c>
      <c r="C770" s="7" t="s">
        <v>321</v>
      </c>
      <c r="D770" t="str">
        <f t="shared" ref="D770:D833" si="21">IF(ISNUMBER(FIND(":", A770)), LEFT(A770, FIND(":", A770) - 1), D769)</f>
        <v>TCD</v>
      </c>
    </row>
    <row r="771" spans="1:4" ht="15.6" thickTop="1" thickBot="1">
      <c r="A771" s="7"/>
      <c r="B771" s="7" t="s">
        <v>17</v>
      </c>
      <c r="C771" s="7" t="s">
        <v>322</v>
      </c>
      <c r="D771" t="str">
        <f t="shared" si="21"/>
        <v>TCD</v>
      </c>
    </row>
    <row r="772" spans="1:4" ht="15.6" thickTop="1" thickBot="1">
      <c r="A772" s="7"/>
      <c r="B772" s="7" t="s">
        <v>18</v>
      </c>
      <c r="C772" s="7" t="s">
        <v>322</v>
      </c>
      <c r="D772" t="str">
        <f t="shared" si="21"/>
        <v>TCD</v>
      </c>
    </row>
    <row r="773" spans="1:4" ht="15.6" thickTop="1" thickBot="1">
      <c r="A773" s="7"/>
      <c r="B773" s="7" t="s">
        <v>19</v>
      </c>
      <c r="C773" s="7" t="s">
        <v>323</v>
      </c>
      <c r="D773" t="str">
        <f t="shared" si="21"/>
        <v>TCD</v>
      </c>
    </row>
    <row r="774" spans="1:4" ht="15.6" thickTop="1" thickBot="1">
      <c r="A774" s="7"/>
      <c r="B774" s="7" t="s">
        <v>21</v>
      </c>
      <c r="C774" s="7" t="s">
        <v>320</v>
      </c>
      <c r="D774" t="str">
        <f t="shared" si="21"/>
        <v>TCD</v>
      </c>
    </row>
    <row r="775" spans="1:4" ht="15.6" thickTop="1" thickBot="1">
      <c r="A775" s="7"/>
      <c r="B775" s="7" t="s">
        <v>22</v>
      </c>
      <c r="C775" s="7" t="s">
        <v>319</v>
      </c>
      <c r="D775" t="str">
        <f t="shared" si="21"/>
        <v>TCD</v>
      </c>
    </row>
    <row r="776" spans="1:4" ht="15.6" thickTop="1" thickBot="1">
      <c r="A776" s="7"/>
      <c r="B776" s="7" t="s">
        <v>23</v>
      </c>
      <c r="C776" s="7" t="s">
        <v>322</v>
      </c>
      <c r="D776" t="str">
        <f t="shared" si="21"/>
        <v>TCD</v>
      </c>
    </row>
    <row r="777" spans="1:4" ht="15.6" thickTop="1" thickBot="1">
      <c r="A777" s="7"/>
      <c r="B777" s="7" t="s">
        <v>24</v>
      </c>
      <c r="C777" s="7">
        <v>1080</v>
      </c>
      <c r="D777" t="str">
        <f t="shared" si="21"/>
        <v>TCD</v>
      </c>
    </row>
    <row r="778" spans="1:4" ht="15.6" thickTop="1" thickBot="1">
      <c r="A778" s="9" t="s">
        <v>324</v>
      </c>
      <c r="B778" s="10"/>
      <c r="C778" s="11"/>
      <c r="D778" t="str">
        <f t="shared" si="21"/>
        <v>CHL</v>
      </c>
    </row>
    <row r="779" spans="1:4" ht="30" thickTop="1" thickBot="1">
      <c r="A779" s="7"/>
      <c r="B779" s="7" t="s">
        <v>25</v>
      </c>
      <c r="C779" s="8">
        <v>743532</v>
      </c>
      <c r="D779" t="str">
        <f t="shared" si="21"/>
        <v>CHL</v>
      </c>
    </row>
    <row r="780" spans="1:4" ht="20.399999999999999" thickTop="1" thickBot="1">
      <c r="A780" s="7"/>
      <c r="B780" s="7" t="s">
        <v>26</v>
      </c>
      <c r="C780" s="7" t="s">
        <v>90</v>
      </c>
      <c r="D780" t="str">
        <f t="shared" si="21"/>
        <v>CHL</v>
      </c>
    </row>
    <row r="781" spans="1:4" ht="20.399999999999999" thickTop="1" thickBot="1">
      <c r="A781" s="7"/>
      <c r="B781" s="7" t="s">
        <v>1</v>
      </c>
      <c r="C781" s="7" t="s">
        <v>79</v>
      </c>
      <c r="D781" t="str">
        <f t="shared" si="21"/>
        <v>CHL</v>
      </c>
    </row>
    <row r="782" spans="1:4" ht="30" thickTop="1" thickBot="1">
      <c r="A782" s="7"/>
      <c r="B782" s="7" t="s">
        <v>3</v>
      </c>
      <c r="C782" s="7" t="s">
        <v>59</v>
      </c>
      <c r="D782" t="str">
        <f t="shared" si="21"/>
        <v>CHL</v>
      </c>
    </row>
    <row r="783" spans="1:4" ht="20.399999999999999" thickTop="1" thickBot="1">
      <c r="A783" s="7"/>
      <c r="B783" s="7" t="s">
        <v>5</v>
      </c>
      <c r="C783" s="7" t="s">
        <v>80</v>
      </c>
      <c r="D783" t="str">
        <f t="shared" si="21"/>
        <v>CHL</v>
      </c>
    </row>
    <row r="784" spans="1:4" ht="30" thickTop="1" thickBot="1">
      <c r="A784" s="7"/>
      <c r="B784" s="7" t="s">
        <v>7</v>
      </c>
      <c r="C784" s="7" t="s">
        <v>60</v>
      </c>
      <c r="D784" t="str">
        <f t="shared" si="21"/>
        <v>CHL</v>
      </c>
    </row>
    <row r="785" spans="1:4" ht="49.2" thickTop="1" thickBot="1">
      <c r="A785" s="7"/>
      <c r="B785" s="7" t="s">
        <v>9</v>
      </c>
      <c r="C785" s="7">
        <v>2017</v>
      </c>
      <c r="D785" t="str">
        <f t="shared" si="21"/>
        <v>CHL</v>
      </c>
    </row>
    <row r="786" spans="1:4" ht="39.6" thickTop="1" thickBot="1">
      <c r="A786" s="7"/>
      <c r="B786" s="7" t="s">
        <v>10</v>
      </c>
      <c r="C786" s="7">
        <v>2018</v>
      </c>
      <c r="D786" t="str">
        <f t="shared" si="21"/>
        <v>CHL</v>
      </c>
    </row>
    <row r="787" spans="1:4" ht="20.399999999999999" thickTop="1" thickBot="1">
      <c r="A787" s="7"/>
      <c r="B787" s="7" t="s">
        <v>28</v>
      </c>
      <c r="C787" s="7" t="s">
        <v>325</v>
      </c>
      <c r="D787" t="str">
        <f t="shared" si="21"/>
        <v>CHL</v>
      </c>
    </row>
    <row r="788" spans="1:4" ht="20.399999999999999" thickTop="1" thickBot="1">
      <c r="A788" s="7"/>
      <c r="B788" s="7" t="s">
        <v>30</v>
      </c>
      <c r="C788" s="7" t="s">
        <v>326</v>
      </c>
      <c r="D788" t="str">
        <f t="shared" si="21"/>
        <v>CHL</v>
      </c>
    </row>
    <row r="789" spans="1:4" ht="20.399999999999999" thickTop="1" thickBot="1">
      <c r="A789" s="7"/>
      <c r="B789" s="7" t="s">
        <v>32</v>
      </c>
      <c r="C789" s="7" t="s">
        <v>33</v>
      </c>
      <c r="D789" t="str">
        <f t="shared" si="21"/>
        <v>CHL</v>
      </c>
    </row>
    <row r="790" spans="1:4" ht="15.6" thickTop="1" thickBot="1">
      <c r="A790" s="7"/>
      <c r="B790" s="7" t="s">
        <v>11</v>
      </c>
      <c r="C790" s="7" t="s">
        <v>327</v>
      </c>
      <c r="D790" t="str">
        <f t="shared" si="21"/>
        <v>CHL</v>
      </c>
    </row>
    <row r="791" spans="1:4" ht="15.6" thickTop="1" thickBot="1">
      <c r="A791" s="7"/>
      <c r="B791" s="7" t="s">
        <v>13</v>
      </c>
      <c r="C791" s="7" t="s">
        <v>328</v>
      </c>
      <c r="D791" t="str">
        <f t="shared" si="21"/>
        <v>CHL</v>
      </c>
    </row>
    <row r="792" spans="1:4" ht="15.6" thickTop="1" thickBot="1">
      <c r="A792" s="7"/>
      <c r="B792" s="7" t="s">
        <v>15</v>
      </c>
      <c r="C792" s="7" t="s">
        <v>329</v>
      </c>
      <c r="D792" t="str">
        <f t="shared" si="21"/>
        <v>CHL</v>
      </c>
    </row>
    <row r="793" spans="1:4" ht="15.6" thickTop="1" thickBot="1">
      <c r="A793" s="7"/>
      <c r="B793" s="7" t="s">
        <v>22</v>
      </c>
      <c r="C793" s="7" t="s">
        <v>330</v>
      </c>
      <c r="D793" t="str">
        <f t="shared" si="21"/>
        <v>CHL</v>
      </c>
    </row>
    <row r="794" spans="1:4" ht="15.6" thickTop="1" thickBot="1">
      <c r="A794" s="7"/>
      <c r="B794" s="7" t="s">
        <v>23</v>
      </c>
      <c r="C794" s="7" t="s">
        <v>331</v>
      </c>
      <c r="D794" t="str">
        <f t="shared" si="21"/>
        <v>CHL</v>
      </c>
    </row>
    <row r="795" spans="1:4" ht="15.6" thickTop="1" thickBot="1">
      <c r="A795" s="7"/>
      <c r="B795" s="7" t="s">
        <v>24</v>
      </c>
      <c r="C795" s="7">
        <v>2120</v>
      </c>
      <c r="D795" t="str">
        <f t="shared" si="21"/>
        <v>CHL</v>
      </c>
    </row>
    <row r="796" spans="1:4" ht="15.6" thickTop="1" thickBot="1">
      <c r="A796" s="7"/>
      <c r="B796" s="7" t="s">
        <v>18</v>
      </c>
      <c r="C796" s="7" t="s">
        <v>331</v>
      </c>
      <c r="D796" t="str">
        <f t="shared" si="21"/>
        <v>CHL</v>
      </c>
    </row>
    <row r="797" spans="1:4" ht="15.6" thickTop="1" thickBot="1">
      <c r="A797" s="7"/>
      <c r="B797" s="7" t="s">
        <v>19</v>
      </c>
      <c r="C797" s="7" t="s">
        <v>332</v>
      </c>
      <c r="D797" t="str">
        <f t="shared" si="21"/>
        <v>CHL</v>
      </c>
    </row>
    <row r="798" spans="1:4" ht="15.6" thickTop="1" thickBot="1">
      <c r="A798" s="7"/>
      <c r="B798" s="7" t="s">
        <v>21</v>
      </c>
      <c r="C798" s="7" t="s">
        <v>329</v>
      </c>
      <c r="D798" t="str">
        <f t="shared" si="21"/>
        <v>CHL</v>
      </c>
    </row>
    <row r="799" spans="1:4" ht="15.6" thickTop="1" thickBot="1">
      <c r="A799" s="7"/>
      <c r="B799" s="7" t="s">
        <v>16</v>
      </c>
      <c r="C799" s="7" t="s">
        <v>333</v>
      </c>
      <c r="D799" t="str">
        <f t="shared" si="21"/>
        <v>CHL</v>
      </c>
    </row>
    <row r="800" spans="1:4" ht="15.6" thickTop="1" thickBot="1">
      <c r="A800" s="7"/>
      <c r="B800" s="7" t="s">
        <v>17</v>
      </c>
      <c r="C800" s="7" t="s">
        <v>331</v>
      </c>
      <c r="D800" t="str">
        <f t="shared" si="21"/>
        <v>CHL</v>
      </c>
    </row>
    <row r="801" spans="1:4" ht="15.6" thickTop="1" thickBot="1">
      <c r="A801" s="9" t="s">
        <v>334</v>
      </c>
      <c r="B801" s="10"/>
      <c r="C801" s="11"/>
      <c r="D801" t="str">
        <f t="shared" si="21"/>
        <v>CHN</v>
      </c>
    </row>
    <row r="802" spans="1:4" ht="30" thickTop="1" thickBot="1">
      <c r="A802" s="7"/>
      <c r="B802" s="7" t="s">
        <v>25</v>
      </c>
      <c r="C802" s="8">
        <v>9327489</v>
      </c>
      <c r="D802" t="str">
        <f t="shared" si="21"/>
        <v>CHN</v>
      </c>
    </row>
    <row r="803" spans="1:4" ht="30" thickTop="1" thickBot="1">
      <c r="A803" s="7"/>
      <c r="B803" s="7" t="s">
        <v>26</v>
      </c>
      <c r="C803" s="7" t="s">
        <v>335</v>
      </c>
      <c r="D803" t="str">
        <f t="shared" si="21"/>
        <v>CHN</v>
      </c>
    </row>
    <row r="804" spans="1:4" ht="20.399999999999999" thickTop="1" thickBot="1">
      <c r="A804" s="7"/>
      <c r="B804" s="7" t="s">
        <v>28</v>
      </c>
      <c r="C804" s="7" t="s">
        <v>336</v>
      </c>
      <c r="D804" t="str">
        <f t="shared" si="21"/>
        <v>CHN</v>
      </c>
    </row>
    <row r="805" spans="1:4" ht="20.399999999999999" thickTop="1" thickBot="1">
      <c r="A805" s="7"/>
      <c r="B805" s="7" t="s">
        <v>30</v>
      </c>
      <c r="C805" s="7" t="s">
        <v>337</v>
      </c>
      <c r="D805" t="str">
        <f t="shared" si="21"/>
        <v>CHN</v>
      </c>
    </row>
    <row r="806" spans="1:4" ht="20.399999999999999" thickTop="1" thickBot="1">
      <c r="A806" s="7"/>
      <c r="B806" s="7" t="s">
        <v>32</v>
      </c>
      <c r="C806" s="7" t="s">
        <v>33</v>
      </c>
      <c r="D806" t="str">
        <f t="shared" si="21"/>
        <v>CHN</v>
      </c>
    </row>
    <row r="807" spans="1:4" ht="20.399999999999999" thickTop="1" thickBot="1">
      <c r="A807" s="7"/>
      <c r="B807" s="7" t="s">
        <v>1</v>
      </c>
      <c r="C807" s="7" t="s">
        <v>107</v>
      </c>
      <c r="D807" t="str">
        <f t="shared" si="21"/>
        <v>CHN</v>
      </c>
    </row>
    <row r="808" spans="1:4" ht="30" thickTop="1" thickBot="1">
      <c r="A808" s="7"/>
      <c r="B808" s="7" t="s">
        <v>3</v>
      </c>
      <c r="C808" s="7" t="s">
        <v>36</v>
      </c>
      <c r="D808" t="str">
        <f t="shared" si="21"/>
        <v>CHN</v>
      </c>
    </row>
    <row r="809" spans="1:4" ht="20.399999999999999" thickTop="1" thickBot="1">
      <c r="A809" s="7"/>
      <c r="B809" s="7" t="s">
        <v>5</v>
      </c>
      <c r="C809" s="7" t="s">
        <v>108</v>
      </c>
      <c r="D809" t="str">
        <f t="shared" si="21"/>
        <v>CHN</v>
      </c>
    </row>
    <row r="810" spans="1:4" ht="30" thickTop="1" thickBot="1">
      <c r="A810" s="7"/>
      <c r="B810" s="7" t="s">
        <v>7</v>
      </c>
      <c r="C810" s="7" t="s">
        <v>38</v>
      </c>
      <c r="D810" t="str">
        <f t="shared" si="21"/>
        <v>CHN</v>
      </c>
    </row>
    <row r="811" spans="1:4" ht="49.2" thickTop="1" thickBot="1">
      <c r="A811" s="7"/>
      <c r="B811" s="7" t="s">
        <v>9</v>
      </c>
      <c r="C811" s="7">
        <v>2017</v>
      </c>
      <c r="D811" t="str">
        <f t="shared" si="21"/>
        <v>CHN</v>
      </c>
    </row>
    <row r="812" spans="1:4" ht="39.6" thickTop="1" thickBot="1">
      <c r="A812" s="7"/>
      <c r="B812" s="7" t="s">
        <v>10</v>
      </c>
      <c r="C812" s="7">
        <v>2018</v>
      </c>
      <c r="D812" t="str">
        <f t="shared" si="21"/>
        <v>CHN</v>
      </c>
    </row>
    <row r="813" spans="1:4" ht="15.6" thickTop="1" thickBot="1">
      <c r="A813" s="7"/>
      <c r="B813" s="7" t="s">
        <v>13</v>
      </c>
      <c r="C813" s="7" t="s">
        <v>330</v>
      </c>
      <c r="D813" t="str">
        <f t="shared" si="21"/>
        <v>CHN</v>
      </c>
    </row>
    <row r="814" spans="1:4" ht="15.6" thickTop="1" thickBot="1">
      <c r="A814" s="7"/>
      <c r="B814" s="7" t="s">
        <v>15</v>
      </c>
      <c r="C814" s="7" t="s">
        <v>338</v>
      </c>
      <c r="D814" t="str">
        <f t="shared" si="21"/>
        <v>CHN</v>
      </c>
    </row>
    <row r="815" spans="1:4" ht="15.6" thickTop="1" thickBot="1">
      <c r="A815" s="7"/>
      <c r="B815" s="7" t="s">
        <v>22</v>
      </c>
      <c r="C815" s="7" t="s">
        <v>328</v>
      </c>
      <c r="D815" t="str">
        <f t="shared" si="21"/>
        <v>CHN</v>
      </c>
    </row>
    <row r="816" spans="1:4" ht="15.6" thickTop="1" thickBot="1">
      <c r="A816" s="7"/>
      <c r="B816" s="7" t="s">
        <v>23</v>
      </c>
      <c r="C816" s="7" t="s">
        <v>338</v>
      </c>
      <c r="D816" t="str">
        <f t="shared" si="21"/>
        <v>CHN</v>
      </c>
    </row>
    <row r="817" spans="1:4" ht="15.6" thickTop="1" thickBot="1">
      <c r="A817" s="7"/>
      <c r="B817" s="7" t="s">
        <v>24</v>
      </c>
      <c r="C817" s="7">
        <v>3068</v>
      </c>
      <c r="D817" t="str">
        <f t="shared" si="21"/>
        <v>CHN</v>
      </c>
    </row>
    <row r="818" spans="1:4" ht="15.6" thickTop="1" thickBot="1">
      <c r="A818" s="7"/>
      <c r="B818" s="7" t="s">
        <v>18</v>
      </c>
      <c r="C818" s="7" t="s">
        <v>338</v>
      </c>
      <c r="D818" t="str">
        <f t="shared" si="21"/>
        <v>CHN</v>
      </c>
    </row>
    <row r="819" spans="1:4" ht="15.6" thickTop="1" thickBot="1">
      <c r="A819" s="7"/>
      <c r="B819" s="7" t="s">
        <v>19</v>
      </c>
      <c r="C819" s="7" t="s">
        <v>339</v>
      </c>
      <c r="D819" t="str">
        <f t="shared" si="21"/>
        <v>CHN</v>
      </c>
    </row>
    <row r="820" spans="1:4" ht="15.6" thickTop="1" thickBot="1">
      <c r="A820" s="7"/>
      <c r="B820" s="7" t="s">
        <v>21</v>
      </c>
      <c r="C820" s="7" t="s">
        <v>338</v>
      </c>
      <c r="D820" t="str">
        <f t="shared" si="21"/>
        <v>CHN</v>
      </c>
    </row>
    <row r="821" spans="1:4" ht="15.6" thickTop="1" thickBot="1">
      <c r="A821" s="7"/>
      <c r="B821" s="7" t="s">
        <v>16</v>
      </c>
      <c r="C821" s="7" t="s">
        <v>296</v>
      </c>
      <c r="D821" t="str">
        <f t="shared" si="21"/>
        <v>CHN</v>
      </c>
    </row>
    <row r="822" spans="1:4" ht="15.6" thickTop="1" thickBot="1">
      <c r="A822" s="7"/>
      <c r="B822" s="7" t="s">
        <v>17</v>
      </c>
      <c r="C822" s="7" t="s">
        <v>338</v>
      </c>
      <c r="D822" t="str">
        <f t="shared" si="21"/>
        <v>CHN</v>
      </c>
    </row>
    <row r="823" spans="1:4" ht="20.399999999999999" thickTop="1" thickBot="1">
      <c r="A823" s="9" t="s">
        <v>340</v>
      </c>
      <c r="B823" s="10"/>
      <c r="C823" s="11"/>
      <c r="D823" t="str">
        <f t="shared" si="21"/>
        <v>COL</v>
      </c>
    </row>
    <row r="824" spans="1:4" ht="30" thickTop="1" thickBot="1">
      <c r="A824" s="7"/>
      <c r="B824" s="7" t="s">
        <v>25</v>
      </c>
      <c r="C824" s="8">
        <v>1109500</v>
      </c>
      <c r="D824" t="str">
        <f t="shared" si="21"/>
        <v>COL</v>
      </c>
    </row>
    <row r="825" spans="1:4" ht="20.399999999999999" thickTop="1" thickBot="1">
      <c r="A825" s="7"/>
      <c r="B825" s="7" t="s">
        <v>26</v>
      </c>
      <c r="C825" s="7" t="s">
        <v>341</v>
      </c>
      <c r="D825" t="str">
        <f t="shared" si="21"/>
        <v>COL</v>
      </c>
    </row>
    <row r="826" spans="1:4" ht="20.399999999999999" thickTop="1" thickBot="1">
      <c r="A826" s="7"/>
      <c r="B826" s="7" t="s">
        <v>28</v>
      </c>
      <c r="C826" s="7" t="s">
        <v>342</v>
      </c>
      <c r="D826" t="str">
        <f t="shared" si="21"/>
        <v>COL</v>
      </c>
    </row>
    <row r="827" spans="1:4" ht="20.399999999999999" thickTop="1" thickBot="1">
      <c r="A827" s="7"/>
      <c r="B827" s="7" t="s">
        <v>30</v>
      </c>
      <c r="C827" s="7" t="s">
        <v>343</v>
      </c>
      <c r="D827" t="str">
        <f t="shared" si="21"/>
        <v>COL</v>
      </c>
    </row>
    <row r="828" spans="1:4" ht="20.399999999999999" thickTop="1" thickBot="1">
      <c r="A828" s="7"/>
      <c r="B828" s="7" t="s">
        <v>32</v>
      </c>
      <c r="C828" s="7" t="s">
        <v>33</v>
      </c>
      <c r="D828" t="str">
        <f t="shared" si="21"/>
        <v>COL</v>
      </c>
    </row>
    <row r="829" spans="1:4" ht="20.399999999999999" thickTop="1" thickBot="1">
      <c r="A829" s="7"/>
      <c r="B829" s="7" t="s">
        <v>1</v>
      </c>
      <c r="C829" s="7" t="s">
        <v>79</v>
      </c>
      <c r="D829" t="str">
        <f t="shared" si="21"/>
        <v>COL</v>
      </c>
    </row>
    <row r="830" spans="1:4" ht="30" thickTop="1" thickBot="1">
      <c r="A830" s="7"/>
      <c r="B830" s="7" t="s">
        <v>3</v>
      </c>
      <c r="C830" s="7" t="s">
        <v>36</v>
      </c>
      <c r="D830" t="str">
        <f t="shared" si="21"/>
        <v>COL</v>
      </c>
    </row>
    <row r="831" spans="1:4" ht="20.399999999999999" thickTop="1" thickBot="1">
      <c r="A831" s="7"/>
      <c r="B831" s="7" t="s">
        <v>5</v>
      </c>
      <c r="C831" s="7" t="s">
        <v>80</v>
      </c>
      <c r="D831" t="str">
        <f t="shared" si="21"/>
        <v>COL</v>
      </c>
    </row>
    <row r="832" spans="1:4" ht="30" thickTop="1" thickBot="1">
      <c r="A832" s="7"/>
      <c r="B832" s="7" t="s">
        <v>7</v>
      </c>
      <c r="C832" s="7" t="s">
        <v>38</v>
      </c>
      <c r="D832" t="str">
        <f t="shared" si="21"/>
        <v>COL</v>
      </c>
    </row>
    <row r="833" spans="1:4" ht="49.2" thickTop="1" thickBot="1">
      <c r="A833" s="7"/>
      <c r="B833" s="7" t="s">
        <v>9</v>
      </c>
      <c r="C833" s="7">
        <v>2017</v>
      </c>
      <c r="D833" t="str">
        <f t="shared" si="21"/>
        <v>COL</v>
      </c>
    </row>
    <row r="834" spans="1:4" ht="39.6" thickTop="1" thickBot="1">
      <c r="A834" s="7"/>
      <c r="B834" s="7" t="s">
        <v>10</v>
      </c>
      <c r="C834" s="7">
        <v>2018</v>
      </c>
      <c r="D834" t="str">
        <f t="shared" ref="D834:D897" si="22">IF(ISNUMBER(FIND(":", A834)), LEFT(A834, FIND(":", A834) - 1), D833)</f>
        <v>COL</v>
      </c>
    </row>
    <row r="835" spans="1:4" ht="15.6" thickTop="1" thickBot="1">
      <c r="A835" s="7"/>
      <c r="B835" s="7" t="s">
        <v>11</v>
      </c>
      <c r="C835" s="7" t="s">
        <v>344</v>
      </c>
      <c r="D835" t="str">
        <f t="shared" si="22"/>
        <v>COL</v>
      </c>
    </row>
    <row r="836" spans="1:4" ht="15.6" thickTop="1" thickBot="1">
      <c r="A836" s="7"/>
      <c r="B836" s="7" t="s">
        <v>13</v>
      </c>
      <c r="C836" s="7" t="s">
        <v>344</v>
      </c>
      <c r="D836" t="str">
        <f t="shared" si="22"/>
        <v>COL</v>
      </c>
    </row>
    <row r="837" spans="1:4" ht="15.6" thickTop="1" thickBot="1">
      <c r="A837" s="7"/>
      <c r="B837" s="7" t="s">
        <v>15</v>
      </c>
      <c r="C837" s="7" t="s">
        <v>345</v>
      </c>
      <c r="D837" t="str">
        <f t="shared" si="22"/>
        <v>COL</v>
      </c>
    </row>
    <row r="838" spans="1:4" ht="15.6" thickTop="1" thickBot="1">
      <c r="A838" s="7"/>
      <c r="B838" s="7" t="s">
        <v>16</v>
      </c>
      <c r="C838" s="7" t="s">
        <v>344</v>
      </c>
      <c r="D838" t="str">
        <f t="shared" si="22"/>
        <v>COL</v>
      </c>
    </row>
    <row r="839" spans="1:4" ht="15.6" thickTop="1" thickBot="1">
      <c r="A839" s="7"/>
      <c r="B839" s="7" t="s">
        <v>17</v>
      </c>
      <c r="C839" s="7" t="s">
        <v>345</v>
      </c>
      <c r="D839" t="str">
        <f t="shared" si="22"/>
        <v>COL</v>
      </c>
    </row>
    <row r="840" spans="1:4" ht="15.6" thickTop="1" thickBot="1">
      <c r="A840" s="7"/>
      <c r="B840" s="7" t="s">
        <v>18</v>
      </c>
      <c r="C840" s="7" t="s">
        <v>346</v>
      </c>
      <c r="D840" t="str">
        <f t="shared" si="22"/>
        <v>COL</v>
      </c>
    </row>
    <row r="841" spans="1:4" ht="15.6" thickTop="1" thickBot="1">
      <c r="A841" s="7"/>
      <c r="B841" s="7" t="s">
        <v>19</v>
      </c>
      <c r="C841" s="7" t="s">
        <v>347</v>
      </c>
      <c r="D841" t="str">
        <f t="shared" si="22"/>
        <v>COL</v>
      </c>
    </row>
    <row r="842" spans="1:4" ht="15.6" thickTop="1" thickBot="1">
      <c r="A842" s="7"/>
      <c r="B842" s="7" t="s">
        <v>21</v>
      </c>
      <c r="C842" s="7" t="s">
        <v>345</v>
      </c>
      <c r="D842" t="str">
        <f t="shared" si="22"/>
        <v>COL</v>
      </c>
    </row>
    <row r="843" spans="1:4" ht="15.6" thickTop="1" thickBot="1">
      <c r="A843" s="7"/>
      <c r="B843" s="7" t="s">
        <v>22</v>
      </c>
      <c r="C843" s="7" t="s">
        <v>344</v>
      </c>
      <c r="D843" t="str">
        <f t="shared" si="22"/>
        <v>COL</v>
      </c>
    </row>
    <row r="844" spans="1:4" ht="15.6" thickTop="1" thickBot="1">
      <c r="A844" s="7"/>
      <c r="B844" s="7" t="s">
        <v>23</v>
      </c>
      <c r="C844" s="7" t="s">
        <v>345</v>
      </c>
      <c r="D844" t="str">
        <f t="shared" si="22"/>
        <v>COL</v>
      </c>
    </row>
    <row r="845" spans="1:4" ht="15.6" thickTop="1" thickBot="1">
      <c r="A845" s="7"/>
      <c r="B845" s="7" t="s">
        <v>24</v>
      </c>
      <c r="C845" s="7">
        <v>2130</v>
      </c>
      <c r="D845" t="str">
        <f t="shared" si="22"/>
        <v>COL</v>
      </c>
    </row>
    <row r="846" spans="1:4" ht="20.399999999999999" thickTop="1" thickBot="1">
      <c r="A846" s="9" t="s">
        <v>348</v>
      </c>
      <c r="B846" s="10"/>
      <c r="C846" s="11"/>
      <c r="D846" t="str">
        <f t="shared" si="22"/>
        <v>COM</v>
      </c>
    </row>
    <row r="847" spans="1:4" ht="30" thickTop="1" thickBot="1">
      <c r="A847" s="7"/>
      <c r="B847" s="7" t="s">
        <v>25</v>
      </c>
      <c r="C847" s="8">
        <v>1861</v>
      </c>
      <c r="D847" t="str">
        <f t="shared" si="22"/>
        <v>COM</v>
      </c>
    </row>
    <row r="848" spans="1:4" ht="30" thickTop="1" thickBot="1">
      <c r="A848" s="7"/>
      <c r="B848" s="7" t="s">
        <v>26</v>
      </c>
      <c r="C848" s="7" t="s">
        <v>349</v>
      </c>
      <c r="D848" t="str">
        <f t="shared" si="22"/>
        <v>COM</v>
      </c>
    </row>
    <row r="849" spans="1:4" ht="20.399999999999999" thickTop="1" thickBot="1">
      <c r="A849" s="7"/>
      <c r="B849" s="7" t="s">
        <v>28</v>
      </c>
      <c r="C849" s="7" t="s">
        <v>350</v>
      </c>
      <c r="D849" t="str">
        <f t="shared" si="22"/>
        <v>COM</v>
      </c>
    </row>
    <row r="850" spans="1:4" ht="20.399999999999999" thickTop="1" thickBot="1">
      <c r="A850" s="7"/>
      <c r="B850" s="7" t="s">
        <v>30</v>
      </c>
      <c r="C850" s="7" t="s">
        <v>351</v>
      </c>
      <c r="D850" t="str">
        <f t="shared" si="22"/>
        <v>COM</v>
      </c>
    </row>
    <row r="851" spans="1:4" ht="20.399999999999999" thickTop="1" thickBot="1">
      <c r="A851" s="7"/>
      <c r="B851" s="7" t="s">
        <v>32</v>
      </c>
      <c r="C851" s="7" t="s">
        <v>33</v>
      </c>
      <c r="D851" t="str">
        <f t="shared" si="22"/>
        <v>COM</v>
      </c>
    </row>
    <row r="852" spans="1:4" ht="20.399999999999999" thickTop="1" thickBot="1">
      <c r="A852" s="7"/>
      <c r="B852" s="7" t="s">
        <v>1</v>
      </c>
      <c r="C852" s="7" t="s">
        <v>50</v>
      </c>
      <c r="D852" t="str">
        <f t="shared" si="22"/>
        <v>COM</v>
      </c>
    </row>
    <row r="853" spans="1:4" ht="30" thickTop="1" thickBot="1">
      <c r="A853" s="7"/>
      <c r="B853" s="7" t="s">
        <v>3</v>
      </c>
      <c r="C853" s="7" t="s">
        <v>4</v>
      </c>
      <c r="D853" t="str">
        <f t="shared" si="22"/>
        <v>COM</v>
      </c>
    </row>
    <row r="854" spans="1:4" ht="20.399999999999999" thickTop="1" thickBot="1">
      <c r="A854" s="7"/>
      <c r="B854" s="7" t="s">
        <v>5</v>
      </c>
      <c r="C854" s="7" t="s">
        <v>51</v>
      </c>
      <c r="D854" t="str">
        <f t="shared" si="22"/>
        <v>COM</v>
      </c>
    </row>
    <row r="855" spans="1:4" ht="30" thickTop="1" thickBot="1">
      <c r="A855" s="7"/>
      <c r="B855" s="7" t="s">
        <v>7</v>
      </c>
      <c r="C855" s="7" t="s">
        <v>8</v>
      </c>
      <c r="D855" t="str">
        <f t="shared" si="22"/>
        <v>COM</v>
      </c>
    </row>
    <row r="856" spans="1:4" ht="49.2" thickTop="1" thickBot="1">
      <c r="A856" s="7"/>
      <c r="B856" s="7" t="s">
        <v>9</v>
      </c>
      <c r="C856" s="7">
        <v>2017</v>
      </c>
      <c r="D856" t="str">
        <f t="shared" si="22"/>
        <v>COM</v>
      </c>
    </row>
    <row r="857" spans="1:4" ht="39.6" thickTop="1" thickBot="1">
      <c r="A857" s="7"/>
      <c r="B857" s="7" t="s">
        <v>10</v>
      </c>
      <c r="C857" s="7">
        <v>2018</v>
      </c>
      <c r="D857" t="str">
        <f t="shared" si="22"/>
        <v>COM</v>
      </c>
    </row>
    <row r="858" spans="1:4" ht="15.6" thickTop="1" thickBot="1">
      <c r="A858" s="7"/>
      <c r="B858" s="7" t="s">
        <v>13</v>
      </c>
      <c r="C858" s="7" t="s">
        <v>296</v>
      </c>
      <c r="D858" t="str">
        <f t="shared" si="22"/>
        <v>COM</v>
      </c>
    </row>
    <row r="859" spans="1:4" ht="15.6" thickTop="1" thickBot="1">
      <c r="A859" s="7"/>
      <c r="B859" s="7" t="s">
        <v>23</v>
      </c>
      <c r="C859" s="7" t="s">
        <v>352</v>
      </c>
      <c r="D859" t="str">
        <f t="shared" si="22"/>
        <v>COM</v>
      </c>
    </row>
    <row r="860" spans="1:4" ht="15.6" thickTop="1" thickBot="1">
      <c r="A860" s="7"/>
      <c r="B860" s="7" t="s">
        <v>24</v>
      </c>
      <c r="C860" s="7">
        <v>1090</v>
      </c>
      <c r="D860" t="str">
        <f t="shared" si="22"/>
        <v>COM</v>
      </c>
    </row>
    <row r="861" spans="1:4" ht="15.6" thickTop="1" thickBot="1">
      <c r="A861" s="7"/>
      <c r="B861" s="7" t="s">
        <v>21</v>
      </c>
      <c r="C861" s="7" t="s">
        <v>352</v>
      </c>
      <c r="D861" t="str">
        <f t="shared" si="22"/>
        <v>COM</v>
      </c>
    </row>
    <row r="862" spans="1:4" ht="15.6" thickTop="1" thickBot="1">
      <c r="A862" s="7"/>
      <c r="B862" s="7" t="s">
        <v>22</v>
      </c>
      <c r="C862" s="7" t="s">
        <v>353</v>
      </c>
      <c r="D862" t="str">
        <f t="shared" si="22"/>
        <v>COM</v>
      </c>
    </row>
    <row r="863" spans="1:4" ht="15.6" thickTop="1" thickBot="1">
      <c r="A863" s="7"/>
      <c r="B863" s="7" t="s">
        <v>18</v>
      </c>
      <c r="C863" s="7" t="s">
        <v>352</v>
      </c>
      <c r="D863" t="str">
        <f t="shared" si="22"/>
        <v>COM</v>
      </c>
    </row>
    <row r="864" spans="1:4" ht="15.6" thickTop="1" thickBot="1">
      <c r="A864" s="7"/>
      <c r="B864" s="7" t="s">
        <v>19</v>
      </c>
      <c r="C864" s="7" t="s">
        <v>354</v>
      </c>
      <c r="D864" t="str">
        <f t="shared" si="22"/>
        <v>COM</v>
      </c>
    </row>
    <row r="865" spans="1:4" ht="15.6" thickTop="1" thickBot="1">
      <c r="A865" s="7"/>
      <c r="B865" s="7" t="s">
        <v>17</v>
      </c>
      <c r="C865" s="7" t="s">
        <v>352</v>
      </c>
      <c r="D865" t="str">
        <f t="shared" si="22"/>
        <v>COM</v>
      </c>
    </row>
    <row r="866" spans="1:4" ht="15.6" thickTop="1" thickBot="1">
      <c r="A866" s="7"/>
      <c r="B866" s="7" t="s">
        <v>15</v>
      </c>
      <c r="C866" s="7" t="s">
        <v>352</v>
      </c>
      <c r="D866" t="str">
        <f t="shared" si="22"/>
        <v>COM</v>
      </c>
    </row>
    <row r="867" spans="1:4" ht="15.6" thickTop="1" thickBot="1">
      <c r="A867" s="7"/>
      <c r="B867" s="7" t="s">
        <v>16</v>
      </c>
      <c r="C867" s="7" t="s">
        <v>355</v>
      </c>
      <c r="D867" t="str">
        <f t="shared" si="22"/>
        <v>COM</v>
      </c>
    </row>
    <row r="868" spans="1:4" ht="15.6" thickTop="1" thickBot="1">
      <c r="A868" s="9" t="s">
        <v>356</v>
      </c>
      <c r="B868" s="10"/>
      <c r="C868" s="11"/>
      <c r="D868" t="str">
        <f t="shared" si="22"/>
        <v>COG</v>
      </c>
    </row>
    <row r="869" spans="1:4" ht="30" thickTop="1" thickBot="1">
      <c r="A869" s="7"/>
      <c r="B869" s="7" t="s">
        <v>25</v>
      </c>
      <c r="C869" s="8">
        <v>341500</v>
      </c>
      <c r="D869" t="str">
        <f t="shared" si="22"/>
        <v>COG</v>
      </c>
    </row>
    <row r="870" spans="1:4" ht="58.8" thickTop="1" thickBot="1">
      <c r="A870" s="7"/>
      <c r="B870" s="7" t="s">
        <v>26</v>
      </c>
      <c r="C870" s="7" t="s">
        <v>357</v>
      </c>
      <c r="D870" t="str">
        <f t="shared" si="22"/>
        <v>COG</v>
      </c>
    </row>
    <row r="871" spans="1:4" ht="20.399999999999999" thickTop="1" thickBot="1">
      <c r="A871" s="7"/>
      <c r="B871" s="7" t="s">
        <v>28</v>
      </c>
      <c r="C871" s="7" t="s">
        <v>358</v>
      </c>
      <c r="D871" t="str">
        <f t="shared" si="22"/>
        <v>COG</v>
      </c>
    </row>
    <row r="872" spans="1:4" ht="20.399999999999999" thickTop="1" thickBot="1">
      <c r="A872" s="7"/>
      <c r="B872" s="7" t="s">
        <v>30</v>
      </c>
      <c r="C872" s="7" t="s">
        <v>359</v>
      </c>
      <c r="D872" t="str">
        <f t="shared" si="22"/>
        <v>COG</v>
      </c>
    </row>
    <row r="873" spans="1:4" ht="20.399999999999999" thickTop="1" thickBot="1">
      <c r="A873" s="7"/>
      <c r="B873" s="7" t="s">
        <v>32</v>
      </c>
      <c r="C873" s="7" t="s">
        <v>33</v>
      </c>
      <c r="D873" t="str">
        <f t="shared" si="22"/>
        <v>COG</v>
      </c>
    </row>
    <row r="874" spans="1:4" ht="20.399999999999999" thickTop="1" thickBot="1">
      <c r="A874" s="7"/>
      <c r="B874" s="7" t="s">
        <v>1</v>
      </c>
      <c r="C874" s="7" t="s">
        <v>50</v>
      </c>
      <c r="D874" t="str">
        <f t="shared" si="22"/>
        <v>COG</v>
      </c>
    </row>
    <row r="875" spans="1:4" ht="30" thickTop="1" thickBot="1">
      <c r="A875" s="7"/>
      <c r="B875" s="7" t="s">
        <v>3</v>
      </c>
      <c r="C875" s="7" t="s">
        <v>69</v>
      </c>
      <c r="D875" t="str">
        <f t="shared" si="22"/>
        <v>COG</v>
      </c>
    </row>
    <row r="876" spans="1:4" ht="20.399999999999999" thickTop="1" thickBot="1">
      <c r="A876" s="7"/>
      <c r="B876" s="7" t="s">
        <v>5</v>
      </c>
      <c r="C876" s="7" t="s">
        <v>51</v>
      </c>
      <c r="D876" t="str">
        <f t="shared" si="22"/>
        <v>COG</v>
      </c>
    </row>
    <row r="877" spans="1:4" ht="30" thickTop="1" thickBot="1">
      <c r="A877" s="7"/>
      <c r="B877" s="7" t="s">
        <v>7</v>
      </c>
      <c r="C877" s="7" t="s">
        <v>70</v>
      </c>
      <c r="D877" t="str">
        <f t="shared" si="22"/>
        <v>COG</v>
      </c>
    </row>
    <row r="878" spans="1:4" ht="49.2" thickTop="1" thickBot="1">
      <c r="A878" s="7"/>
      <c r="B878" s="7" t="s">
        <v>9</v>
      </c>
      <c r="C878" s="7">
        <v>2017</v>
      </c>
      <c r="D878" t="str">
        <f t="shared" si="22"/>
        <v>COG</v>
      </c>
    </row>
    <row r="879" spans="1:4" ht="39.6" thickTop="1" thickBot="1">
      <c r="A879" s="7"/>
      <c r="B879" s="7" t="s">
        <v>10</v>
      </c>
      <c r="C879" s="7">
        <v>2018</v>
      </c>
      <c r="D879" t="str">
        <f t="shared" si="22"/>
        <v>COG</v>
      </c>
    </row>
    <row r="880" spans="1:4" ht="15.6" thickTop="1" thickBot="1">
      <c r="A880" s="7"/>
      <c r="B880" s="7" t="s">
        <v>11</v>
      </c>
      <c r="C880" s="7" t="s">
        <v>360</v>
      </c>
      <c r="D880" t="str">
        <f t="shared" si="22"/>
        <v>COG</v>
      </c>
    </row>
    <row r="881" spans="1:4" ht="15.6" thickTop="1" thickBot="1">
      <c r="A881" s="7"/>
      <c r="B881" s="7" t="s">
        <v>13</v>
      </c>
      <c r="C881" s="7" t="s">
        <v>311</v>
      </c>
      <c r="D881" t="str">
        <f t="shared" si="22"/>
        <v>COG</v>
      </c>
    </row>
    <row r="882" spans="1:4" ht="15.6" thickTop="1" thickBot="1">
      <c r="A882" s="7"/>
      <c r="B882" s="7" t="s">
        <v>15</v>
      </c>
      <c r="C882" s="7" t="s">
        <v>361</v>
      </c>
      <c r="D882" t="str">
        <f t="shared" si="22"/>
        <v>COG</v>
      </c>
    </row>
    <row r="883" spans="1:4" ht="15.6" thickTop="1" thickBot="1">
      <c r="A883" s="7"/>
      <c r="B883" s="7" t="s">
        <v>16</v>
      </c>
      <c r="C883" s="7" t="s">
        <v>362</v>
      </c>
      <c r="D883" t="str">
        <f t="shared" si="22"/>
        <v>COG</v>
      </c>
    </row>
    <row r="884" spans="1:4" ht="15.6" thickTop="1" thickBot="1">
      <c r="A884" s="7"/>
      <c r="B884" s="7" t="s">
        <v>17</v>
      </c>
      <c r="C884" s="7" t="s">
        <v>363</v>
      </c>
      <c r="D884" t="str">
        <f t="shared" si="22"/>
        <v>COG</v>
      </c>
    </row>
    <row r="885" spans="1:4" ht="15.6" thickTop="1" thickBot="1">
      <c r="A885" s="7"/>
      <c r="B885" s="7" t="s">
        <v>18</v>
      </c>
      <c r="C885" s="7" t="s">
        <v>363</v>
      </c>
      <c r="D885" t="str">
        <f t="shared" si="22"/>
        <v>COG</v>
      </c>
    </row>
    <row r="886" spans="1:4" ht="15.6" thickTop="1" thickBot="1">
      <c r="A886" s="7"/>
      <c r="B886" s="7" t="s">
        <v>19</v>
      </c>
      <c r="C886" s="7" t="s">
        <v>364</v>
      </c>
      <c r="D886" t="str">
        <f t="shared" si="22"/>
        <v>COG</v>
      </c>
    </row>
    <row r="887" spans="1:4" ht="15.6" thickTop="1" thickBot="1">
      <c r="A887" s="7"/>
      <c r="B887" s="7" t="s">
        <v>21</v>
      </c>
      <c r="C887" s="7" t="s">
        <v>365</v>
      </c>
      <c r="D887" t="str">
        <f t="shared" si="22"/>
        <v>COG</v>
      </c>
    </row>
    <row r="888" spans="1:4" ht="15.6" thickTop="1" thickBot="1">
      <c r="A888" s="7"/>
      <c r="B888" s="7" t="s">
        <v>22</v>
      </c>
      <c r="C888" s="7" t="s">
        <v>362</v>
      </c>
      <c r="D888" t="str">
        <f t="shared" si="22"/>
        <v>COG</v>
      </c>
    </row>
    <row r="889" spans="1:4" ht="15.6" thickTop="1" thickBot="1">
      <c r="A889" s="7"/>
      <c r="B889" s="7" t="s">
        <v>23</v>
      </c>
      <c r="C889" s="7" t="s">
        <v>363</v>
      </c>
      <c r="D889" t="str">
        <f t="shared" si="22"/>
        <v>COG</v>
      </c>
    </row>
    <row r="890" spans="1:4" ht="15.6" thickTop="1" thickBot="1">
      <c r="A890" s="7"/>
      <c r="B890" s="7" t="s">
        <v>24</v>
      </c>
      <c r="C890" s="7">
        <v>1100</v>
      </c>
      <c r="D890" t="str">
        <f t="shared" si="22"/>
        <v>COG</v>
      </c>
    </row>
    <row r="891" spans="1:4" ht="20.399999999999999" thickTop="1" thickBot="1">
      <c r="A891" s="9" t="s">
        <v>366</v>
      </c>
      <c r="B891" s="10"/>
      <c r="C891" s="11"/>
      <c r="D891" t="str">
        <f t="shared" si="22"/>
        <v>COK</v>
      </c>
    </row>
    <row r="892" spans="1:4" ht="20.399999999999999" thickTop="1" thickBot="1">
      <c r="A892" s="7"/>
      <c r="B892" s="7" t="s">
        <v>28</v>
      </c>
      <c r="C892" s="7" t="s">
        <v>367</v>
      </c>
      <c r="D892" t="str">
        <f t="shared" si="22"/>
        <v>COK</v>
      </c>
    </row>
    <row r="893" spans="1:4" ht="20.399999999999999" thickTop="1" thickBot="1">
      <c r="A893" s="7"/>
      <c r="B893" s="7" t="s">
        <v>30</v>
      </c>
      <c r="C893" s="7" t="s">
        <v>368</v>
      </c>
      <c r="D893" t="str">
        <f t="shared" si="22"/>
        <v>COK</v>
      </c>
    </row>
    <row r="894" spans="1:4" ht="20.399999999999999" thickTop="1" thickBot="1">
      <c r="A894" s="7"/>
      <c r="B894" s="7" t="s">
        <v>32</v>
      </c>
      <c r="C894" s="7" t="s">
        <v>33</v>
      </c>
      <c r="D894" t="str">
        <f t="shared" si="22"/>
        <v>COK</v>
      </c>
    </row>
    <row r="895" spans="1:4" ht="20.399999999999999" thickTop="1" thickBot="1">
      <c r="A895" s="7"/>
      <c r="B895" s="7" t="s">
        <v>1</v>
      </c>
      <c r="C895" s="7" t="s">
        <v>107</v>
      </c>
      <c r="D895" t="str">
        <f t="shared" si="22"/>
        <v>COK</v>
      </c>
    </row>
    <row r="896" spans="1:4" ht="30" thickTop="1" thickBot="1">
      <c r="A896" s="7"/>
      <c r="B896" s="7" t="s">
        <v>3</v>
      </c>
      <c r="C896" s="7" t="s">
        <v>369</v>
      </c>
      <c r="D896" t="str">
        <f t="shared" si="22"/>
        <v>COK</v>
      </c>
    </row>
    <row r="897" spans="1:4" ht="20.399999999999999" thickTop="1" thickBot="1">
      <c r="A897" s="7"/>
      <c r="B897" s="7" t="s">
        <v>5</v>
      </c>
      <c r="C897" s="7" t="s">
        <v>108</v>
      </c>
      <c r="D897" t="str">
        <f t="shared" si="22"/>
        <v>COK</v>
      </c>
    </row>
    <row r="898" spans="1:4" ht="30" thickTop="1" thickBot="1">
      <c r="A898" s="7"/>
      <c r="B898" s="7" t="s">
        <v>7</v>
      </c>
      <c r="C898" s="7" t="s">
        <v>60</v>
      </c>
      <c r="D898" t="str">
        <f t="shared" ref="D898:D961" si="23">IF(ISNUMBER(FIND(":", A898)), LEFT(A898, FIND(":", A898) - 1), D897)</f>
        <v>COK</v>
      </c>
    </row>
    <row r="899" spans="1:4" ht="15.6" thickTop="1" thickBot="1">
      <c r="A899" s="7"/>
      <c r="B899" s="7" t="s">
        <v>11</v>
      </c>
      <c r="C899" s="7" t="s">
        <v>370</v>
      </c>
      <c r="D899" t="str">
        <f t="shared" si="23"/>
        <v>COK</v>
      </c>
    </row>
    <row r="900" spans="1:4" ht="15.6" thickTop="1" thickBot="1">
      <c r="A900" s="7"/>
      <c r="B900" s="7" t="s">
        <v>13</v>
      </c>
      <c r="C900" s="7" t="s">
        <v>371</v>
      </c>
      <c r="D900" t="str">
        <f t="shared" si="23"/>
        <v>COK</v>
      </c>
    </row>
    <row r="901" spans="1:4" ht="15.6" thickTop="1" thickBot="1">
      <c r="A901" s="7"/>
      <c r="B901" s="7" t="s">
        <v>15</v>
      </c>
      <c r="C901" s="7" t="s">
        <v>372</v>
      </c>
      <c r="D901" t="str">
        <f t="shared" si="23"/>
        <v>COK</v>
      </c>
    </row>
    <row r="902" spans="1:4" ht="15.6" thickTop="1" thickBot="1">
      <c r="A902" s="7"/>
      <c r="B902" s="7" t="s">
        <v>16</v>
      </c>
      <c r="C902" s="7" t="s">
        <v>373</v>
      </c>
      <c r="D902" t="str">
        <f t="shared" si="23"/>
        <v>COK</v>
      </c>
    </row>
    <row r="903" spans="1:4" ht="15.6" thickTop="1" thickBot="1">
      <c r="A903" s="7"/>
      <c r="B903" s="7" t="s">
        <v>17</v>
      </c>
      <c r="C903" s="7" t="s">
        <v>372</v>
      </c>
      <c r="D903" t="str">
        <f t="shared" si="23"/>
        <v>COK</v>
      </c>
    </row>
    <row r="904" spans="1:4" ht="15.6" thickTop="1" thickBot="1">
      <c r="A904" s="7"/>
      <c r="B904" s="7" t="s">
        <v>18</v>
      </c>
      <c r="C904" s="7" t="s">
        <v>374</v>
      </c>
      <c r="D904" t="str">
        <f t="shared" si="23"/>
        <v>COK</v>
      </c>
    </row>
    <row r="905" spans="1:4" ht="15.6" thickTop="1" thickBot="1">
      <c r="A905" s="7"/>
      <c r="B905" s="7" t="s">
        <v>19</v>
      </c>
      <c r="C905" s="7" t="s">
        <v>375</v>
      </c>
      <c r="D905" t="str">
        <f t="shared" si="23"/>
        <v>COK</v>
      </c>
    </row>
    <row r="906" spans="1:4" ht="15.6" thickTop="1" thickBot="1">
      <c r="A906" s="7"/>
      <c r="B906" s="7" t="s">
        <v>21</v>
      </c>
      <c r="C906" s="7" t="s">
        <v>372</v>
      </c>
      <c r="D906" t="str">
        <f t="shared" si="23"/>
        <v>COK</v>
      </c>
    </row>
    <row r="907" spans="1:4" ht="15.6" thickTop="1" thickBot="1">
      <c r="A907" s="7"/>
      <c r="B907" s="7" t="s">
        <v>22</v>
      </c>
      <c r="C907" s="7" t="s">
        <v>376</v>
      </c>
      <c r="D907" t="str">
        <f t="shared" si="23"/>
        <v>COK</v>
      </c>
    </row>
    <row r="908" spans="1:4" ht="15.6" thickTop="1" thickBot="1">
      <c r="A908" s="7"/>
      <c r="B908" s="7" t="s">
        <v>23</v>
      </c>
      <c r="C908" s="7" t="s">
        <v>372</v>
      </c>
      <c r="D908" t="str">
        <f t="shared" si="23"/>
        <v>COK</v>
      </c>
    </row>
    <row r="909" spans="1:4" ht="15.6" thickTop="1" thickBot="1">
      <c r="A909" s="7"/>
      <c r="B909" s="7" t="s">
        <v>24</v>
      </c>
      <c r="C909" s="7">
        <v>5060</v>
      </c>
      <c r="D909" t="str">
        <f t="shared" si="23"/>
        <v>COK</v>
      </c>
    </row>
    <row r="910" spans="1:4" ht="49.2" thickTop="1" thickBot="1">
      <c r="A910" s="7"/>
      <c r="B910" s="7" t="s">
        <v>9</v>
      </c>
      <c r="C910" s="7">
        <v>2017</v>
      </c>
      <c r="D910" t="str">
        <f t="shared" si="23"/>
        <v>COK</v>
      </c>
    </row>
    <row r="911" spans="1:4" ht="39.6" thickTop="1" thickBot="1">
      <c r="A911" s="7"/>
      <c r="B911" s="7" t="s">
        <v>10</v>
      </c>
      <c r="C911" s="7">
        <v>2018</v>
      </c>
      <c r="D911" t="str">
        <f t="shared" si="23"/>
        <v>COK</v>
      </c>
    </row>
    <row r="912" spans="1:4" ht="20.399999999999999" thickTop="1" thickBot="1">
      <c r="A912" s="9" t="s">
        <v>377</v>
      </c>
      <c r="B912" s="10"/>
      <c r="C912" s="11"/>
      <c r="D912" t="str">
        <f t="shared" si="23"/>
        <v>CRI</v>
      </c>
    </row>
    <row r="913" spans="1:4" ht="30" thickTop="1" thickBot="1">
      <c r="A913" s="7"/>
      <c r="B913" s="7" t="s">
        <v>25</v>
      </c>
      <c r="C913" s="8">
        <v>51060</v>
      </c>
      <c r="D913" t="str">
        <f t="shared" si="23"/>
        <v>CRI</v>
      </c>
    </row>
    <row r="914" spans="1:4" ht="20.399999999999999" thickTop="1" thickBot="1">
      <c r="A914" s="7"/>
      <c r="B914" s="7" t="s">
        <v>26</v>
      </c>
      <c r="C914" s="7" t="s">
        <v>378</v>
      </c>
      <c r="D914" t="str">
        <f t="shared" si="23"/>
        <v>CRI</v>
      </c>
    </row>
    <row r="915" spans="1:4" ht="20.399999999999999" thickTop="1" thickBot="1">
      <c r="A915" s="7"/>
      <c r="B915" s="7" t="s">
        <v>28</v>
      </c>
      <c r="C915" s="7" t="s">
        <v>379</v>
      </c>
      <c r="D915" t="str">
        <f t="shared" si="23"/>
        <v>CRI</v>
      </c>
    </row>
    <row r="916" spans="1:4" ht="20.399999999999999" thickTop="1" thickBot="1">
      <c r="A916" s="7"/>
      <c r="B916" s="7" t="s">
        <v>30</v>
      </c>
      <c r="C916" s="7" t="s">
        <v>379</v>
      </c>
      <c r="D916" t="str">
        <f t="shared" si="23"/>
        <v>CRI</v>
      </c>
    </row>
    <row r="917" spans="1:4" ht="20.399999999999999" thickTop="1" thickBot="1">
      <c r="A917" s="7"/>
      <c r="B917" s="7" t="s">
        <v>32</v>
      </c>
      <c r="C917" s="7" t="s">
        <v>33</v>
      </c>
      <c r="D917" t="str">
        <f t="shared" si="23"/>
        <v>CRI</v>
      </c>
    </row>
    <row r="918" spans="1:4" ht="20.399999999999999" thickTop="1" thickBot="1">
      <c r="A918" s="7"/>
      <c r="B918" s="7" t="s">
        <v>1</v>
      </c>
      <c r="C918" s="7" t="s">
        <v>79</v>
      </c>
      <c r="D918" t="str">
        <f t="shared" si="23"/>
        <v>CRI</v>
      </c>
    </row>
    <row r="919" spans="1:4" ht="30" thickTop="1" thickBot="1">
      <c r="A919" s="7"/>
      <c r="B919" s="7" t="s">
        <v>3</v>
      </c>
      <c r="C919" s="7" t="s">
        <v>36</v>
      </c>
      <c r="D919" t="str">
        <f t="shared" si="23"/>
        <v>CRI</v>
      </c>
    </row>
    <row r="920" spans="1:4" ht="20.399999999999999" thickTop="1" thickBot="1">
      <c r="A920" s="7"/>
      <c r="B920" s="7" t="s">
        <v>5</v>
      </c>
      <c r="C920" s="7" t="s">
        <v>80</v>
      </c>
      <c r="D920" t="str">
        <f t="shared" si="23"/>
        <v>CRI</v>
      </c>
    </row>
    <row r="921" spans="1:4" ht="30" thickTop="1" thickBot="1">
      <c r="A921" s="7"/>
      <c r="B921" s="7" t="s">
        <v>7</v>
      </c>
      <c r="C921" s="7" t="s">
        <v>38</v>
      </c>
      <c r="D921" t="str">
        <f t="shared" si="23"/>
        <v>CRI</v>
      </c>
    </row>
    <row r="922" spans="1:4" ht="49.2" thickTop="1" thickBot="1">
      <c r="A922" s="7"/>
      <c r="B922" s="7" t="s">
        <v>9</v>
      </c>
      <c r="C922" s="7">
        <v>2017</v>
      </c>
      <c r="D922" t="str">
        <f t="shared" si="23"/>
        <v>CRI</v>
      </c>
    </row>
    <row r="923" spans="1:4" ht="39.6" thickTop="1" thickBot="1">
      <c r="A923" s="7"/>
      <c r="B923" s="7" t="s">
        <v>10</v>
      </c>
      <c r="C923" s="7">
        <v>2018</v>
      </c>
      <c r="D923" t="str">
        <f t="shared" si="23"/>
        <v>CRI</v>
      </c>
    </row>
    <row r="924" spans="1:4" ht="15.6" thickTop="1" thickBot="1">
      <c r="A924" s="7"/>
      <c r="B924" s="7" t="s">
        <v>11</v>
      </c>
      <c r="C924" s="7" t="s">
        <v>380</v>
      </c>
      <c r="D924" t="str">
        <f t="shared" si="23"/>
        <v>CRI</v>
      </c>
    </row>
    <row r="925" spans="1:4" ht="15.6" thickTop="1" thickBot="1">
      <c r="A925" s="7"/>
      <c r="B925" s="7" t="s">
        <v>13</v>
      </c>
      <c r="C925" s="7" t="s">
        <v>381</v>
      </c>
      <c r="D925" t="str">
        <f t="shared" si="23"/>
        <v>CRI</v>
      </c>
    </row>
    <row r="926" spans="1:4" ht="15.6" thickTop="1" thickBot="1">
      <c r="A926" s="7"/>
      <c r="B926" s="7" t="s">
        <v>15</v>
      </c>
      <c r="C926" s="7" t="s">
        <v>382</v>
      </c>
      <c r="D926" t="str">
        <f t="shared" si="23"/>
        <v>CRI</v>
      </c>
    </row>
    <row r="927" spans="1:4" ht="15.6" thickTop="1" thickBot="1">
      <c r="A927" s="7"/>
      <c r="B927" s="7" t="s">
        <v>16</v>
      </c>
      <c r="C927" s="7" t="s">
        <v>380</v>
      </c>
      <c r="D927" t="str">
        <f t="shared" si="23"/>
        <v>CRI</v>
      </c>
    </row>
    <row r="928" spans="1:4" ht="15.6" thickTop="1" thickBot="1">
      <c r="A928" s="7"/>
      <c r="B928" s="7" t="s">
        <v>17</v>
      </c>
      <c r="C928" s="7" t="s">
        <v>383</v>
      </c>
      <c r="D928" t="str">
        <f t="shared" si="23"/>
        <v>CRI</v>
      </c>
    </row>
    <row r="929" spans="1:4" ht="15.6" thickTop="1" thickBot="1">
      <c r="A929" s="7"/>
      <c r="B929" s="7" t="s">
        <v>18</v>
      </c>
      <c r="C929" s="7" t="s">
        <v>384</v>
      </c>
      <c r="D929" t="str">
        <f t="shared" si="23"/>
        <v>CRI</v>
      </c>
    </row>
    <row r="930" spans="1:4" ht="15.6" thickTop="1" thickBot="1">
      <c r="A930" s="7"/>
      <c r="B930" s="7" t="s">
        <v>19</v>
      </c>
      <c r="C930" s="7" t="s">
        <v>385</v>
      </c>
      <c r="D930" t="str">
        <f t="shared" si="23"/>
        <v>CRI</v>
      </c>
    </row>
    <row r="931" spans="1:4" ht="15.6" thickTop="1" thickBot="1">
      <c r="A931" s="7"/>
      <c r="B931" s="7" t="s">
        <v>21</v>
      </c>
      <c r="C931" s="7" t="s">
        <v>386</v>
      </c>
      <c r="D931" t="str">
        <f t="shared" si="23"/>
        <v>CRI</v>
      </c>
    </row>
    <row r="932" spans="1:4" ht="15.6" thickTop="1" thickBot="1">
      <c r="A932" s="7"/>
      <c r="B932" s="7" t="s">
        <v>22</v>
      </c>
      <c r="C932" s="7" t="s">
        <v>381</v>
      </c>
      <c r="D932" t="str">
        <f t="shared" si="23"/>
        <v>CRI</v>
      </c>
    </row>
    <row r="933" spans="1:4" ht="15.6" thickTop="1" thickBot="1">
      <c r="A933" s="7"/>
      <c r="B933" s="7" t="s">
        <v>23</v>
      </c>
      <c r="C933" s="7" t="s">
        <v>383</v>
      </c>
      <c r="D933" t="str">
        <f t="shared" si="23"/>
        <v>CRI</v>
      </c>
    </row>
    <row r="934" spans="1:4" ht="15.6" thickTop="1" thickBot="1">
      <c r="A934" s="7"/>
      <c r="B934" s="7" t="s">
        <v>24</v>
      </c>
      <c r="C934" s="7">
        <v>2140</v>
      </c>
      <c r="D934" t="str">
        <f t="shared" si="23"/>
        <v>CRI</v>
      </c>
    </row>
    <row r="935" spans="1:4" ht="15.6" thickTop="1" thickBot="1">
      <c r="A935" s="9" t="s">
        <v>387</v>
      </c>
      <c r="B935" s="10"/>
      <c r="C935" s="11"/>
      <c r="D935" t="str">
        <f t="shared" si="23"/>
        <v>HRV</v>
      </c>
    </row>
    <row r="936" spans="1:4" ht="30" thickTop="1" thickBot="1">
      <c r="A936" s="7"/>
      <c r="B936" s="7" t="s">
        <v>25</v>
      </c>
      <c r="C936" s="8">
        <v>55960</v>
      </c>
      <c r="D936" t="str">
        <f t="shared" si="23"/>
        <v>HRV</v>
      </c>
    </row>
    <row r="937" spans="1:4" ht="20.399999999999999" thickTop="1" thickBot="1">
      <c r="A937" s="7"/>
      <c r="B937" s="7" t="s">
        <v>26</v>
      </c>
      <c r="C937" s="7" t="s">
        <v>388</v>
      </c>
      <c r="D937" t="str">
        <f t="shared" si="23"/>
        <v>HRV</v>
      </c>
    </row>
    <row r="938" spans="1:4" ht="20.399999999999999" thickTop="1" thickBot="1">
      <c r="A938" s="7"/>
      <c r="B938" s="7" t="s">
        <v>28</v>
      </c>
      <c r="C938" s="7" t="s">
        <v>389</v>
      </c>
      <c r="D938" t="str">
        <f t="shared" si="23"/>
        <v>HRV</v>
      </c>
    </row>
    <row r="939" spans="1:4" ht="20.399999999999999" thickTop="1" thickBot="1">
      <c r="A939" s="7"/>
      <c r="B939" s="7" t="s">
        <v>30</v>
      </c>
      <c r="C939" s="7" t="s">
        <v>390</v>
      </c>
      <c r="D939" t="str">
        <f t="shared" si="23"/>
        <v>HRV</v>
      </c>
    </row>
    <row r="940" spans="1:4" ht="20.399999999999999" thickTop="1" thickBot="1">
      <c r="A940" s="7"/>
      <c r="B940" s="7" t="s">
        <v>32</v>
      </c>
      <c r="C940" s="7" t="s">
        <v>33</v>
      </c>
      <c r="D940" t="str">
        <f t="shared" si="23"/>
        <v>HRV</v>
      </c>
    </row>
    <row r="941" spans="1:4" ht="20.399999999999999" thickTop="1" thickBot="1">
      <c r="A941" s="7"/>
      <c r="B941" s="7" t="s">
        <v>1</v>
      </c>
      <c r="C941" s="7" t="s">
        <v>35</v>
      </c>
      <c r="D941" t="str">
        <f t="shared" si="23"/>
        <v>HRV</v>
      </c>
    </row>
    <row r="942" spans="1:4" ht="30" thickTop="1" thickBot="1">
      <c r="A942" s="7"/>
      <c r="B942" s="7" t="s">
        <v>3</v>
      </c>
      <c r="C942" s="7" t="s">
        <v>59</v>
      </c>
      <c r="D942" t="str">
        <f t="shared" si="23"/>
        <v>HRV</v>
      </c>
    </row>
    <row r="943" spans="1:4" ht="20.399999999999999" thickTop="1" thickBot="1">
      <c r="A943" s="7"/>
      <c r="B943" s="7" t="s">
        <v>5</v>
      </c>
      <c r="C943" s="7" t="s">
        <v>37</v>
      </c>
      <c r="D943" t="str">
        <f t="shared" si="23"/>
        <v>HRV</v>
      </c>
    </row>
    <row r="944" spans="1:4" ht="30" thickTop="1" thickBot="1">
      <c r="A944" s="7"/>
      <c r="B944" s="7" t="s">
        <v>7</v>
      </c>
      <c r="C944" s="7" t="s">
        <v>60</v>
      </c>
      <c r="D944" t="str">
        <f t="shared" si="23"/>
        <v>HRV</v>
      </c>
    </row>
    <row r="945" spans="1:4" ht="49.2" thickTop="1" thickBot="1">
      <c r="A945" s="7"/>
      <c r="B945" s="7" t="s">
        <v>9</v>
      </c>
      <c r="C945" s="7">
        <v>2017</v>
      </c>
      <c r="D945" t="str">
        <f t="shared" si="23"/>
        <v>HRV</v>
      </c>
    </row>
    <row r="946" spans="1:4" ht="39.6" thickTop="1" thickBot="1">
      <c r="A946" s="7"/>
      <c r="B946" s="7" t="s">
        <v>10</v>
      </c>
      <c r="C946" s="7">
        <v>2018</v>
      </c>
      <c r="D946" t="str">
        <f t="shared" si="23"/>
        <v>HRV</v>
      </c>
    </row>
    <row r="947" spans="1:4" ht="15.6" thickTop="1" thickBot="1">
      <c r="A947" s="7"/>
      <c r="B947" s="7" t="s">
        <v>11</v>
      </c>
      <c r="C947" s="7" t="s">
        <v>391</v>
      </c>
      <c r="D947" t="str">
        <f t="shared" si="23"/>
        <v>HRV</v>
      </c>
    </row>
    <row r="948" spans="1:4" ht="15.6" thickTop="1" thickBot="1">
      <c r="A948" s="7"/>
      <c r="B948" s="7" t="s">
        <v>13</v>
      </c>
      <c r="C948" s="7" t="s">
        <v>391</v>
      </c>
      <c r="D948" t="str">
        <f t="shared" si="23"/>
        <v>HRV</v>
      </c>
    </row>
    <row r="949" spans="1:4" ht="15.6" thickTop="1" thickBot="1">
      <c r="A949" s="7"/>
      <c r="B949" s="7" t="s">
        <v>15</v>
      </c>
      <c r="C949" s="7" t="s">
        <v>392</v>
      </c>
      <c r="D949" t="str">
        <f t="shared" si="23"/>
        <v>HRV</v>
      </c>
    </row>
    <row r="950" spans="1:4" ht="15.6" thickTop="1" thickBot="1">
      <c r="A950" s="7"/>
      <c r="B950" s="7" t="s">
        <v>16</v>
      </c>
      <c r="C950" s="7" t="s">
        <v>391</v>
      </c>
      <c r="D950" t="str">
        <f t="shared" si="23"/>
        <v>HRV</v>
      </c>
    </row>
    <row r="951" spans="1:4" ht="15.6" thickTop="1" thickBot="1">
      <c r="A951" s="7"/>
      <c r="B951" s="7" t="s">
        <v>17</v>
      </c>
      <c r="C951" s="7" t="s">
        <v>393</v>
      </c>
      <c r="D951" t="str">
        <f t="shared" si="23"/>
        <v>HRV</v>
      </c>
    </row>
    <row r="952" spans="1:4" ht="15.6" thickTop="1" thickBot="1">
      <c r="A952" s="7"/>
      <c r="B952" s="7" t="s">
        <v>18</v>
      </c>
      <c r="C952" s="7" t="s">
        <v>393</v>
      </c>
      <c r="D952" t="str">
        <f t="shared" si="23"/>
        <v>HRV</v>
      </c>
    </row>
    <row r="953" spans="1:4" ht="15.6" thickTop="1" thickBot="1">
      <c r="A953" s="7"/>
      <c r="B953" s="7" t="s">
        <v>19</v>
      </c>
      <c r="C953" s="7" t="s">
        <v>394</v>
      </c>
      <c r="D953" t="str">
        <f t="shared" si="23"/>
        <v>HRV</v>
      </c>
    </row>
    <row r="954" spans="1:4" ht="15.6" thickTop="1" thickBot="1">
      <c r="A954" s="7"/>
      <c r="B954" s="7" t="s">
        <v>21</v>
      </c>
      <c r="C954" s="7" t="s">
        <v>392</v>
      </c>
      <c r="D954" t="str">
        <f t="shared" si="23"/>
        <v>HRV</v>
      </c>
    </row>
    <row r="955" spans="1:4" ht="15.6" thickTop="1" thickBot="1">
      <c r="A955" s="7"/>
      <c r="B955" s="7" t="s">
        <v>22</v>
      </c>
      <c r="C955" s="7" t="s">
        <v>395</v>
      </c>
      <c r="D955" t="str">
        <f t="shared" si="23"/>
        <v>HRV</v>
      </c>
    </row>
    <row r="956" spans="1:4" ht="15.6" thickTop="1" thickBot="1">
      <c r="A956" s="7"/>
      <c r="B956" s="7" t="s">
        <v>23</v>
      </c>
      <c r="C956" s="7" t="s">
        <v>393</v>
      </c>
      <c r="D956" t="str">
        <f t="shared" si="23"/>
        <v>HRV</v>
      </c>
    </row>
    <row r="957" spans="1:4" ht="15.6" thickTop="1" thickBot="1">
      <c r="A957" s="7"/>
      <c r="B957" s="7" t="s">
        <v>24</v>
      </c>
      <c r="C957" s="7">
        <v>4038</v>
      </c>
      <c r="D957" t="str">
        <f t="shared" si="23"/>
        <v>HRV</v>
      </c>
    </row>
    <row r="958" spans="1:4" ht="15.6" thickTop="1" thickBot="1">
      <c r="A958" s="9" t="s">
        <v>396</v>
      </c>
      <c r="B958" s="10"/>
      <c r="C958" s="11"/>
      <c r="D958" t="str">
        <f t="shared" si="23"/>
        <v>CUB</v>
      </c>
    </row>
    <row r="959" spans="1:4" ht="30" thickTop="1" thickBot="1">
      <c r="A959" s="7"/>
      <c r="B959" s="7" t="s">
        <v>25</v>
      </c>
      <c r="C959" s="8">
        <v>106440</v>
      </c>
      <c r="D959" t="str">
        <f t="shared" si="23"/>
        <v>CUB</v>
      </c>
    </row>
    <row r="960" spans="1:4" ht="20.399999999999999" thickTop="1" thickBot="1">
      <c r="A960" s="7"/>
      <c r="B960" s="7" t="s">
        <v>26</v>
      </c>
      <c r="C960" s="7" t="s">
        <v>341</v>
      </c>
      <c r="D960" t="str">
        <f t="shared" si="23"/>
        <v>CUB</v>
      </c>
    </row>
    <row r="961" spans="1:4" ht="20.399999999999999" thickTop="1" thickBot="1">
      <c r="A961" s="7"/>
      <c r="B961" s="7" t="s">
        <v>28</v>
      </c>
      <c r="C961" s="7" t="s">
        <v>397</v>
      </c>
      <c r="D961" t="str">
        <f t="shared" si="23"/>
        <v>CUB</v>
      </c>
    </row>
    <row r="962" spans="1:4" ht="20.399999999999999" thickTop="1" thickBot="1">
      <c r="A962" s="7"/>
      <c r="B962" s="7" t="s">
        <v>30</v>
      </c>
      <c r="C962" s="7" t="s">
        <v>397</v>
      </c>
      <c r="D962" t="str">
        <f t="shared" ref="D962:D1025" si="24">IF(ISNUMBER(FIND(":", A962)), LEFT(A962, FIND(":", A962) - 1), D961)</f>
        <v>CUB</v>
      </c>
    </row>
    <row r="963" spans="1:4" ht="20.399999999999999" thickTop="1" thickBot="1">
      <c r="A963" s="7"/>
      <c r="B963" s="7" t="s">
        <v>32</v>
      </c>
      <c r="C963" s="7" t="s">
        <v>33</v>
      </c>
      <c r="D963" t="str">
        <f t="shared" si="24"/>
        <v>CUB</v>
      </c>
    </row>
    <row r="964" spans="1:4" ht="20.399999999999999" thickTop="1" thickBot="1">
      <c r="A964" s="7"/>
      <c r="B964" s="7" t="s">
        <v>1</v>
      </c>
      <c r="C964" s="7" t="s">
        <v>79</v>
      </c>
      <c r="D964" t="str">
        <f t="shared" si="24"/>
        <v>CUB</v>
      </c>
    </row>
    <row r="965" spans="1:4" ht="30" thickTop="1" thickBot="1">
      <c r="A965" s="7"/>
      <c r="B965" s="7" t="s">
        <v>3</v>
      </c>
      <c r="C965" s="7" t="s">
        <v>36</v>
      </c>
      <c r="D965" t="str">
        <f t="shared" si="24"/>
        <v>CUB</v>
      </c>
    </row>
    <row r="966" spans="1:4" ht="20.399999999999999" thickTop="1" thickBot="1">
      <c r="A966" s="7"/>
      <c r="B966" s="7" t="s">
        <v>5</v>
      </c>
      <c r="C966" s="7" t="s">
        <v>80</v>
      </c>
      <c r="D966" t="str">
        <f t="shared" si="24"/>
        <v>CUB</v>
      </c>
    </row>
    <row r="967" spans="1:4" ht="30" thickTop="1" thickBot="1">
      <c r="A967" s="7"/>
      <c r="B967" s="7" t="s">
        <v>7</v>
      </c>
      <c r="C967" s="7" t="s">
        <v>38</v>
      </c>
      <c r="D967" t="str">
        <f t="shared" si="24"/>
        <v>CUB</v>
      </c>
    </row>
    <row r="968" spans="1:4" ht="49.2" thickTop="1" thickBot="1">
      <c r="A968" s="7"/>
      <c r="B968" s="7" t="s">
        <v>9</v>
      </c>
      <c r="C968" s="7">
        <v>2017</v>
      </c>
      <c r="D968" t="str">
        <f t="shared" si="24"/>
        <v>CUB</v>
      </c>
    </row>
    <row r="969" spans="1:4" ht="39.6" thickTop="1" thickBot="1">
      <c r="A969" s="7"/>
      <c r="B969" s="7" t="s">
        <v>10</v>
      </c>
      <c r="C969" s="7">
        <v>2018</v>
      </c>
      <c r="D969" t="str">
        <f t="shared" si="24"/>
        <v>CUB</v>
      </c>
    </row>
    <row r="970" spans="1:4" ht="15.6" thickTop="1" thickBot="1">
      <c r="A970" s="7"/>
      <c r="B970" s="7" t="s">
        <v>11</v>
      </c>
      <c r="C970" s="7" t="s">
        <v>398</v>
      </c>
      <c r="D970" t="str">
        <f t="shared" si="24"/>
        <v>CUB</v>
      </c>
    </row>
    <row r="971" spans="1:4" ht="15.6" thickTop="1" thickBot="1">
      <c r="A971" s="7"/>
      <c r="B971" s="7" t="s">
        <v>13</v>
      </c>
      <c r="C971" s="7" t="s">
        <v>399</v>
      </c>
      <c r="D971" t="str">
        <f t="shared" si="24"/>
        <v>CUB</v>
      </c>
    </row>
    <row r="972" spans="1:4" ht="15.6" thickTop="1" thickBot="1">
      <c r="A972" s="7"/>
      <c r="B972" s="7" t="s">
        <v>15</v>
      </c>
      <c r="C972" s="7" t="s">
        <v>400</v>
      </c>
      <c r="D972" t="str">
        <f t="shared" si="24"/>
        <v>CUB</v>
      </c>
    </row>
    <row r="973" spans="1:4" ht="15.6" thickTop="1" thickBot="1">
      <c r="A973" s="7"/>
      <c r="B973" s="7" t="s">
        <v>22</v>
      </c>
      <c r="C973" s="7" t="s">
        <v>399</v>
      </c>
      <c r="D973" t="str">
        <f t="shared" si="24"/>
        <v>CUB</v>
      </c>
    </row>
    <row r="974" spans="1:4" ht="15.6" thickTop="1" thickBot="1">
      <c r="A974" s="7"/>
      <c r="B974" s="7" t="s">
        <v>23</v>
      </c>
      <c r="C974" s="7" t="s">
        <v>400</v>
      </c>
      <c r="D974" t="str">
        <f t="shared" si="24"/>
        <v>CUB</v>
      </c>
    </row>
    <row r="975" spans="1:4" ht="15.6" thickTop="1" thickBot="1">
      <c r="A975" s="7"/>
      <c r="B975" s="7" t="s">
        <v>24</v>
      </c>
      <c r="C975" s="7">
        <v>2150</v>
      </c>
      <c r="D975" t="str">
        <f t="shared" si="24"/>
        <v>CUB</v>
      </c>
    </row>
    <row r="976" spans="1:4" ht="15.6" thickTop="1" thickBot="1">
      <c r="A976" s="7"/>
      <c r="B976" s="7" t="s">
        <v>18</v>
      </c>
      <c r="C976" s="7" t="s">
        <v>400</v>
      </c>
      <c r="D976" t="str">
        <f t="shared" si="24"/>
        <v>CUB</v>
      </c>
    </row>
    <row r="977" spans="1:4" ht="15.6" thickTop="1" thickBot="1">
      <c r="A977" s="7"/>
      <c r="B977" s="7" t="s">
        <v>19</v>
      </c>
      <c r="C977" s="7" t="s">
        <v>401</v>
      </c>
      <c r="D977" t="str">
        <f t="shared" si="24"/>
        <v>CUB</v>
      </c>
    </row>
    <row r="978" spans="1:4" ht="15.6" thickTop="1" thickBot="1">
      <c r="A978" s="7"/>
      <c r="B978" s="7" t="s">
        <v>21</v>
      </c>
      <c r="C978" s="7" t="s">
        <v>400</v>
      </c>
      <c r="D978" t="str">
        <f t="shared" si="24"/>
        <v>CUB</v>
      </c>
    </row>
    <row r="979" spans="1:4" ht="15.6" thickTop="1" thickBot="1">
      <c r="A979" s="7"/>
      <c r="B979" s="7" t="s">
        <v>16</v>
      </c>
      <c r="C979" s="7" t="s">
        <v>399</v>
      </c>
      <c r="D979" t="str">
        <f t="shared" si="24"/>
        <v>CUB</v>
      </c>
    </row>
    <row r="980" spans="1:4" ht="15.6" thickTop="1" thickBot="1">
      <c r="A980" s="7"/>
      <c r="B980" s="7" t="s">
        <v>17</v>
      </c>
      <c r="C980" s="7" t="s">
        <v>400</v>
      </c>
      <c r="D980" t="str">
        <f t="shared" si="24"/>
        <v>CUB</v>
      </c>
    </row>
    <row r="981" spans="1:4" ht="15.6" thickTop="1" thickBot="1">
      <c r="A981" s="9" t="s">
        <v>402</v>
      </c>
      <c r="B981" s="10"/>
      <c r="C981" s="11"/>
      <c r="D981" t="str">
        <f t="shared" si="24"/>
        <v>CYP</v>
      </c>
    </row>
    <row r="982" spans="1:4" ht="30" thickTop="1" thickBot="1">
      <c r="A982" s="7"/>
      <c r="B982" s="7" t="s">
        <v>25</v>
      </c>
      <c r="C982" s="8">
        <v>9240</v>
      </c>
      <c r="D982" t="str">
        <f t="shared" si="24"/>
        <v>CYP</v>
      </c>
    </row>
    <row r="983" spans="1:4" ht="30" thickTop="1" thickBot="1">
      <c r="A983" s="7"/>
      <c r="B983" s="7" t="s">
        <v>26</v>
      </c>
      <c r="C983" s="7" t="s">
        <v>403</v>
      </c>
      <c r="D983" t="str">
        <f t="shared" si="24"/>
        <v>CYP</v>
      </c>
    </row>
    <row r="984" spans="1:4" ht="20.399999999999999" thickTop="1" thickBot="1">
      <c r="A984" s="7"/>
      <c r="B984" s="7" t="s">
        <v>28</v>
      </c>
      <c r="C984" s="7" t="s">
        <v>404</v>
      </c>
      <c r="D984" t="str">
        <f t="shared" si="24"/>
        <v>CYP</v>
      </c>
    </row>
    <row r="985" spans="1:4" ht="20.399999999999999" thickTop="1" thickBot="1">
      <c r="A985" s="7"/>
      <c r="B985" s="7" t="s">
        <v>30</v>
      </c>
      <c r="C985" s="7" t="s">
        <v>405</v>
      </c>
      <c r="D985" t="str">
        <f t="shared" si="24"/>
        <v>CYP</v>
      </c>
    </row>
    <row r="986" spans="1:4" ht="20.399999999999999" thickTop="1" thickBot="1">
      <c r="A986" s="7"/>
      <c r="B986" s="7" t="s">
        <v>32</v>
      </c>
      <c r="C986" s="7" t="s">
        <v>33</v>
      </c>
      <c r="D986" t="str">
        <f t="shared" si="24"/>
        <v>CYP</v>
      </c>
    </row>
    <row r="987" spans="1:4" ht="20.399999999999999" thickTop="1" thickBot="1">
      <c r="A987" s="7"/>
      <c r="B987" s="7" t="s">
        <v>1</v>
      </c>
      <c r="C987" s="7" t="s">
        <v>35</v>
      </c>
      <c r="D987" t="str">
        <f t="shared" si="24"/>
        <v>CYP</v>
      </c>
    </row>
    <row r="988" spans="1:4" ht="30" thickTop="1" thickBot="1">
      <c r="A988" s="7"/>
      <c r="B988" s="7" t="s">
        <v>3</v>
      </c>
      <c r="C988" s="7" t="s">
        <v>59</v>
      </c>
      <c r="D988" t="str">
        <f t="shared" si="24"/>
        <v>CYP</v>
      </c>
    </row>
    <row r="989" spans="1:4" ht="20.399999999999999" thickTop="1" thickBot="1">
      <c r="A989" s="7"/>
      <c r="B989" s="7" t="s">
        <v>5</v>
      </c>
      <c r="C989" s="7" t="s">
        <v>37</v>
      </c>
      <c r="D989" t="str">
        <f t="shared" si="24"/>
        <v>CYP</v>
      </c>
    </row>
    <row r="990" spans="1:4" ht="30" thickTop="1" thickBot="1">
      <c r="A990" s="7"/>
      <c r="B990" s="7" t="s">
        <v>7</v>
      </c>
      <c r="C990" s="7" t="s">
        <v>60</v>
      </c>
      <c r="D990" t="str">
        <f t="shared" si="24"/>
        <v>CYP</v>
      </c>
    </row>
    <row r="991" spans="1:4" ht="49.2" thickTop="1" thickBot="1">
      <c r="A991" s="7"/>
      <c r="B991" s="7" t="s">
        <v>9</v>
      </c>
      <c r="C991" s="7">
        <v>2017</v>
      </c>
      <c r="D991" t="str">
        <f t="shared" si="24"/>
        <v>CYP</v>
      </c>
    </row>
    <row r="992" spans="1:4" ht="39.6" thickTop="1" thickBot="1">
      <c r="A992" s="7"/>
      <c r="B992" s="7" t="s">
        <v>10</v>
      </c>
      <c r="C992" s="7">
        <v>2018</v>
      </c>
      <c r="D992" t="str">
        <f t="shared" si="24"/>
        <v>CYP</v>
      </c>
    </row>
    <row r="993" spans="1:4" ht="15.6" thickTop="1" thickBot="1">
      <c r="A993" s="7"/>
      <c r="B993" s="7" t="s">
        <v>11</v>
      </c>
      <c r="C993" s="7" t="s">
        <v>406</v>
      </c>
      <c r="D993" t="str">
        <f t="shared" si="24"/>
        <v>CYP</v>
      </c>
    </row>
    <row r="994" spans="1:4" ht="15.6" thickTop="1" thickBot="1">
      <c r="A994" s="7"/>
      <c r="B994" s="7" t="s">
        <v>13</v>
      </c>
      <c r="C994" s="7" t="s">
        <v>406</v>
      </c>
      <c r="D994" t="str">
        <f t="shared" si="24"/>
        <v>CYP</v>
      </c>
    </row>
    <row r="995" spans="1:4" ht="15.6" thickTop="1" thickBot="1">
      <c r="A995" s="7"/>
      <c r="B995" s="7" t="s">
        <v>15</v>
      </c>
      <c r="C995" s="7" t="s">
        <v>407</v>
      </c>
      <c r="D995" t="str">
        <f t="shared" si="24"/>
        <v>CYP</v>
      </c>
    </row>
    <row r="996" spans="1:4" ht="15.6" thickTop="1" thickBot="1">
      <c r="A996" s="7"/>
      <c r="B996" s="7" t="s">
        <v>22</v>
      </c>
      <c r="C996" s="7" t="s">
        <v>406</v>
      </c>
      <c r="D996" t="str">
        <f t="shared" si="24"/>
        <v>CYP</v>
      </c>
    </row>
    <row r="997" spans="1:4" ht="15.6" thickTop="1" thickBot="1">
      <c r="A997" s="7"/>
      <c r="B997" s="7" t="s">
        <v>23</v>
      </c>
      <c r="C997" s="7" t="s">
        <v>407</v>
      </c>
      <c r="D997" t="str">
        <f t="shared" si="24"/>
        <v>CYP</v>
      </c>
    </row>
    <row r="998" spans="1:4" ht="15.6" thickTop="1" thickBot="1">
      <c r="A998" s="7"/>
      <c r="B998" s="7" t="s">
        <v>24</v>
      </c>
      <c r="C998" s="7">
        <v>3080</v>
      </c>
      <c r="D998" t="str">
        <f t="shared" si="24"/>
        <v>CYP</v>
      </c>
    </row>
    <row r="999" spans="1:4" ht="15.6" thickTop="1" thickBot="1">
      <c r="A999" s="7"/>
      <c r="B999" s="7" t="s">
        <v>18</v>
      </c>
      <c r="C999" s="7" t="s">
        <v>407</v>
      </c>
      <c r="D999" t="str">
        <f t="shared" si="24"/>
        <v>CYP</v>
      </c>
    </row>
    <row r="1000" spans="1:4" ht="15.6" thickTop="1" thickBot="1">
      <c r="A1000" s="7"/>
      <c r="B1000" s="7" t="s">
        <v>19</v>
      </c>
      <c r="C1000" s="7" t="s">
        <v>408</v>
      </c>
      <c r="D1000" t="str">
        <f t="shared" si="24"/>
        <v>CYP</v>
      </c>
    </row>
    <row r="1001" spans="1:4" ht="15.6" thickTop="1" thickBot="1">
      <c r="A1001" s="7"/>
      <c r="B1001" s="7" t="s">
        <v>21</v>
      </c>
      <c r="C1001" s="7" t="s">
        <v>407</v>
      </c>
      <c r="D1001" t="str">
        <f t="shared" si="24"/>
        <v>CYP</v>
      </c>
    </row>
    <row r="1002" spans="1:4" ht="15.6" thickTop="1" thickBot="1">
      <c r="A1002" s="7"/>
      <c r="B1002" s="7" t="s">
        <v>16</v>
      </c>
      <c r="C1002" s="7" t="s">
        <v>406</v>
      </c>
      <c r="D1002" t="str">
        <f t="shared" si="24"/>
        <v>CYP</v>
      </c>
    </row>
    <row r="1003" spans="1:4" ht="15.6" thickTop="1" thickBot="1">
      <c r="A1003" s="7"/>
      <c r="B1003" s="7" t="s">
        <v>17</v>
      </c>
      <c r="C1003" s="7" t="s">
        <v>407</v>
      </c>
      <c r="D1003" t="str">
        <f t="shared" si="24"/>
        <v>CYP</v>
      </c>
    </row>
    <row r="1004" spans="1:4" ht="15.6" thickTop="1" thickBot="1">
      <c r="A1004" s="9" t="s">
        <v>409</v>
      </c>
      <c r="B1004" s="10"/>
      <c r="C1004" s="11"/>
      <c r="D1004" t="str">
        <f t="shared" si="24"/>
        <v>CZE</v>
      </c>
    </row>
    <row r="1005" spans="1:4" ht="30" thickTop="1" thickBot="1">
      <c r="A1005" s="7"/>
      <c r="B1005" s="7" t="s">
        <v>25</v>
      </c>
      <c r="C1005" s="8">
        <v>77250</v>
      </c>
      <c r="D1005" t="str">
        <f t="shared" si="24"/>
        <v>CZE</v>
      </c>
    </row>
    <row r="1006" spans="1:4" ht="20.399999999999999" thickTop="1" thickBot="1">
      <c r="A1006" s="7"/>
      <c r="B1006" s="7" t="s">
        <v>26</v>
      </c>
      <c r="C1006" s="7" t="s">
        <v>410</v>
      </c>
      <c r="D1006" t="str">
        <f t="shared" si="24"/>
        <v>CZE</v>
      </c>
    </row>
    <row r="1007" spans="1:4" ht="20.399999999999999" thickTop="1" thickBot="1">
      <c r="A1007" s="7"/>
      <c r="B1007" s="7" t="s">
        <v>28</v>
      </c>
      <c r="C1007" s="7" t="s">
        <v>411</v>
      </c>
      <c r="D1007" t="str">
        <f t="shared" si="24"/>
        <v>CZE</v>
      </c>
    </row>
    <row r="1008" spans="1:4" ht="20.399999999999999" thickTop="1" thickBot="1">
      <c r="A1008" s="7"/>
      <c r="B1008" s="7" t="s">
        <v>30</v>
      </c>
      <c r="C1008" s="7" t="s">
        <v>412</v>
      </c>
      <c r="D1008" t="str">
        <f t="shared" si="24"/>
        <v>CZE</v>
      </c>
    </row>
    <row r="1009" spans="1:4" ht="20.399999999999999" thickTop="1" thickBot="1">
      <c r="A1009" s="7"/>
      <c r="B1009" s="7" t="s">
        <v>32</v>
      </c>
      <c r="C1009" s="7" t="s">
        <v>33</v>
      </c>
      <c r="D1009" t="str">
        <f t="shared" si="24"/>
        <v>CZE</v>
      </c>
    </row>
    <row r="1010" spans="1:4" ht="20.399999999999999" thickTop="1" thickBot="1">
      <c r="A1010" s="7"/>
      <c r="B1010" s="7" t="s">
        <v>1</v>
      </c>
      <c r="C1010" s="7" t="s">
        <v>35</v>
      </c>
      <c r="D1010" t="str">
        <f t="shared" si="24"/>
        <v>CZE</v>
      </c>
    </row>
    <row r="1011" spans="1:4" ht="30" thickTop="1" thickBot="1">
      <c r="A1011" s="7"/>
      <c r="B1011" s="7" t="s">
        <v>3</v>
      </c>
      <c r="C1011" s="7" t="s">
        <v>59</v>
      </c>
      <c r="D1011" t="str">
        <f t="shared" si="24"/>
        <v>CZE</v>
      </c>
    </row>
    <row r="1012" spans="1:4" ht="20.399999999999999" thickTop="1" thickBot="1">
      <c r="A1012" s="7"/>
      <c r="B1012" s="7" t="s">
        <v>5</v>
      </c>
      <c r="C1012" s="7" t="s">
        <v>37</v>
      </c>
      <c r="D1012" t="str">
        <f t="shared" si="24"/>
        <v>CZE</v>
      </c>
    </row>
    <row r="1013" spans="1:4" ht="30" thickTop="1" thickBot="1">
      <c r="A1013" s="7"/>
      <c r="B1013" s="7" t="s">
        <v>7</v>
      </c>
      <c r="C1013" s="7" t="s">
        <v>60</v>
      </c>
      <c r="D1013" t="str">
        <f t="shared" si="24"/>
        <v>CZE</v>
      </c>
    </row>
    <row r="1014" spans="1:4" ht="49.2" thickTop="1" thickBot="1">
      <c r="A1014" s="7"/>
      <c r="B1014" s="7" t="s">
        <v>9</v>
      </c>
      <c r="C1014" s="7">
        <v>2017</v>
      </c>
      <c r="D1014" t="str">
        <f t="shared" si="24"/>
        <v>CZE</v>
      </c>
    </row>
    <row r="1015" spans="1:4" ht="39.6" thickTop="1" thickBot="1">
      <c r="A1015" s="7"/>
      <c r="B1015" s="7" t="s">
        <v>10</v>
      </c>
      <c r="C1015" s="7">
        <v>2018</v>
      </c>
      <c r="D1015" t="str">
        <f t="shared" si="24"/>
        <v>CZE</v>
      </c>
    </row>
    <row r="1016" spans="1:4" ht="15.6" thickTop="1" thickBot="1">
      <c r="A1016" s="7"/>
      <c r="B1016" s="7" t="s">
        <v>11</v>
      </c>
      <c r="C1016" s="7" t="s">
        <v>413</v>
      </c>
      <c r="D1016" t="str">
        <f t="shared" si="24"/>
        <v>CZE</v>
      </c>
    </row>
    <row r="1017" spans="1:4" ht="15.6" thickTop="1" thickBot="1">
      <c r="A1017" s="7"/>
      <c r="B1017" s="7" t="s">
        <v>13</v>
      </c>
      <c r="C1017" s="7" t="s">
        <v>414</v>
      </c>
      <c r="D1017" t="str">
        <f t="shared" si="24"/>
        <v>CZE</v>
      </c>
    </row>
    <row r="1018" spans="1:4" ht="15.6" thickTop="1" thickBot="1">
      <c r="A1018" s="7"/>
      <c r="B1018" s="7" t="s">
        <v>15</v>
      </c>
      <c r="C1018" s="7" t="s">
        <v>415</v>
      </c>
      <c r="D1018" t="str">
        <f t="shared" si="24"/>
        <v>CZE</v>
      </c>
    </row>
    <row r="1019" spans="1:4" ht="15.6" thickTop="1" thickBot="1">
      <c r="A1019" s="7"/>
      <c r="B1019" s="7" t="s">
        <v>22</v>
      </c>
      <c r="C1019" s="7" t="s">
        <v>413</v>
      </c>
      <c r="D1019" t="str">
        <f t="shared" si="24"/>
        <v>CZE</v>
      </c>
    </row>
    <row r="1020" spans="1:4" ht="15.6" thickTop="1" thickBot="1">
      <c r="A1020" s="7"/>
      <c r="B1020" s="7" t="s">
        <v>23</v>
      </c>
      <c r="C1020" s="7" t="s">
        <v>415</v>
      </c>
      <c r="D1020" t="str">
        <f t="shared" si="24"/>
        <v>CZE</v>
      </c>
    </row>
    <row r="1021" spans="1:4" ht="15.6" thickTop="1" thickBot="1">
      <c r="A1021" s="7"/>
      <c r="B1021" s="7" t="s">
        <v>24</v>
      </c>
      <c r="C1021" s="7">
        <v>4045</v>
      </c>
      <c r="D1021" t="str">
        <f t="shared" si="24"/>
        <v>CZE</v>
      </c>
    </row>
    <row r="1022" spans="1:4" ht="15.6" thickTop="1" thickBot="1">
      <c r="A1022" s="7"/>
      <c r="B1022" s="7" t="s">
        <v>18</v>
      </c>
      <c r="C1022" s="7" t="s">
        <v>415</v>
      </c>
      <c r="D1022" t="str">
        <f t="shared" si="24"/>
        <v>CZE</v>
      </c>
    </row>
    <row r="1023" spans="1:4" ht="15.6" thickTop="1" thickBot="1">
      <c r="A1023" s="7"/>
      <c r="B1023" s="7" t="s">
        <v>19</v>
      </c>
      <c r="C1023" s="7" t="s">
        <v>416</v>
      </c>
      <c r="D1023" t="str">
        <f t="shared" si="24"/>
        <v>CZE</v>
      </c>
    </row>
    <row r="1024" spans="1:4" ht="15.6" thickTop="1" thickBot="1">
      <c r="A1024" s="7"/>
      <c r="B1024" s="7" t="s">
        <v>21</v>
      </c>
      <c r="C1024" s="7" t="s">
        <v>417</v>
      </c>
      <c r="D1024" t="str">
        <f t="shared" si="24"/>
        <v>CZE</v>
      </c>
    </row>
    <row r="1025" spans="1:4" ht="15.6" thickTop="1" thickBot="1">
      <c r="A1025" s="7"/>
      <c r="B1025" s="7" t="s">
        <v>16</v>
      </c>
      <c r="C1025" s="7" t="s">
        <v>413</v>
      </c>
      <c r="D1025" t="str">
        <f t="shared" si="24"/>
        <v>CZE</v>
      </c>
    </row>
    <row r="1026" spans="1:4" ht="15.6" thickTop="1" thickBot="1">
      <c r="A1026" s="7"/>
      <c r="B1026" s="7" t="s">
        <v>17</v>
      </c>
      <c r="C1026" s="7" t="s">
        <v>415</v>
      </c>
      <c r="D1026" t="str">
        <f t="shared" ref="D1026:D1089" si="25">IF(ISNUMBER(FIND(":", A1026)), LEFT(A1026, FIND(":", A1026) - 1), D1025)</f>
        <v>CZE</v>
      </c>
    </row>
    <row r="1027" spans="1:4" ht="20.399999999999999" thickTop="1" thickBot="1">
      <c r="A1027" s="9" t="s">
        <v>418</v>
      </c>
      <c r="B1027" s="10"/>
      <c r="C1027" s="11"/>
      <c r="D1027" t="str">
        <f t="shared" si="25"/>
        <v>CIV</v>
      </c>
    </row>
    <row r="1028" spans="1:4" ht="30" thickTop="1" thickBot="1">
      <c r="A1028" s="7"/>
      <c r="B1028" s="7" t="s">
        <v>25</v>
      </c>
      <c r="C1028" s="7">
        <v>318000</v>
      </c>
      <c r="D1028" t="str">
        <f t="shared" si="25"/>
        <v>CIV</v>
      </c>
    </row>
    <row r="1029" spans="1:4" ht="39.6" thickTop="1" thickBot="1">
      <c r="A1029" s="7"/>
      <c r="B1029" s="7" t="s">
        <v>26</v>
      </c>
      <c r="C1029" s="7" t="s">
        <v>419</v>
      </c>
      <c r="D1029" t="str">
        <f t="shared" si="25"/>
        <v>CIV</v>
      </c>
    </row>
    <row r="1030" spans="1:4" ht="20.399999999999999" thickTop="1" thickBot="1">
      <c r="A1030" s="7"/>
      <c r="B1030" s="7" t="s">
        <v>28</v>
      </c>
      <c r="C1030" s="7" t="s">
        <v>420</v>
      </c>
      <c r="D1030" t="str">
        <f t="shared" si="25"/>
        <v>CIV</v>
      </c>
    </row>
    <row r="1031" spans="1:4" ht="20.399999999999999" thickTop="1" thickBot="1">
      <c r="A1031" s="7"/>
      <c r="B1031" s="7" t="s">
        <v>30</v>
      </c>
      <c r="C1031" s="7" t="s">
        <v>420</v>
      </c>
      <c r="D1031" t="str">
        <f t="shared" si="25"/>
        <v>CIV</v>
      </c>
    </row>
    <row r="1032" spans="1:4" ht="20.399999999999999" thickTop="1" thickBot="1">
      <c r="A1032" s="7"/>
      <c r="B1032" s="7" t="s">
        <v>32</v>
      </c>
      <c r="C1032" s="7" t="s">
        <v>33</v>
      </c>
      <c r="D1032" t="str">
        <f t="shared" si="25"/>
        <v>CIV</v>
      </c>
    </row>
    <row r="1033" spans="1:4" ht="20.399999999999999" thickTop="1" thickBot="1">
      <c r="A1033" s="7"/>
      <c r="B1033" s="7" t="s">
        <v>1</v>
      </c>
      <c r="C1033" s="7" t="s">
        <v>50</v>
      </c>
      <c r="D1033" t="str">
        <f t="shared" si="25"/>
        <v>CIV</v>
      </c>
    </row>
    <row r="1034" spans="1:4" ht="30" thickTop="1" thickBot="1">
      <c r="A1034" s="7"/>
      <c r="B1034" s="7" t="s">
        <v>3</v>
      </c>
      <c r="C1034" s="7" t="s">
        <v>69</v>
      </c>
      <c r="D1034" t="str">
        <f t="shared" si="25"/>
        <v>CIV</v>
      </c>
    </row>
    <row r="1035" spans="1:4" ht="20.399999999999999" thickTop="1" thickBot="1">
      <c r="A1035" s="7"/>
      <c r="B1035" s="7" t="s">
        <v>5</v>
      </c>
      <c r="C1035" s="7" t="s">
        <v>51</v>
      </c>
      <c r="D1035" t="str">
        <f t="shared" si="25"/>
        <v>CIV</v>
      </c>
    </row>
    <row r="1036" spans="1:4" ht="30" thickTop="1" thickBot="1">
      <c r="A1036" s="7"/>
      <c r="B1036" s="7" t="s">
        <v>7</v>
      </c>
      <c r="C1036" s="7" t="s">
        <v>70</v>
      </c>
      <c r="D1036" t="str">
        <f t="shared" si="25"/>
        <v>CIV</v>
      </c>
    </row>
    <row r="1037" spans="1:4" ht="49.2" thickTop="1" thickBot="1">
      <c r="A1037" s="7"/>
      <c r="B1037" s="7" t="s">
        <v>9</v>
      </c>
      <c r="C1037" s="7">
        <v>2017</v>
      </c>
      <c r="D1037" t="str">
        <f t="shared" si="25"/>
        <v>CIV</v>
      </c>
    </row>
    <row r="1038" spans="1:4" ht="39.6" thickTop="1" thickBot="1">
      <c r="A1038" s="7"/>
      <c r="B1038" s="7" t="s">
        <v>10</v>
      </c>
      <c r="C1038" s="7">
        <v>2018</v>
      </c>
      <c r="D1038" t="str">
        <f t="shared" si="25"/>
        <v>CIV</v>
      </c>
    </row>
    <row r="1039" spans="1:4" ht="15.6" thickTop="1" thickBot="1">
      <c r="A1039" s="7"/>
      <c r="B1039" s="7" t="s">
        <v>11</v>
      </c>
      <c r="C1039" s="7" t="s">
        <v>328</v>
      </c>
      <c r="D1039" t="str">
        <f t="shared" si="25"/>
        <v>CIV</v>
      </c>
    </row>
    <row r="1040" spans="1:4" ht="15.6" thickTop="1" thickBot="1">
      <c r="A1040" s="7"/>
      <c r="B1040" s="7" t="s">
        <v>13</v>
      </c>
      <c r="C1040" s="7" t="s">
        <v>421</v>
      </c>
      <c r="D1040" t="str">
        <f t="shared" si="25"/>
        <v>CIV</v>
      </c>
    </row>
    <row r="1041" spans="1:4" ht="15.6" thickTop="1" thickBot="1">
      <c r="A1041" s="7"/>
      <c r="B1041" s="7" t="s">
        <v>15</v>
      </c>
      <c r="C1041" s="7" t="s">
        <v>422</v>
      </c>
      <c r="D1041" t="str">
        <f t="shared" si="25"/>
        <v>CIV</v>
      </c>
    </row>
    <row r="1042" spans="1:4" ht="15.6" thickTop="1" thickBot="1">
      <c r="A1042" s="7"/>
      <c r="B1042" s="7" t="s">
        <v>16</v>
      </c>
      <c r="C1042" s="7" t="s">
        <v>328</v>
      </c>
      <c r="D1042" t="str">
        <f t="shared" si="25"/>
        <v>CIV</v>
      </c>
    </row>
    <row r="1043" spans="1:4" ht="15.6" thickTop="1" thickBot="1">
      <c r="A1043" s="7"/>
      <c r="B1043" s="7" t="s">
        <v>17</v>
      </c>
      <c r="C1043" s="7" t="s">
        <v>422</v>
      </c>
      <c r="D1043" t="str">
        <f t="shared" si="25"/>
        <v>CIV</v>
      </c>
    </row>
    <row r="1044" spans="1:4" ht="15.6" thickTop="1" thickBot="1">
      <c r="A1044" s="7"/>
      <c r="B1044" s="7" t="s">
        <v>18</v>
      </c>
      <c r="C1044" s="7" t="s">
        <v>423</v>
      </c>
      <c r="D1044" t="str">
        <f t="shared" si="25"/>
        <v>CIV</v>
      </c>
    </row>
    <row r="1045" spans="1:4" ht="15.6" thickTop="1" thickBot="1">
      <c r="A1045" s="7"/>
      <c r="B1045" s="7" t="s">
        <v>19</v>
      </c>
      <c r="C1045" s="7" t="s">
        <v>424</v>
      </c>
      <c r="D1045" t="str">
        <f t="shared" si="25"/>
        <v>CIV</v>
      </c>
    </row>
    <row r="1046" spans="1:4" ht="15.6" thickTop="1" thickBot="1">
      <c r="A1046" s="7"/>
      <c r="B1046" s="7" t="s">
        <v>21</v>
      </c>
      <c r="C1046" s="7" t="s">
        <v>425</v>
      </c>
      <c r="D1046" t="str">
        <f t="shared" si="25"/>
        <v>CIV</v>
      </c>
    </row>
    <row r="1047" spans="1:4" ht="15.6" thickTop="1" thickBot="1">
      <c r="A1047" s="7"/>
      <c r="B1047" s="7" t="s">
        <v>22</v>
      </c>
      <c r="C1047" s="7" t="s">
        <v>421</v>
      </c>
      <c r="D1047" t="str">
        <f t="shared" si="25"/>
        <v>CIV</v>
      </c>
    </row>
    <row r="1048" spans="1:4" ht="15.6" thickTop="1" thickBot="1">
      <c r="A1048" s="7"/>
      <c r="B1048" s="7" t="s">
        <v>23</v>
      </c>
      <c r="C1048" s="7" t="s">
        <v>422</v>
      </c>
      <c r="D1048" t="str">
        <f t="shared" si="25"/>
        <v>CIV</v>
      </c>
    </row>
    <row r="1049" spans="1:4" ht="18" customHeight="1" thickTop="1" thickBot="1">
      <c r="A1049" s="7"/>
      <c r="B1049" s="7" t="s">
        <v>24</v>
      </c>
      <c r="C1049" s="7">
        <v>1115</v>
      </c>
      <c r="D1049" t="str">
        <f t="shared" si="25"/>
        <v>CIV</v>
      </c>
    </row>
    <row r="1050" spans="1:4" ht="49.2" thickTop="1" thickBot="1">
      <c r="A1050" s="9" t="s">
        <v>426</v>
      </c>
      <c r="B1050" s="10"/>
      <c r="C1050" s="11"/>
      <c r="D1050" t="str">
        <f t="shared" si="25"/>
        <v>PRK</v>
      </c>
    </row>
    <row r="1051" spans="1:4" ht="49.2" thickTop="1" thickBot="1">
      <c r="A1051" s="7"/>
      <c r="B1051" s="7" t="s">
        <v>9</v>
      </c>
      <c r="C1051" s="7">
        <v>2017</v>
      </c>
      <c r="D1051" t="str">
        <f t="shared" si="25"/>
        <v>PRK</v>
      </c>
    </row>
    <row r="1052" spans="1:4" ht="39.6" thickTop="1" thickBot="1">
      <c r="A1052" s="7"/>
      <c r="B1052" s="7" t="s">
        <v>10</v>
      </c>
      <c r="C1052" s="7">
        <v>2018</v>
      </c>
      <c r="D1052" t="str">
        <f t="shared" si="25"/>
        <v>PRK</v>
      </c>
    </row>
    <row r="1053" spans="1:4" ht="30" thickTop="1" thickBot="1">
      <c r="A1053" s="7"/>
      <c r="B1053" s="7" t="s">
        <v>25</v>
      </c>
      <c r="C1053" s="8">
        <v>120410</v>
      </c>
      <c r="D1053" t="str">
        <f t="shared" si="25"/>
        <v>PRK</v>
      </c>
    </row>
    <row r="1054" spans="1:4" ht="20.399999999999999" thickTop="1" thickBot="1">
      <c r="A1054" s="7"/>
      <c r="B1054" s="7" t="s">
        <v>26</v>
      </c>
      <c r="C1054" s="7" t="s">
        <v>427</v>
      </c>
      <c r="D1054" t="str">
        <f t="shared" si="25"/>
        <v>PRK</v>
      </c>
    </row>
    <row r="1055" spans="1:4" ht="39.6" thickTop="1" thickBot="1">
      <c r="A1055" s="7"/>
      <c r="B1055" s="7" t="s">
        <v>28</v>
      </c>
      <c r="C1055" s="7" t="s">
        <v>428</v>
      </c>
      <c r="D1055" t="str">
        <f t="shared" si="25"/>
        <v>PRK</v>
      </c>
    </row>
    <row r="1056" spans="1:4" ht="39.6" thickTop="1" thickBot="1">
      <c r="A1056" s="7"/>
      <c r="B1056" s="7" t="s">
        <v>30</v>
      </c>
      <c r="C1056" s="7" t="s">
        <v>429</v>
      </c>
      <c r="D1056" t="str">
        <f t="shared" si="25"/>
        <v>PRK</v>
      </c>
    </row>
    <row r="1057" spans="1:4" ht="20.399999999999999" thickTop="1" thickBot="1">
      <c r="A1057" s="7"/>
      <c r="B1057" s="7" t="s">
        <v>32</v>
      </c>
      <c r="C1057" s="7" t="s">
        <v>33</v>
      </c>
      <c r="D1057" t="str">
        <f t="shared" si="25"/>
        <v>PRK</v>
      </c>
    </row>
    <row r="1058" spans="1:4" ht="20.399999999999999" thickTop="1" thickBot="1">
      <c r="A1058" s="7"/>
      <c r="B1058" s="7" t="s">
        <v>1</v>
      </c>
      <c r="C1058" s="7" t="s">
        <v>152</v>
      </c>
      <c r="D1058" t="str">
        <f t="shared" si="25"/>
        <v>PRK</v>
      </c>
    </row>
    <row r="1059" spans="1:4" ht="30" thickTop="1" thickBot="1">
      <c r="A1059" s="7"/>
      <c r="B1059" s="7" t="s">
        <v>3</v>
      </c>
      <c r="C1059" s="7" t="s">
        <v>4</v>
      </c>
      <c r="D1059" t="str">
        <f t="shared" si="25"/>
        <v>PRK</v>
      </c>
    </row>
    <row r="1060" spans="1:4" ht="20.399999999999999" thickTop="1" thickBot="1">
      <c r="A1060" s="7"/>
      <c r="B1060" s="7" t="s">
        <v>5</v>
      </c>
      <c r="C1060" s="7" t="s">
        <v>153</v>
      </c>
      <c r="D1060" t="str">
        <f t="shared" si="25"/>
        <v>PRK</v>
      </c>
    </row>
    <row r="1061" spans="1:4" ht="30" thickTop="1" thickBot="1">
      <c r="A1061" s="7"/>
      <c r="B1061" s="7" t="s">
        <v>7</v>
      </c>
      <c r="C1061" s="7" t="s">
        <v>8</v>
      </c>
      <c r="D1061" t="str">
        <f t="shared" si="25"/>
        <v>PRK</v>
      </c>
    </row>
    <row r="1062" spans="1:4" ht="15.6" thickTop="1" thickBot="1">
      <c r="A1062" s="7"/>
      <c r="B1062" s="7" t="s">
        <v>13</v>
      </c>
      <c r="C1062" s="7" t="s">
        <v>430</v>
      </c>
      <c r="D1062" t="str">
        <f t="shared" si="25"/>
        <v>PRK</v>
      </c>
    </row>
    <row r="1063" spans="1:4" ht="15.6" thickTop="1" thickBot="1">
      <c r="A1063" s="7"/>
      <c r="B1063" s="7" t="s">
        <v>15</v>
      </c>
      <c r="C1063" s="7" t="s">
        <v>431</v>
      </c>
      <c r="D1063" t="str">
        <f t="shared" si="25"/>
        <v>PRK</v>
      </c>
    </row>
    <row r="1064" spans="1:4" ht="15.6" thickTop="1" thickBot="1">
      <c r="A1064" s="7"/>
      <c r="B1064" s="7" t="s">
        <v>22</v>
      </c>
      <c r="C1064" s="7" t="s">
        <v>432</v>
      </c>
      <c r="D1064" t="str">
        <f t="shared" si="25"/>
        <v>PRK</v>
      </c>
    </row>
    <row r="1065" spans="1:4" ht="15.6" thickTop="1" thickBot="1">
      <c r="A1065" s="7"/>
      <c r="B1065" s="7" t="s">
        <v>23</v>
      </c>
      <c r="C1065" s="7" t="s">
        <v>431</v>
      </c>
      <c r="D1065" t="str">
        <f t="shared" si="25"/>
        <v>PRK</v>
      </c>
    </row>
    <row r="1066" spans="1:4" ht="15.6" thickTop="1" thickBot="1">
      <c r="A1066" s="7"/>
      <c r="B1066" s="7" t="s">
        <v>24</v>
      </c>
      <c r="C1066" s="7">
        <v>3083</v>
      </c>
      <c r="D1066" t="str">
        <f t="shared" si="25"/>
        <v>PRK</v>
      </c>
    </row>
    <row r="1067" spans="1:4" ht="15.6" thickTop="1" thickBot="1">
      <c r="A1067" s="7"/>
      <c r="B1067" s="7" t="s">
        <v>18</v>
      </c>
      <c r="C1067" s="7" t="s">
        <v>433</v>
      </c>
      <c r="D1067" t="str">
        <f t="shared" si="25"/>
        <v>PRK</v>
      </c>
    </row>
    <row r="1068" spans="1:4" ht="15.6" thickTop="1" thickBot="1">
      <c r="A1068" s="7"/>
      <c r="B1068" s="7" t="s">
        <v>19</v>
      </c>
      <c r="C1068" s="7" t="s">
        <v>434</v>
      </c>
      <c r="D1068" t="str">
        <f t="shared" si="25"/>
        <v>PRK</v>
      </c>
    </row>
    <row r="1069" spans="1:4" ht="15.6" thickTop="1" thickBot="1">
      <c r="A1069" s="7"/>
      <c r="B1069" s="7" t="s">
        <v>21</v>
      </c>
      <c r="C1069" s="7" t="s">
        <v>435</v>
      </c>
      <c r="D1069" t="str">
        <f t="shared" si="25"/>
        <v>PRK</v>
      </c>
    </row>
    <row r="1070" spans="1:4" ht="15.6" thickTop="1" thickBot="1">
      <c r="A1070" s="7"/>
      <c r="B1070" s="7" t="s">
        <v>16</v>
      </c>
      <c r="C1070" s="7" t="s">
        <v>279</v>
      </c>
      <c r="D1070" t="str">
        <f t="shared" si="25"/>
        <v>PRK</v>
      </c>
    </row>
    <row r="1071" spans="1:4" ht="15.6" thickTop="1" thickBot="1">
      <c r="A1071" s="7"/>
      <c r="B1071" s="7" t="s">
        <v>17</v>
      </c>
      <c r="C1071" s="7" t="s">
        <v>431</v>
      </c>
      <c r="D1071" t="str">
        <f t="shared" si="25"/>
        <v>PRK</v>
      </c>
    </row>
    <row r="1072" spans="1:4" ht="39.6" thickTop="1" thickBot="1">
      <c r="A1072" s="9" t="s">
        <v>436</v>
      </c>
      <c r="B1072" s="10"/>
      <c r="C1072" s="11"/>
      <c r="D1072" t="str">
        <f t="shared" si="25"/>
        <v>COD</v>
      </c>
    </row>
    <row r="1073" spans="1:4" ht="49.2" thickTop="1" thickBot="1">
      <c r="A1073" s="7"/>
      <c r="B1073" s="7" t="s">
        <v>9</v>
      </c>
      <c r="C1073" s="7">
        <v>2017</v>
      </c>
      <c r="D1073" t="str">
        <f t="shared" si="25"/>
        <v>COD</v>
      </c>
    </row>
    <row r="1074" spans="1:4" ht="39.6" thickTop="1" thickBot="1">
      <c r="A1074" s="7"/>
      <c r="B1074" s="7" t="s">
        <v>10</v>
      </c>
      <c r="C1074" s="7">
        <v>2018</v>
      </c>
      <c r="D1074" t="str">
        <f t="shared" si="25"/>
        <v>COD</v>
      </c>
    </row>
    <row r="1075" spans="1:4" ht="30" thickTop="1" thickBot="1">
      <c r="A1075" s="7"/>
      <c r="B1075" s="7" t="s">
        <v>25</v>
      </c>
      <c r="C1075" s="8">
        <v>2267050</v>
      </c>
      <c r="D1075" t="str">
        <f t="shared" si="25"/>
        <v>COD</v>
      </c>
    </row>
    <row r="1076" spans="1:4" ht="49.2" thickTop="1" thickBot="1">
      <c r="A1076" s="7"/>
      <c r="B1076" s="7" t="s">
        <v>26</v>
      </c>
      <c r="C1076" s="7" t="s">
        <v>437</v>
      </c>
      <c r="D1076" t="str">
        <f t="shared" si="25"/>
        <v>COD</v>
      </c>
    </row>
    <row r="1077" spans="1:4" ht="30" thickTop="1" thickBot="1">
      <c r="A1077" s="7"/>
      <c r="B1077" s="7" t="s">
        <v>28</v>
      </c>
      <c r="C1077" s="7" t="s">
        <v>438</v>
      </c>
      <c r="D1077" t="str">
        <f t="shared" si="25"/>
        <v>COD</v>
      </c>
    </row>
    <row r="1078" spans="1:4" ht="30" thickTop="1" thickBot="1">
      <c r="A1078" s="7"/>
      <c r="B1078" s="7" t="s">
        <v>30</v>
      </c>
      <c r="C1078" s="7" t="s">
        <v>439</v>
      </c>
      <c r="D1078" t="str">
        <f t="shared" si="25"/>
        <v>COD</v>
      </c>
    </row>
    <row r="1079" spans="1:4" ht="20.399999999999999" thickTop="1" thickBot="1">
      <c r="A1079" s="7"/>
      <c r="B1079" s="7" t="s">
        <v>32</v>
      </c>
      <c r="C1079" s="7" t="s">
        <v>33</v>
      </c>
      <c r="D1079" t="str">
        <f t="shared" si="25"/>
        <v>COD</v>
      </c>
    </row>
    <row r="1080" spans="1:4" ht="20.399999999999999" thickTop="1" thickBot="1">
      <c r="A1080" s="7"/>
      <c r="B1080" s="7" t="s">
        <v>1</v>
      </c>
      <c r="C1080" s="7" t="s">
        <v>50</v>
      </c>
      <c r="D1080" t="str">
        <f t="shared" si="25"/>
        <v>COD</v>
      </c>
    </row>
    <row r="1081" spans="1:4" ht="30" thickTop="1" thickBot="1">
      <c r="A1081" s="7"/>
      <c r="B1081" s="7" t="s">
        <v>3</v>
      </c>
      <c r="C1081" s="7" t="s">
        <v>4</v>
      </c>
      <c r="D1081" t="str">
        <f t="shared" si="25"/>
        <v>COD</v>
      </c>
    </row>
    <row r="1082" spans="1:4" ht="20.399999999999999" thickTop="1" thickBot="1">
      <c r="A1082" s="7"/>
      <c r="B1082" s="7" t="s">
        <v>5</v>
      </c>
      <c r="C1082" s="7" t="s">
        <v>51</v>
      </c>
      <c r="D1082" t="str">
        <f t="shared" si="25"/>
        <v>COD</v>
      </c>
    </row>
    <row r="1083" spans="1:4" ht="30" thickTop="1" thickBot="1">
      <c r="A1083" s="7"/>
      <c r="B1083" s="7" t="s">
        <v>7</v>
      </c>
      <c r="C1083" s="7" t="s">
        <v>8</v>
      </c>
      <c r="D1083" t="str">
        <f t="shared" si="25"/>
        <v>COD</v>
      </c>
    </row>
    <row r="1084" spans="1:4" ht="15.6" thickTop="1" thickBot="1">
      <c r="A1084" s="7"/>
      <c r="B1084" s="7" t="s">
        <v>11</v>
      </c>
      <c r="C1084" s="7" t="s">
        <v>440</v>
      </c>
      <c r="D1084" t="str">
        <f t="shared" si="25"/>
        <v>COD</v>
      </c>
    </row>
    <row r="1085" spans="1:4" ht="15.6" thickTop="1" thickBot="1">
      <c r="A1085" s="7"/>
      <c r="B1085" s="7" t="s">
        <v>13</v>
      </c>
      <c r="C1085" s="7" t="s">
        <v>362</v>
      </c>
      <c r="D1085" t="str">
        <f t="shared" si="25"/>
        <v>COD</v>
      </c>
    </row>
    <row r="1086" spans="1:4" ht="15.6" thickTop="1" thickBot="1">
      <c r="A1086" s="7"/>
      <c r="B1086" s="7" t="s">
        <v>15</v>
      </c>
      <c r="C1086" s="7" t="s">
        <v>441</v>
      </c>
      <c r="D1086" t="str">
        <f t="shared" si="25"/>
        <v>COD</v>
      </c>
    </row>
    <row r="1087" spans="1:4" ht="15.6" thickTop="1" thickBot="1">
      <c r="A1087" s="7"/>
      <c r="B1087" s="7" t="s">
        <v>22</v>
      </c>
      <c r="C1087" s="7" t="s">
        <v>442</v>
      </c>
      <c r="D1087" t="str">
        <f t="shared" si="25"/>
        <v>COD</v>
      </c>
    </row>
    <row r="1088" spans="1:4" ht="15.6" thickTop="1" thickBot="1">
      <c r="A1088" s="7"/>
      <c r="B1088" s="7" t="s">
        <v>23</v>
      </c>
      <c r="C1088" s="7" t="s">
        <v>441</v>
      </c>
      <c r="D1088" t="str">
        <f t="shared" si="25"/>
        <v>COD</v>
      </c>
    </row>
    <row r="1089" spans="1:4" ht="15.6" thickTop="1" thickBot="1">
      <c r="A1089" s="7"/>
      <c r="B1089" s="7" t="s">
        <v>24</v>
      </c>
      <c r="C1089" s="7">
        <v>1555</v>
      </c>
      <c r="D1089" t="str">
        <f t="shared" si="25"/>
        <v>COD</v>
      </c>
    </row>
    <row r="1090" spans="1:4" ht="15.6" thickTop="1" thickBot="1">
      <c r="A1090" s="7"/>
      <c r="B1090" s="7" t="s">
        <v>18</v>
      </c>
      <c r="C1090" s="7" t="s">
        <v>441</v>
      </c>
      <c r="D1090" t="str">
        <f t="shared" ref="D1090:D1153" si="26">IF(ISNUMBER(FIND(":", A1090)), LEFT(A1090, FIND(":", A1090) - 1), D1089)</f>
        <v>COD</v>
      </c>
    </row>
    <row r="1091" spans="1:4" ht="15.6" thickTop="1" thickBot="1">
      <c r="A1091" s="7"/>
      <c r="B1091" s="7" t="s">
        <v>19</v>
      </c>
      <c r="C1091" s="7" t="s">
        <v>443</v>
      </c>
      <c r="D1091" t="str">
        <f t="shared" si="26"/>
        <v>COD</v>
      </c>
    </row>
    <row r="1092" spans="1:4" ht="15.6" thickTop="1" thickBot="1">
      <c r="A1092" s="7"/>
      <c r="B1092" s="7" t="s">
        <v>21</v>
      </c>
      <c r="C1092" s="7" t="s">
        <v>441</v>
      </c>
      <c r="D1092" t="str">
        <f t="shared" si="26"/>
        <v>COD</v>
      </c>
    </row>
    <row r="1093" spans="1:4" ht="15.6" thickTop="1" thickBot="1">
      <c r="A1093" s="7"/>
      <c r="B1093" s="7" t="s">
        <v>16</v>
      </c>
      <c r="C1093" s="7" t="s">
        <v>319</v>
      </c>
      <c r="D1093" t="str">
        <f t="shared" si="26"/>
        <v>COD</v>
      </c>
    </row>
    <row r="1094" spans="1:4" ht="15.6" thickTop="1" thickBot="1">
      <c r="A1094" s="7"/>
      <c r="B1094" s="7" t="s">
        <v>17</v>
      </c>
      <c r="C1094" s="7" t="s">
        <v>441</v>
      </c>
      <c r="D1094" t="str">
        <f t="shared" si="26"/>
        <v>COD</v>
      </c>
    </row>
    <row r="1095" spans="1:4" ht="20.399999999999999" thickTop="1" thickBot="1">
      <c r="A1095" s="9" t="s">
        <v>444</v>
      </c>
      <c r="B1095" s="10"/>
      <c r="C1095" s="11"/>
      <c r="D1095" t="str">
        <f t="shared" si="26"/>
        <v>DNK</v>
      </c>
    </row>
    <row r="1096" spans="1:4" ht="49.2" thickTop="1" thickBot="1">
      <c r="A1096" s="7"/>
      <c r="B1096" s="7" t="s">
        <v>9</v>
      </c>
      <c r="C1096" s="7">
        <v>2017</v>
      </c>
      <c r="D1096" t="str">
        <f t="shared" si="26"/>
        <v>DNK</v>
      </c>
    </row>
    <row r="1097" spans="1:4" ht="39.6" thickTop="1" thickBot="1">
      <c r="A1097" s="7"/>
      <c r="B1097" s="7" t="s">
        <v>10</v>
      </c>
      <c r="C1097" s="7">
        <v>2018</v>
      </c>
      <c r="D1097" t="str">
        <f t="shared" si="26"/>
        <v>DNK</v>
      </c>
    </row>
    <row r="1098" spans="1:4" ht="30" thickTop="1" thickBot="1">
      <c r="A1098" s="7"/>
      <c r="B1098" s="7" t="s">
        <v>25</v>
      </c>
      <c r="C1098" s="8">
        <v>42430</v>
      </c>
      <c r="D1098" t="str">
        <f t="shared" si="26"/>
        <v>DNK</v>
      </c>
    </row>
    <row r="1099" spans="1:4" ht="20.399999999999999" thickTop="1" thickBot="1">
      <c r="A1099" s="7"/>
      <c r="B1099" s="7" t="s">
        <v>26</v>
      </c>
      <c r="C1099" s="7" t="s">
        <v>445</v>
      </c>
      <c r="D1099" t="str">
        <f t="shared" si="26"/>
        <v>DNK</v>
      </c>
    </row>
    <row r="1100" spans="1:4" ht="20.399999999999999" thickTop="1" thickBot="1">
      <c r="A1100" s="7"/>
      <c r="B1100" s="7" t="s">
        <v>28</v>
      </c>
      <c r="C1100" s="7" t="s">
        <v>446</v>
      </c>
      <c r="D1100" t="str">
        <f t="shared" si="26"/>
        <v>DNK</v>
      </c>
    </row>
    <row r="1101" spans="1:4" ht="20.399999999999999" thickTop="1" thickBot="1">
      <c r="A1101" s="7"/>
      <c r="B1101" s="7" t="s">
        <v>30</v>
      </c>
      <c r="C1101" s="7" t="s">
        <v>447</v>
      </c>
      <c r="D1101" t="str">
        <f t="shared" si="26"/>
        <v>DNK</v>
      </c>
    </row>
    <row r="1102" spans="1:4" ht="20.399999999999999" thickTop="1" thickBot="1">
      <c r="A1102" s="7"/>
      <c r="B1102" s="7" t="s">
        <v>32</v>
      </c>
      <c r="C1102" s="7" t="s">
        <v>33</v>
      </c>
      <c r="D1102" t="str">
        <f t="shared" si="26"/>
        <v>DNK</v>
      </c>
    </row>
    <row r="1103" spans="1:4" ht="20.399999999999999" thickTop="1" thickBot="1">
      <c r="A1103" s="7"/>
      <c r="B1103" s="7" t="s">
        <v>1</v>
      </c>
      <c r="C1103" s="7" t="s">
        <v>35</v>
      </c>
      <c r="D1103" t="str">
        <f t="shared" si="26"/>
        <v>DNK</v>
      </c>
    </row>
    <row r="1104" spans="1:4" ht="30" thickTop="1" thickBot="1">
      <c r="A1104" s="7"/>
      <c r="B1104" s="7" t="s">
        <v>3</v>
      </c>
      <c r="C1104" s="7" t="s">
        <v>59</v>
      </c>
      <c r="D1104" t="str">
        <f t="shared" si="26"/>
        <v>DNK</v>
      </c>
    </row>
    <row r="1105" spans="1:4" ht="20.399999999999999" thickTop="1" thickBot="1">
      <c r="A1105" s="7"/>
      <c r="B1105" s="7" t="s">
        <v>5</v>
      </c>
      <c r="C1105" s="7" t="s">
        <v>37</v>
      </c>
      <c r="D1105" t="str">
        <f t="shared" si="26"/>
        <v>DNK</v>
      </c>
    </row>
    <row r="1106" spans="1:4" ht="30" thickTop="1" thickBot="1">
      <c r="A1106" s="7"/>
      <c r="B1106" s="7" t="s">
        <v>7</v>
      </c>
      <c r="C1106" s="7" t="s">
        <v>60</v>
      </c>
      <c r="D1106" t="str">
        <f t="shared" si="26"/>
        <v>DNK</v>
      </c>
    </row>
    <row r="1107" spans="1:4" ht="15.6" thickTop="1" thickBot="1">
      <c r="A1107" s="7"/>
      <c r="B1107" s="7" t="s">
        <v>11</v>
      </c>
      <c r="C1107" s="7" t="s">
        <v>448</v>
      </c>
      <c r="D1107" t="str">
        <f t="shared" si="26"/>
        <v>DNK</v>
      </c>
    </row>
    <row r="1108" spans="1:4" ht="15.6" thickTop="1" thickBot="1">
      <c r="A1108" s="7"/>
      <c r="B1108" s="7" t="s">
        <v>13</v>
      </c>
      <c r="C1108" s="7" t="s">
        <v>449</v>
      </c>
      <c r="D1108" t="str">
        <f t="shared" si="26"/>
        <v>DNK</v>
      </c>
    </row>
    <row r="1109" spans="1:4" ht="15.6" thickTop="1" thickBot="1">
      <c r="A1109" s="7"/>
      <c r="B1109" s="7" t="s">
        <v>15</v>
      </c>
      <c r="C1109" s="7" t="s">
        <v>450</v>
      </c>
      <c r="D1109" t="str">
        <f t="shared" si="26"/>
        <v>DNK</v>
      </c>
    </row>
    <row r="1110" spans="1:4" ht="15.6" thickTop="1" thickBot="1">
      <c r="A1110" s="7"/>
      <c r="B1110" s="7" t="s">
        <v>16</v>
      </c>
      <c r="C1110" s="7" t="s">
        <v>448</v>
      </c>
      <c r="D1110" t="str">
        <f t="shared" si="26"/>
        <v>DNK</v>
      </c>
    </row>
    <row r="1111" spans="1:4" ht="15.6" thickTop="1" thickBot="1">
      <c r="A1111" s="7"/>
      <c r="B1111" s="7" t="s">
        <v>17</v>
      </c>
      <c r="C1111" s="7" t="s">
        <v>451</v>
      </c>
      <c r="D1111" t="str">
        <f t="shared" si="26"/>
        <v>DNK</v>
      </c>
    </row>
    <row r="1112" spans="1:4" ht="15.6" thickTop="1" thickBot="1">
      <c r="A1112" s="7"/>
      <c r="B1112" s="7" t="s">
        <v>18</v>
      </c>
      <c r="C1112" s="7" t="s">
        <v>451</v>
      </c>
      <c r="D1112" t="str">
        <f t="shared" si="26"/>
        <v>DNK</v>
      </c>
    </row>
    <row r="1113" spans="1:4" ht="15.6" thickTop="1" thickBot="1">
      <c r="A1113" s="7"/>
      <c r="B1113" s="7" t="s">
        <v>19</v>
      </c>
      <c r="C1113" s="7" t="s">
        <v>452</v>
      </c>
      <c r="D1113" t="str">
        <f t="shared" si="26"/>
        <v>DNK</v>
      </c>
    </row>
    <row r="1114" spans="1:4" ht="15.6" thickTop="1" thickBot="1">
      <c r="A1114" s="7"/>
      <c r="B1114" s="7" t="s">
        <v>21</v>
      </c>
      <c r="C1114" s="7" t="s">
        <v>450</v>
      </c>
      <c r="D1114" t="str">
        <f t="shared" si="26"/>
        <v>DNK</v>
      </c>
    </row>
    <row r="1115" spans="1:4" ht="15.6" thickTop="1" thickBot="1">
      <c r="A1115" s="7"/>
      <c r="B1115" s="7" t="s">
        <v>22</v>
      </c>
      <c r="C1115" s="7" t="s">
        <v>453</v>
      </c>
      <c r="D1115" t="str">
        <f t="shared" si="26"/>
        <v>DNK</v>
      </c>
    </row>
    <row r="1116" spans="1:4" ht="15.6" thickTop="1" thickBot="1">
      <c r="A1116" s="7"/>
      <c r="B1116" s="7" t="s">
        <v>23</v>
      </c>
      <c r="C1116" s="7" t="s">
        <v>451</v>
      </c>
      <c r="D1116" t="str">
        <f t="shared" si="26"/>
        <v>DNK</v>
      </c>
    </row>
    <row r="1117" spans="1:4" ht="15.6" thickTop="1" thickBot="1">
      <c r="A1117" s="7"/>
      <c r="B1117" s="7" t="s">
        <v>24</v>
      </c>
      <c r="C1117" s="7">
        <v>4050</v>
      </c>
      <c r="D1117" t="str">
        <f t="shared" si="26"/>
        <v>DNK</v>
      </c>
    </row>
    <row r="1118" spans="1:4" ht="15.6" thickTop="1" thickBot="1">
      <c r="A1118" s="9" t="s">
        <v>454</v>
      </c>
      <c r="B1118" s="10"/>
      <c r="C1118" s="11"/>
      <c r="D1118" t="str">
        <f t="shared" si="26"/>
        <v>DJI</v>
      </c>
    </row>
    <row r="1119" spans="1:4" ht="49.2" thickTop="1" thickBot="1">
      <c r="A1119" s="7"/>
      <c r="B1119" s="7" t="s">
        <v>9</v>
      </c>
      <c r="C1119" s="7">
        <v>2017</v>
      </c>
      <c r="D1119" t="str">
        <f t="shared" si="26"/>
        <v>DJI</v>
      </c>
    </row>
    <row r="1120" spans="1:4" ht="39.6" thickTop="1" thickBot="1">
      <c r="A1120" s="7"/>
      <c r="B1120" s="7" t="s">
        <v>10</v>
      </c>
      <c r="C1120" s="7">
        <v>2018</v>
      </c>
      <c r="D1120" t="str">
        <f t="shared" si="26"/>
        <v>DJI</v>
      </c>
    </row>
    <row r="1121" spans="1:4" ht="30" thickTop="1" thickBot="1">
      <c r="A1121" s="7"/>
      <c r="B1121" s="7" t="s">
        <v>25</v>
      </c>
      <c r="C1121" s="8">
        <v>23180</v>
      </c>
      <c r="D1121" t="str">
        <f t="shared" si="26"/>
        <v>DJI</v>
      </c>
    </row>
    <row r="1122" spans="1:4" ht="30" thickTop="1" thickBot="1">
      <c r="A1122" s="7"/>
      <c r="B1122" s="7" t="s">
        <v>26</v>
      </c>
      <c r="C1122" s="7" t="s">
        <v>455</v>
      </c>
      <c r="D1122" t="str">
        <f t="shared" si="26"/>
        <v>DJI</v>
      </c>
    </row>
    <row r="1123" spans="1:4" ht="20.399999999999999" thickTop="1" thickBot="1">
      <c r="A1123" s="7"/>
      <c r="B1123" s="7" t="s">
        <v>28</v>
      </c>
      <c r="C1123" s="7" t="s">
        <v>456</v>
      </c>
      <c r="D1123" t="str">
        <f t="shared" si="26"/>
        <v>DJI</v>
      </c>
    </row>
    <row r="1124" spans="1:4" ht="20.399999999999999" thickTop="1" thickBot="1">
      <c r="A1124" s="7"/>
      <c r="B1124" s="7" t="s">
        <v>30</v>
      </c>
      <c r="C1124" s="7" t="s">
        <v>456</v>
      </c>
      <c r="D1124" t="str">
        <f t="shared" si="26"/>
        <v>DJI</v>
      </c>
    </row>
    <row r="1125" spans="1:4" ht="20.399999999999999" thickTop="1" thickBot="1">
      <c r="A1125" s="7"/>
      <c r="B1125" s="7" t="s">
        <v>32</v>
      </c>
      <c r="C1125" s="7" t="s">
        <v>33</v>
      </c>
      <c r="D1125" t="str">
        <f t="shared" si="26"/>
        <v>DJI</v>
      </c>
    </row>
    <row r="1126" spans="1:4" ht="30" thickTop="1" thickBot="1">
      <c r="A1126" s="7"/>
      <c r="B1126" s="7" t="s">
        <v>1</v>
      </c>
      <c r="C1126" s="7" t="s">
        <v>2</v>
      </c>
      <c r="D1126" t="str">
        <f t="shared" si="26"/>
        <v>DJI</v>
      </c>
    </row>
    <row r="1127" spans="1:4" ht="30" thickTop="1" thickBot="1">
      <c r="A1127" s="7"/>
      <c r="B1127" s="7" t="s">
        <v>3</v>
      </c>
      <c r="C1127" s="7" t="s">
        <v>69</v>
      </c>
      <c r="D1127" t="str">
        <f t="shared" si="26"/>
        <v>DJI</v>
      </c>
    </row>
    <row r="1128" spans="1:4" ht="20.399999999999999" thickTop="1" thickBot="1">
      <c r="A1128" s="7"/>
      <c r="B1128" s="7" t="s">
        <v>5</v>
      </c>
      <c r="C1128" s="7" t="s">
        <v>6</v>
      </c>
      <c r="D1128" t="str">
        <f t="shared" si="26"/>
        <v>DJI</v>
      </c>
    </row>
    <row r="1129" spans="1:4" ht="30" thickTop="1" thickBot="1">
      <c r="A1129" s="7"/>
      <c r="B1129" s="7" t="s">
        <v>7</v>
      </c>
      <c r="C1129" s="7" t="s">
        <v>70</v>
      </c>
      <c r="D1129" t="str">
        <f t="shared" si="26"/>
        <v>DJI</v>
      </c>
    </row>
    <row r="1130" spans="1:4" ht="15.6" thickTop="1" thickBot="1">
      <c r="A1130" s="7"/>
      <c r="B1130" s="7" t="s">
        <v>13</v>
      </c>
      <c r="C1130" s="7" t="s">
        <v>457</v>
      </c>
      <c r="D1130" t="str">
        <f t="shared" si="26"/>
        <v>DJI</v>
      </c>
    </row>
    <row r="1131" spans="1:4" ht="15.6" thickTop="1" thickBot="1">
      <c r="A1131" s="7"/>
      <c r="B1131" s="7" t="s">
        <v>15</v>
      </c>
      <c r="C1131" s="7" t="s">
        <v>458</v>
      </c>
      <c r="D1131" t="str">
        <f t="shared" si="26"/>
        <v>DJI</v>
      </c>
    </row>
    <row r="1132" spans="1:4" ht="15.6" thickTop="1" thickBot="1">
      <c r="A1132" s="7"/>
      <c r="B1132" s="7" t="s">
        <v>22</v>
      </c>
      <c r="C1132" s="7" t="s">
        <v>457</v>
      </c>
      <c r="D1132" t="str">
        <f t="shared" si="26"/>
        <v>DJI</v>
      </c>
    </row>
    <row r="1133" spans="1:4" ht="15.6" thickTop="1" thickBot="1">
      <c r="A1133" s="7"/>
      <c r="B1133" s="7" t="s">
        <v>23</v>
      </c>
      <c r="C1133" s="7" t="s">
        <v>458</v>
      </c>
      <c r="D1133" t="str">
        <f t="shared" si="26"/>
        <v>DJI</v>
      </c>
    </row>
    <row r="1134" spans="1:4" ht="15.6" thickTop="1" thickBot="1">
      <c r="A1134" s="7"/>
      <c r="B1134" s="7" t="s">
        <v>24</v>
      </c>
      <c r="C1134" s="7">
        <v>1120</v>
      </c>
      <c r="D1134" t="str">
        <f t="shared" si="26"/>
        <v>DJI</v>
      </c>
    </row>
    <row r="1135" spans="1:4" ht="15.6" thickTop="1" thickBot="1">
      <c r="A1135" s="7"/>
      <c r="B1135" s="7" t="s">
        <v>18</v>
      </c>
      <c r="C1135" s="7" t="s">
        <v>458</v>
      </c>
      <c r="D1135" t="str">
        <f t="shared" si="26"/>
        <v>DJI</v>
      </c>
    </row>
    <row r="1136" spans="1:4" ht="15.6" thickTop="1" thickBot="1">
      <c r="A1136" s="7"/>
      <c r="B1136" s="7" t="s">
        <v>19</v>
      </c>
      <c r="C1136" s="7" t="s">
        <v>459</v>
      </c>
      <c r="D1136" t="str">
        <f t="shared" si="26"/>
        <v>DJI</v>
      </c>
    </row>
    <row r="1137" spans="1:4" ht="15.6" thickTop="1" thickBot="1">
      <c r="A1137" s="7"/>
      <c r="B1137" s="7" t="s">
        <v>21</v>
      </c>
      <c r="C1137" s="7" t="s">
        <v>458</v>
      </c>
      <c r="D1137" t="str">
        <f t="shared" si="26"/>
        <v>DJI</v>
      </c>
    </row>
    <row r="1138" spans="1:4" ht="15.6" thickTop="1" thickBot="1">
      <c r="A1138" s="7"/>
      <c r="B1138" s="7" t="s">
        <v>16</v>
      </c>
      <c r="C1138" s="7" t="s">
        <v>457</v>
      </c>
      <c r="D1138" t="str">
        <f t="shared" si="26"/>
        <v>DJI</v>
      </c>
    </row>
    <row r="1139" spans="1:4" ht="15.6" thickTop="1" thickBot="1">
      <c r="A1139" s="7"/>
      <c r="B1139" s="7" t="s">
        <v>17</v>
      </c>
      <c r="C1139" s="7" t="s">
        <v>458</v>
      </c>
      <c r="D1139" t="str">
        <f t="shared" si="26"/>
        <v>DJI</v>
      </c>
    </row>
    <row r="1140" spans="1:4" ht="20.399999999999999" thickTop="1" thickBot="1">
      <c r="A1140" s="9" t="s">
        <v>460</v>
      </c>
      <c r="B1140" s="10"/>
      <c r="C1140" s="11"/>
      <c r="D1140" t="str">
        <f t="shared" si="26"/>
        <v>DMA</v>
      </c>
    </row>
    <row r="1141" spans="1:4" ht="49.2" thickTop="1" thickBot="1">
      <c r="A1141" s="7"/>
      <c r="B1141" s="7" t="s">
        <v>9</v>
      </c>
      <c r="C1141" s="7">
        <v>2017</v>
      </c>
      <c r="D1141" t="str">
        <f t="shared" si="26"/>
        <v>DMA</v>
      </c>
    </row>
    <row r="1142" spans="1:4" ht="39.6" thickTop="1" thickBot="1">
      <c r="A1142" s="7"/>
      <c r="B1142" s="7" t="s">
        <v>10</v>
      </c>
      <c r="C1142" s="7">
        <v>2018</v>
      </c>
      <c r="D1142" t="str">
        <f t="shared" si="26"/>
        <v>DMA</v>
      </c>
    </row>
    <row r="1143" spans="1:4" ht="30" thickTop="1" thickBot="1">
      <c r="A1143" s="7"/>
      <c r="B1143" s="7" t="s">
        <v>25</v>
      </c>
      <c r="C1143" s="7">
        <v>750</v>
      </c>
      <c r="D1143" t="str">
        <f t="shared" si="26"/>
        <v>DMA</v>
      </c>
    </row>
    <row r="1144" spans="1:4" ht="30" thickTop="1" thickBot="1">
      <c r="A1144" s="7"/>
      <c r="B1144" s="7" t="s">
        <v>26</v>
      </c>
      <c r="C1144" s="7" t="s">
        <v>461</v>
      </c>
      <c r="D1144" t="str">
        <f t="shared" si="26"/>
        <v>DMA</v>
      </c>
    </row>
    <row r="1145" spans="1:4" ht="20.399999999999999" thickTop="1" thickBot="1">
      <c r="A1145" s="7"/>
      <c r="B1145" s="7" t="s">
        <v>28</v>
      </c>
      <c r="C1145" s="7" t="s">
        <v>462</v>
      </c>
      <c r="D1145" t="str">
        <f t="shared" si="26"/>
        <v>DMA</v>
      </c>
    </row>
    <row r="1146" spans="1:4" ht="20.399999999999999" thickTop="1" thickBot="1">
      <c r="A1146" s="7"/>
      <c r="B1146" s="7" t="s">
        <v>30</v>
      </c>
      <c r="C1146" s="7" t="s">
        <v>463</v>
      </c>
      <c r="D1146" t="str">
        <f t="shared" si="26"/>
        <v>DMA</v>
      </c>
    </row>
    <row r="1147" spans="1:4" ht="20.399999999999999" thickTop="1" thickBot="1">
      <c r="A1147" s="7"/>
      <c r="B1147" s="7" t="s">
        <v>32</v>
      </c>
      <c r="C1147" s="7" t="s">
        <v>33</v>
      </c>
      <c r="D1147" t="str">
        <f t="shared" si="26"/>
        <v>DMA</v>
      </c>
    </row>
    <row r="1148" spans="1:4" ht="20.399999999999999" thickTop="1" thickBot="1">
      <c r="A1148" s="7"/>
      <c r="B1148" s="7" t="s">
        <v>1</v>
      </c>
      <c r="C1148" s="7" t="s">
        <v>79</v>
      </c>
      <c r="D1148" t="str">
        <f t="shared" si="26"/>
        <v>DMA</v>
      </c>
    </row>
    <row r="1149" spans="1:4" ht="30" thickTop="1" thickBot="1">
      <c r="A1149" s="7"/>
      <c r="B1149" s="7" t="s">
        <v>3</v>
      </c>
      <c r="C1149" s="7" t="s">
        <v>36</v>
      </c>
      <c r="D1149" t="str">
        <f t="shared" si="26"/>
        <v>DMA</v>
      </c>
    </row>
    <row r="1150" spans="1:4" ht="20.399999999999999" thickTop="1" thickBot="1">
      <c r="A1150" s="7"/>
      <c r="B1150" s="7" t="s">
        <v>5</v>
      </c>
      <c r="C1150" s="7" t="s">
        <v>80</v>
      </c>
      <c r="D1150" t="str">
        <f t="shared" si="26"/>
        <v>DMA</v>
      </c>
    </row>
    <row r="1151" spans="1:4" ht="30" thickTop="1" thickBot="1">
      <c r="A1151" s="7"/>
      <c r="B1151" s="7" t="s">
        <v>7</v>
      </c>
      <c r="C1151" s="7" t="s">
        <v>38</v>
      </c>
      <c r="D1151" t="str">
        <f t="shared" si="26"/>
        <v>DMA</v>
      </c>
    </row>
    <row r="1152" spans="1:4" ht="15.6" thickTop="1" thickBot="1">
      <c r="A1152" s="7"/>
      <c r="B1152" s="7" t="s">
        <v>11</v>
      </c>
      <c r="C1152" s="7" t="s">
        <v>464</v>
      </c>
      <c r="D1152" t="str">
        <f t="shared" si="26"/>
        <v>DMA</v>
      </c>
    </row>
    <row r="1153" spans="1:4" ht="15.6" thickTop="1" thickBot="1">
      <c r="A1153" s="7"/>
      <c r="B1153" s="7" t="s">
        <v>13</v>
      </c>
      <c r="C1153" s="7" t="s">
        <v>465</v>
      </c>
      <c r="D1153" t="str">
        <f t="shared" si="26"/>
        <v>DMA</v>
      </c>
    </row>
    <row r="1154" spans="1:4" ht="15.6" thickTop="1" thickBot="1">
      <c r="A1154" s="7"/>
      <c r="B1154" s="7" t="s">
        <v>15</v>
      </c>
      <c r="C1154" s="7" t="s">
        <v>466</v>
      </c>
      <c r="D1154" t="str">
        <f t="shared" ref="D1154:D1217" si="27">IF(ISNUMBER(FIND(":", A1154)), LEFT(A1154, FIND(":", A1154) - 1), D1153)</f>
        <v>DMA</v>
      </c>
    </row>
    <row r="1155" spans="1:4" ht="15.6" thickTop="1" thickBot="1">
      <c r="A1155" s="7"/>
      <c r="B1155" s="7" t="s">
        <v>22</v>
      </c>
      <c r="C1155" s="7" t="s">
        <v>465</v>
      </c>
      <c r="D1155" t="str">
        <f t="shared" si="27"/>
        <v>DMA</v>
      </c>
    </row>
    <row r="1156" spans="1:4" ht="15.6" thickTop="1" thickBot="1">
      <c r="A1156" s="7"/>
      <c r="B1156" s="7" t="s">
        <v>23</v>
      </c>
      <c r="C1156" s="7" t="s">
        <v>466</v>
      </c>
      <c r="D1156" t="str">
        <f t="shared" si="27"/>
        <v>DMA</v>
      </c>
    </row>
    <row r="1157" spans="1:4" ht="15.6" thickTop="1" thickBot="1">
      <c r="A1157" s="7"/>
      <c r="B1157" s="7" t="s">
        <v>24</v>
      </c>
      <c r="C1157" s="7">
        <v>2160</v>
      </c>
      <c r="D1157" t="str">
        <f t="shared" si="27"/>
        <v>DMA</v>
      </c>
    </row>
    <row r="1158" spans="1:4" ht="15.6" thickTop="1" thickBot="1">
      <c r="A1158" s="7"/>
      <c r="B1158" s="7" t="s">
        <v>18</v>
      </c>
      <c r="C1158" s="7" t="s">
        <v>466</v>
      </c>
      <c r="D1158" t="str">
        <f t="shared" si="27"/>
        <v>DMA</v>
      </c>
    </row>
    <row r="1159" spans="1:4" ht="15.6" thickTop="1" thickBot="1">
      <c r="A1159" s="7"/>
      <c r="B1159" s="7" t="s">
        <v>19</v>
      </c>
      <c r="C1159" s="7" t="s">
        <v>467</v>
      </c>
      <c r="D1159" t="str">
        <f t="shared" si="27"/>
        <v>DMA</v>
      </c>
    </row>
    <row r="1160" spans="1:4" ht="15.6" thickTop="1" thickBot="1">
      <c r="A1160" s="7"/>
      <c r="B1160" s="7" t="s">
        <v>21</v>
      </c>
      <c r="C1160" s="7" t="s">
        <v>468</v>
      </c>
      <c r="D1160" t="str">
        <f t="shared" si="27"/>
        <v>DMA</v>
      </c>
    </row>
    <row r="1161" spans="1:4" ht="15.6" thickTop="1" thickBot="1">
      <c r="A1161" s="7"/>
      <c r="B1161" s="7" t="s">
        <v>16</v>
      </c>
      <c r="C1161" s="7" t="s">
        <v>469</v>
      </c>
      <c r="D1161" t="str">
        <f t="shared" si="27"/>
        <v>DMA</v>
      </c>
    </row>
    <row r="1162" spans="1:4" ht="15.6" thickTop="1" thickBot="1">
      <c r="A1162" s="7"/>
      <c r="B1162" s="7" t="s">
        <v>17</v>
      </c>
      <c r="C1162" s="7" t="s">
        <v>466</v>
      </c>
      <c r="D1162" t="str">
        <f t="shared" si="27"/>
        <v>DMA</v>
      </c>
    </row>
    <row r="1163" spans="1:4" ht="30" thickTop="1" thickBot="1">
      <c r="A1163" s="9" t="s">
        <v>470</v>
      </c>
      <c r="B1163" s="10"/>
      <c r="C1163" s="11"/>
      <c r="D1163" t="str">
        <f t="shared" si="27"/>
        <v>DOM</v>
      </c>
    </row>
    <row r="1164" spans="1:4" ht="49.2" thickTop="1" thickBot="1">
      <c r="A1164" s="7"/>
      <c r="B1164" s="7" t="s">
        <v>9</v>
      </c>
      <c r="C1164" s="7">
        <v>2017</v>
      </c>
      <c r="D1164" t="str">
        <f t="shared" si="27"/>
        <v>DOM</v>
      </c>
    </row>
    <row r="1165" spans="1:4" ht="39.6" thickTop="1" thickBot="1">
      <c r="A1165" s="7"/>
      <c r="B1165" s="7" t="s">
        <v>10</v>
      </c>
      <c r="C1165" s="7">
        <v>2018</v>
      </c>
      <c r="D1165" t="str">
        <f t="shared" si="27"/>
        <v>DOM</v>
      </c>
    </row>
    <row r="1166" spans="1:4" ht="30" thickTop="1" thickBot="1">
      <c r="A1166" s="7"/>
      <c r="B1166" s="7" t="s">
        <v>25</v>
      </c>
      <c r="C1166" s="8">
        <v>48320</v>
      </c>
      <c r="D1166" t="str">
        <f t="shared" si="27"/>
        <v>DOM</v>
      </c>
    </row>
    <row r="1167" spans="1:4" ht="20.399999999999999" thickTop="1" thickBot="1">
      <c r="A1167" s="7"/>
      <c r="B1167" s="7" t="s">
        <v>26</v>
      </c>
      <c r="C1167" s="7" t="s">
        <v>341</v>
      </c>
      <c r="D1167" t="str">
        <f t="shared" si="27"/>
        <v>DOM</v>
      </c>
    </row>
    <row r="1168" spans="1:4" ht="20.399999999999999" thickTop="1" thickBot="1">
      <c r="A1168" s="7"/>
      <c r="B1168" s="7" t="s">
        <v>28</v>
      </c>
      <c r="C1168" s="7" t="s">
        <v>471</v>
      </c>
      <c r="D1168" t="str">
        <f t="shared" si="27"/>
        <v>DOM</v>
      </c>
    </row>
    <row r="1169" spans="1:4" ht="20.399999999999999" thickTop="1" thickBot="1">
      <c r="A1169" s="7"/>
      <c r="B1169" s="7" t="s">
        <v>30</v>
      </c>
      <c r="C1169" s="7" t="s">
        <v>472</v>
      </c>
      <c r="D1169" t="str">
        <f t="shared" si="27"/>
        <v>DOM</v>
      </c>
    </row>
    <row r="1170" spans="1:4" ht="20.399999999999999" thickTop="1" thickBot="1">
      <c r="A1170" s="7"/>
      <c r="B1170" s="7" t="s">
        <v>32</v>
      </c>
      <c r="C1170" s="7" t="s">
        <v>33</v>
      </c>
      <c r="D1170" t="str">
        <f t="shared" si="27"/>
        <v>DOM</v>
      </c>
    </row>
    <row r="1171" spans="1:4" ht="20.399999999999999" thickTop="1" thickBot="1">
      <c r="A1171" s="7"/>
      <c r="B1171" s="7" t="s">
        <v>1</v>
      </c>
      <c r="C1171" s="7" t="s">
        <v>79</v>
      </c>
      <c r="D1171" t="str">
        <f t="shared" si="27"/>
        <v>DOM</v>
      </c>
    </row>
    <row r="1172" spans="1:4" ht="30" thickTop="1" thickBot="1">
      <c r="A1172" s="7"/>
      <c r="B1172" s="7" t="s">
        <v>3</v>
      </c>
      <c r="C1172" s="7" t="s">
        <v>36</v>
      </c>
      <c r="D1172" t="str">
        <f t="shared" si="27"/>
        <v>DOM</v>
      </c>
    </row>
    <row r="1173" spans="1:4" ht="20.399999999999999" thickTop="1" thickBot="1">
      <c r="A1173" s="7"/>
      <c r="B1173" s="7" t="s">
        <v>5</v>
      </c>
      <c r="C1173" s="7" t="s">
        <v>80</v>
      </c>
      <c r="D1173" t="str">
        <f t="shared" si="27"/>
        <v>DOM</v>
      </c>
    </row>
    <row r="1174" spans="1:4" ht="30" thickTop="1" thickBot="1">
      <c r="A1174" s="7"/>
      <c r="B1174" s="7" t="s">
        <v>7</v>
      </c>
      <c r="C1174" s="7" t="s">
        <v>38</v>
      </c>
      <c r="D1174" t="str">
        <f t="shared" si="27"/>
        <v>DOM</v>
      </c>
    </row>
    <row r="1175" spans="1:4" ht="15.6" thickTop="1" thickBot="1">
      <c r="A1175" s="7"/>
      <c r="B1175" s="7" t="s">
        <v>11</v>
      </c>
      <c r="C1175" s="7" t="s">
        <v>468</v>
      </c>
      <c r="D1175" t="str">
        <f t="shared" si="27"/>
        <v>DOM</v>
      </c>
    </row>
    <row r="1176" spans="1:4" ht="15.6" thickTop="1" thickBot="1">
      <c r="A1176" s="7"/>
      <c r="B1176" s="7" t="s">
        <v>13</v>
      </c>
      <c r="C1176" s="7" t="s">
        <v>473</v>
      </c>
      <c r="D1176" t="str">
        <f t="shared" si="27"/>
        <v>DOM</v>
      </c>
    </row>
    <row r="1177" spans="1:4" ht="15.6" thickTop="1" thickBot="1">
      <c r="A1177" s="7"/>
      <c r="B1177" s="7" t="s">
        <v>15</v>
      </c>
      <c r="C1177" s="7" t="s">
        <v>468</v>
      </c>
      <c r="D1177" t="str">
        <f t="shared" si="27"/>
        <v>DOM</v>
      </c>
    </row>
    <row r="1178" spans="1:4" ht="15.6" thickTop="1" thickBot="1">
      <c r="A1178" s="7"/>
      <c r="B1178" s="7" t="s">
        <v>16</v>
      </c>
      <c r="C1178" s="7" t="s">
        <v>465</v>
      </c>
      <c r="D1178" t="str">
        <f t="shared" si="27"/>
        <v>DOM</v>
      </c>
    </row>
    <row r="1179" spans="1:4" ht="15.6" thickTop="1" thickBot="1">
      <c r="A1179" s="7"/>
      <c r="B1179" s="7" t="s">
        <v>17</v>
      </c>
      <c r="C1179" s="7" t="s">
        <v>468</v>
      </c>
      <c r="D1179" t="str">
        <f t="shared" si="27"/>
        <v>DOM</v>
      </c>
    </row>
    <row r="1180" spans="1:4" ht="15.6" thickTop="1" thickBot="1">
      <c r="A1180" s="7"/>
      <c r="B1180" s="7" t="s">
        <v>18</v>
      </c>
      <c r="C1180" s="7" t="s">
        <v>468</v>
      </c>
      <c r="D1180" t="str">
        <f t="shared" si="27"/>
        <v>DOM</v>
      </c>
    </row>
    <row r="1181" spans="1:4" ht="15.6" thickTop="1" thickBot="1">
      <c r="A1181" s="7"/>
      <c r="B1181" s="7" t="s">
        <v>19</v>
      </c>
      <c r="C1181" s="7" t="s">
        <v>474</v>
      </c>
      <c r="D1181" t="str">
        <f t="shared" si="27"/>
        <v>DOM</v>
      </c>
    </row>
    <row r="1182" spans="1:4" ht="15.6" thickTop="1" thickBot="1">
      <c r="A1182" s="7"/>
      <c r="B1182" s="7" t="s">
        <v>21</v>
      </c>
      <c r="C1182" s="7" t="s">
        <v>475</v>
      </c>
      <c r="D1182" t="str">
        <f t="shared" si="27"/>
        <v>DOM</v>
      </c>
    </row>
    <row r="1183" spans="1:4" ht="15.6" thickTop="1" thickBot="1">
      <c r="A1183" s="7"/>
      <c r="B1183" s="7" t="s">
        <v>22</v>
      </c>
      <c r="C1183" s="7" t="s">
        <v>473</v>
      </c>
      <c r="D1183" t="str">
        <f t="shared" si="27"/>
        <v>DOM</v>
      </c>
    </row>
    <row r="1184" spans="1:4" ht="15.6" thickTop="1" thickBot="1">
      <c r="A1184" s="7"/>
      <c r="B1184" s="7" t="s">
        <v>23</v>
      </c>
      <c r="C1184" s="7" t="s">
        <v>468</v>
      </c>
      <c r="D1184" t="str">
        <f t="shared" si="27"/>
        <v>DOM</v>
      </c>
    </row>
    <row r="1185" spans="1:4" ht="15.6" thickTop="1" thickBot="1">
      <c r="A1185" s="7"/>
      <c r="B1185" s="7" t="s">
        <v>24</v>
      </c>
      <c r="C1185" s="7">
        <v>2170</v>
      </c>
      <c r="D1185" t="str">
        <f t="shared" si="27"/>
        <v>DOM</v>
      </c>
    </row>
    <row r="1186" spans="1:4" ht="20.399999999999999" thickTop="1" thickBot="1">
      <c r="A1186" s="9" t="s">
        <v>476</v>
      </c>
      <c r="B1186" s="10"/>
      <c r="C1186" s="11"/>
      <c r="D1186" t="str">
        <f t="shared" si="27"/>
        <v>ECU</v>
      </c>
    </row>
    <row r="1187" spans="1:4" ht="49.2" thickTop="1" thickBot="1">
      <c r="A1187" s="7"/>
      <c r="B1187" s="7" t="s">
        <v>9</v>
      </c>
      <c r="C1187" s="7">
        <v>2017</v>
      </c>
      <c r="D1187" t="str">
        <f t="shared" si="27"/>
        <v>ECU</v>
      </c>
    </row>
    <row r="1188" spans="1:4" ht="39.6" thickTop="1" thickBot="1">
      <c r="A1188" s="7"/>
      <c r="B1188" s="7" t="s">
        <v>10</v>
      </c>
      <c r="C1188" s="7">
        <v>2018</v>
      </c>
      <c r="D1188" t="str">
        <f t="shared" si="27"/>
        <v>ECU</v>
      </c>
    </row>
    <row r="1189" spans="1:4" ht="30" thickTop="1" thickBot="1">
      <c r="A1189" s="7"/>
      <c r="B1189" s="7" t="s">
        <v>25</v>
      </c>
      <c r="C1189" s="8">
        <v>248360</v>
      </c>
      <c r="D1189" t="str">
        <f t="shared" si="27"/>
        <v>ECU</v>
      </c>
    </row>
    <row r="1190" spans="1:4" ht="20.399999999999999" thickTop="1" thickBot="1">
      <c r="A1190" s="7"/>
      <c r="B1190" s="7" t="s">
        <v>26</v>
      </c>
      <c r="C1190" s="7" t="s">
        <v>477</v>
      </c>
      <c r="D1190" t="str">
        <f t="shared" si="27"/>
        <v>ECU</v>
      </c>
    </row>
    <row r="1191" spans="1:4" ht="20.399999999999999" thickTop="1" thickBot="1">
      <c r="A1191" s="7"/>
      <c r="B1191" s="7" t="s">
        <v>28</v>
      </c>
      <c r="C1191" s="7" t="s">
        <v>478</v>
      </c>
      <c r="D1191" t="str">
        <f t="shared" si="27"/>
        <v>ECU</v>
      </c>
    </row>
    <row r="1192" spans="1:4" ht="20.399999999999999" thickTop="1" thickBot="1">
      <c r="A1192" s="7"/>
      <c r="B1192" s="7" t="s">
        <v>30</v>
      </c>
      <c r="C1192" s="7" t="s">
        <v>479</v>
      </c>
      <c r="D1192" t="str">
        <f t="shared" si="27"/>
        <v>ECU</v>
      </c>
    </row>
    <row r="1193" spans="1:4" ht="20.399999999999999" thickTop="1" thickBot="1">
      <c r="A1193" s="7"/>
      <c r="B1193" s="7" t="s">
        <v>32</v>
      </c>
      <c r="C1193" s="7" t="s">
        <v>33</v>
      </c>
      <c r="D1193" t="str">
        <f t="shared" si="27"/>
        <v>ECU</v>
      </c>
    </row>
    <row r="1194" spans="1:4" ht="20.399999999999999" thickTop="1" thickBot="1">
      <c r="A1194" s="7"/>
      <c r="B1194" s="7" t="s">
        <v>1</v>
      </c>
      <c r="C1194" s="7" t="s">
        <v>79</v>
      </c>
      <c r="D1194" t="str">
        <f t="shared" si="27"/>
        <v>ECU</v>
      </c>
    </row>
    <row r="1195" spans="1:4" ht="30" thickTop="1" thickBot="1">
      <c r="A1195" s="7"/>
      <c r="B1195" s="7" t="s">
        <v>3</v>
      </c>
      <c r="C1195" s="7" t="s">
        <v>36</v>
      </c>
      <c r="D1195" t="str">
        <f t="shared" si="27"/>
        <v>ECU</v>
      </c>
    </row>
    <row r="1196" spans="1:4" ht="20.399999999999999" thickTop="1" thickBot="1">
      <c r="A1196" s="7"/>
      <c r="B1196" s="7" t="s">
        <v>5</v>
      </c>
      <c r="C1196" s="7" t="s">
        <v>80</v>
      </c>
      <c r="D1196" t="str">
        <f t="shared" si="27"/>
        <v>ECU</v>
      </c>
    </row>
    <row r="1197" spans="1:4" ht="30" thickTop="1" thickBot="1">
      <c r="A1197" s="7"/>
      <c r="B1197" s="7" t="s">
        <v>7</v>
      </c>
      <c r="C1197" s="7" t="s">
        <v>38</v>
      </c>
      <c r="D1197" t="str">
        <f t="shared" si="27"/>
        <v>ECU</v>
      </c>
    </row>
    <row r="1198" spans="1:4" ht="15.6" thickTop="1" thickBot="1">
      <c r="A1198" s="7"/>
      <c r="B1198" s="7" t="s">
        <v>11</v>
      </c>
      <c r="C1198" s="7" t="s">
        <v>480</v>
      </c>
      <c r="D1198" t="str">
        <f t="shared" si="27"/>
        <v>ECU</v>
      </c>
    </row>
    <row r="1199" spans="1:4" ht="15.6" thickTop="1" thickBot="1">
      <c r="A1199" s="7"/>
      <c r="B1199" s="7" t="s">
        <v>13</v>
      </c>
      <c r="C1199" s="7" t="s">
        <v>480</v>
      </c>
      <c r="D1199" t="str">
        <f t="shared" si="27"/>
        <v>ECU</v>
      </c>
    </row>
    <row r="1200" spans="1:4" ht="15.6" thickTop="1" thickBot="1">
      <c r="A1200" s="7"/>
      <c r="B1200" s="7" t="s">
        <v>15</v>
      </c>
      <c r="C1200" s="7" t="s">
        <v>481</v>
      </c>
      <c r="D1200" t="str">
        <f t="shared" si="27"/>
        <v>ECU</v>
      </c>
    </row>
    <row r="1201" spans="1:4" ht="15.6" thickTop="1" thickBot="1">
      <c r="A1201" s="7"/>
      <c r="B1201" s="7" t="s">
        <v>16</v>
      </c>
      <c r="C1201" s="7" t="s">
        <v>480</v>
      </c>
      <c r="D1201" t="str">
        <f t="shared" si="27"/>
        <v>ECU</v>
      </c>
    </row>
    <row r="1202" spans="1:4" ht="15.6" thickTop="1" thickBot="1">
      <c r="A1202" s="7"/>
      <c r="B1202" s="7" t="s">
        <v>17</v>
      </c>
      <c r="C1202" s="7" t="s">
        <v>481</v>
      </c>
      <c r="D1202" t="str">
        <f t="shared" si="27"/>
        <v>ECU</v>
      </c>
    </row>
    <row r="1203" spans="1:4" ht="15.6" thickTop="1" thickBot="1">
      <c r="A1203" s="7"/>
      <c r="B1203" s="7" t="s">
        <v>18</v>
      </c>
      <c r="C1203" s="7" t="s">
        <v>482</v>
      </c>
      <c r="D1203" t="str">
        <f t="shared" si="27"/>
        <v>ECU</v>
      </c>
    </row>
    <row r="1204" spans="1:4" ht="15.6" thickTop="1" thickBot="1">
      <c r="A1204" s="7"/>
      <c r="B1204" s="7" t="s">
        <v>19</v>
      </c>
      <c r="C1204" s="7" t="s">
        <v>483</v>
      </c>
      <c r="D1204" t="str">
        <f t="shared" si="27"/>
        <v>ECU</v>
      </c>
    </row>
    <row r="1205" spans="1:4" ht="15.6" thickTop="1" thickBot="1">
      <c r="A1205" s="7"/>
      <c r="B1205" s="7" t="s">
        <v>21</v>
      </c>
      <c r="C1205" s="7" t="s">
        <v>481</v>
      </c>
      <c r="D1205" t="str">
        <f t="shared" si="27"/>
        <v>ECU</v>
      </c>
    </row>
    <row r="1206" spans="1:4" ht="15.6" thickTop="1" thickBot="1">
      <c r="A1206" s="7"/>
      <c r="B1206" s="7" t="s">
        <v>22</v>
      </c>
      <c r="C1206" s="7" t="s">
        <v>484</v>
      </c>
      <c r="D1206" t="str">
        <f t="shared" si="27"/>
        <v>ECU</v>
      </c>
    </row>
    <row r="1207" spans="1:4" ht="15.6" thickTop="1" thickBot="1">
      <c r="A1207" s="7"/>
      <c r="B1207" s="7" t="s">
        <v>23</v>
      </c>
      <c r="C1207" s="7" t="s">
        <v>481</v>
      </c>
      <c r="D1207" t="str">
        <f t="shared" si="27"/>
        <v>ECU</v>
      </c>
    </row>
    <row r="1208" spans="1:4" ht="15.6" thickTop="1" thickBot="1">
      <c r="A1208" s="7"/>
      <c r="B1208" s="7" t="s">
        <v>24</v>
      </c>
      <c r="C1208" s="7">
        <v>2180</v>
      </c>
      <c r="D1208" t="str">
        <f t="shared" si="27"/>
        <v>ECU</v>
      </c>
    </row>
    <row r="1209" spans="1:4" ht="15.6" thickTop="1" thickBot="1">
      <c r="A1209" s="9" t="s">
        <v>485</v>
      </c>
      <c r="B1209" s="10"/>
      <c r="C1209" s="11"/>
      <c r="D1209" t="str">
        <f t="shared" si="27"/>
        <v>EGY</v>
      </c>
    </row>
    <row r="1210" spans="1:4" ht="49.2" thickTop="1" thickBot="1">
      <c r="A1210" s="7"/>
      <c r="B1210" s="7" t="s">
        <v>9</v>
      </c>
      <c r="C1210" s="7">
        <v>2017</v>
      </c>
      <c r="D1210" t="str">
        <f t="shared" si="27"/>
        <v>EGY</v>
      </c>
    </row>
    <row r="1211" spans="1:4" ht="39.6" thickTop="1" thickBot="1">
      <c r="A1211" s="7"/>
      <c r="B1211" s="7" t="s">
        <v>10</v>
      </c>
      <c r="C1211" s="7">
        <v>2018</v>
      </c>
      <c r="D1211" t="str">
        <f t="shared" si="27"/>
        <v>EGY</v>
      </c>
    </row>
    <row r="1212" spans="1:4" ht="30" thickTop="1" thickBot="1">
      <c r="A1212" s="7"/>
      <c r="B1212" s="7" t="s">
        <v>25</v>
      </c>
      <c r="C1212" s="8">
        <v>995450</v>
      </c>
      <c r="D1212" t="str">
        <f t="shared" si="27"/>
        <v>EGY</v>
      </c>
    </row>
    <row r="1213" spans="1:4" ht="20.399999999999999" thickTop="1" thickBot="1">
      <c r="A1213" s="7"/>
      <c r="B1213" s="7" t="s">
        <v>26</v>
      </c>
      <c r="C1213" s="7" t="s">
        <v>486</v>
      </c>
      <c r="D1213" t="str">
        <f t="shared" si="27"/>
        <v>EGY</v>
      </c>
    </row>
    <row r="1214" spans="1:4" ht="20.399999999999999" thickTop="1" thickBot="1">
      <c r="A1214" s="7"/>
      <c r="B1214" s="7" t="s">
        <v>28</v>
      </c>
      <c r="C1214" s="7" t="s">
        <v>487</v>
      </c>
      <c r="D1214" t="str">
        <f t="shared" si="27"/>
        <v>EGY</v>
      </c>
    </row>
    <row r="1215" spans="1:4" ht="20.399999999999999" thickTop="1" thickBot="1">
      <c r="A1215" s="7"/>
      <c r="B1215" s="7" t="s">
        <v>30</v>
      </c>
      <c r="C1215" s="7" t="s">
        <v>488</v>
      </c>
      <c r="D1215" t="str">
        <f t="shared" si="27"/>
        <v>EGY</v>
      </c>
    </row>
    <row r="1216" spans="1:4" ht="20.399999999999999" thickTop="1" thickBot="1">
      <c r="A1216" s="7"/>
      <c r="B1216" s="7" t="s">
        <v>32</v>
      </c>
      <c r="C1216" s="7" t="s">
        <v>33</v>
      </c>
      <c r="D1216" t="str">
        <f t="shared" si="27"/>
        <v>EGY</v>
      </c>
    </row>
    <row r="1217" spans="1:4" ht="30" thickTop="1" thickBot="1">
      <c r="A1217" s="7"/>
      <c r="B1217" s="7" t="s">
        <v>1</v>
      </c>
      <c r="C1217" s="7" t="s">
        <v>2</v>
      </c>
      <c r="D1217" t="str">
        <f t="shared" si="27"/>
        <v>EGY</v>
      </c>
    </row>
    <row r="1218" spans="1:4" ht="30" thickTop="1" thickBot="1">
      <c r="A1218" s="7"/>
      <c r="B1218" s="7" t="s">
        <v>3</v>
      </c>
      <c r="C1218" s="7" t="s">
        <v>69</v>
      </c>
      <c r="D1218" t="str">
        <f t="shared" ref="D1218:D1281" si="28">IF(ISNUMBER(FIND(":", A1218)), LEFT(A1218, FIND(":", A1218) - 1), D1217)</f>
        <v>EGY</v>
      </c>
    </row>
    <row r="1219" spans="1:4" ht="20.399999999999999" thickTop="1" thickBot="1">
      <c r="A1219" s="7"/>
      <c r="B1219" s="7" t="s">
        <v>5</v>
      </c>
      <c r="C1219" s="7" t="s">
        <v>6</v>
      </c>
      <c r="D1219" t="str">
        <f t="shared" si="28"/>
        <v>EGY</v>
      </c>
    </row>
    <row r="1220" spans="1:4" ht="30" thickTop="1" thickBot="1">
      <c r="A1220" s="7"/>
      <c r="B1220" s="7" t="s">
        <v>7</v>
      </c>
      <c r="C1220" s="7" t="s">
        <v>70</v>
      </c>
      <c r="D1220" t="str">
        <f t="shared" si="28"/>
        <v>EGY</v>
      </c>
    </row>
    <row r="1221" spans="1:4" ht="15.6" thickTop="1" thickBot="1">
      <c r="A1221" s="7"/>
      <c r="B1221" s="7" t="s">
        <v>11</v>
      </c>
      <c r="C1221" s="7" t="s">
        <v>489</v>
      </c>
      <c r="D1221" t="str">
        <f t="shared" si="28"/>
        <v>EGY</v>
      </c>
    </row>
    <row r="1222" spans="1:4" ht="15.6" thickTop="1" thickBot="1">
      <c r="A1222" s="7"/>
      <c r="B1222" s="7" t="s">
        <v>13</v>
      </c>
      <c r="C1222" s="7" t="s">
        <v>490</v>
      </c>
      <c r="D1222" t="str">
        <f t="shared" si="28"/>
        <v>EGY</v>
      </c>
    </row>
    <row r="1223" spans="1:4" ht="15.6" thickTop="1" thickBot="1">
      <c r="A1223" s="7"/>
      <c r="B1223" s="7" t="s">
        <v>15</v>
      </c>
      <c r="C1223" s="7" t="s">
        <v>491</v>
      </c>
      <c r="D1223" t="str">
        <f t="shared" si="28"/>
        <v>EGY</v>
      </c>
    </row>
    <row r="1224" spans="1:4" ht="15.6" thickTop="1" thickBot="1">
      <c r="A1224" s="7"/>
      <c r="B1224" s="7" t="s">
        <v>16</v>
      </c>
      <c r="C1224" s="7" t="s">
        <v>490</v>
      </c>
      <c r="D1224" t="str">
        <f t="shared" si="28"/>
        <v>EGY</v>
      </c>
    </row>
    <row r="1225" spans="1:4" ht="15.6" thickTop="1" thickBot="1">
      <c r="A1225" s="7"/>
      <c r="B1225" s="7" t="s">
        <v>17</v>
      </c>
      <c r="C1225" s="7" t="s">
        <v>491</v>
      </c>
      <c r="D1225" t="str">
        <f t="shared" si="28"/>
        <v>EGY</v>
      </c>
    </row>
    <row r="1226" spans="1:4" ht="15.6" thickTop="1" thickBot="1">
      <c r="A1226" s="7"/>
      <c r="B1226" s="7" t="s">
        <v>18</v>
      </c>
      <c r="C1226" s="7" t="s">
        <v>491</v>
      </c>
      <c r="D1226" t="str">
        <f t="shared" si="28"/>
        <v>EGY</v>
      </c>
    </row>
    <row r="1227" spans="1:4" ht="15.6" thickTop="1" thickBot="1">
      <c r="A1227" s="7"/>
      <c r="B1227" s="7" t="s">
        <v>19</v>
      </c>
      <c r="C1227" s="7" t="s">
        <v>492</v>
      </c>
      <c r="D1227" t="str">
        <f t="shared" si="28"/>
        <v>EGY</v>
      </c>
    </row>
    <row r="1228" spans="1:4" ht="15.6" thickTop="1" thickBot="1">
      <c r="A1228" s="7"/>
      <c r="B1228" s="7" t="s">
        <v>21</v>
      </c>
      <c r="C1228" s="7" t="s">
        <v>491</v>
      </c>
      <c r="D1228" t="str">
        <f t="shared" si="28"/>
        <v>EGY</v>
      </c>
    </row>
    <row r="1229" spans="1:4" ht="15.6" thickTop="1" thickBot="1">
      <c r="A1229" s="7"/>
      <c r="B1229" s="7" t="s">
        <v>22</v>
      </c>
      <c r="C1229" s="7" t="s">
        <v>490</v>
      </c>
      <c r="D1229" t="str">
        <f t="shared" si="28"/>
        <v>EGY</v>
      </c>
    </row>
    <row r="1230" spans="1:4" ht="15.6" thickTop="1" thickBot="1">
      <c r="A1230" s="7"/>
      <c r="B1230" s="7" t="s">
        <v>23</v>
      </c>
      <c r="C1230" s="7" t="s">
        <v>491</v>
      </c>
      <c r="D1230" t="str">
        <f t="shared" si="28"/>
        <v>EGY</v>
      </c>
    </row>
    <row r="1231" spans="1:4" ht="15.6" thickTop="1" thickBot="1">
      <c r="A1231" s="7"/>
      <c r="B1231" s="7" t="s">
        <v>24</v>
      </c>
      <c r="C1231" s="7">
        <v>1125</v>
      </c>
      <c r="D1231" t="str">
        <f t="shared" si="28"/>
        <v>EGY</v>
      </c>
    </row>
    <row r="1232" spans="1:4" ht="20.399999999999999" thickTop="1" thickBot="1">
      <c r="A1232" s="9" t="s">
        <v>493</v>
      </c>
      <c r="B1232" s="10"/>
      <c r="C1232" s="11"/>
      <c r="D1232" t="str">
        <f t="shared" si="28"/>
        <v>SLV</v>
      </c>
    </row>
    <row r="1233" spans="1:4" ht="49.2" thickTop="1" thickBot="1">
      <c r="A1233" s="7"/>
      <c r="B1233" s="7" t="s">
        <v>9</v>
      </c>
      <c r="C1233" s="7">
        <v>2017</v>
      </c>
      <c r="D1233" t="str">
        <f t="shared" si="28"/>
        <v>SLV</v>
      </c>
    </row>
    <row r="1234" spans="1:4" ht="39.6" thickTop="1" thickBot="1">
      <c r="A1234" s="7"/>
      <c r="B1234" s="7" t="s">
        <v>10</v>
      </c>
      <c r="C1234" s="7">
        <v>2018</v>
      </c>
      <c r="D1234" t="str">
        <f t="shared" si="28"/>
        <v>SLV</v>
      </c>
    </row>
    <row r="1235" spans="1:4" ht="30" thickTop="1" thickBot="1">
      <c r="A1235" s="7"/>
      <c r="B1235" s="7" t="s">
        <v>25</v>
      </c>
      <c r="C1235" s="8">
        <v>20720</v>
      </c>
      <c r="D1235" t="str">
        <f t="shared" si="28"/>
        <v>SLV</v>
      </c>
    </row>
    <row r="1236" spans="1:4" ht="30" thickTop="1" thickBot="1">
      <c r="A1236" s="7"/>
      <c r="B1236" s="7" t="s">
        <v>26</v>
      </c>
      <c r="C1236" s="7" t="s">
        <v>494</v>
      </c>
      <c r="D1236" t="str">
        <f t="shared" si="28"/>
        <v>SLV</v>
      </c>
    </row>
    <row r="1237" spans="1:4" ht="20.399999999999999" thickTop="1" thickBot="1">
      <c r="A1237" s="7"/>
      <c r="B1237" s="7" t="s">
        <v>28</v>
      </c>
      <c r="C1237" s="7" t="s">
        <v>495</v>
      </c>
      <c r="D1237" t="str">
        <f t="shared" si="28"/>
        <v>SLV</v>
      </c>
    </row>
    <row r="1238" spans="1:4" ht="20.399999999999999" thickTop="1" thickBot="1">
      <c r="A1238" s="7"/>
      <c r="B1238" s="7" t="s">
        <v>30</v>
      </c>
      <c r="C1238" s="7" t="s">
        <v>495</v>
      </c>
      <c r="D1238" t="str">
        <f t="shared" si="28"/>
        <v>SLV</v>
      </c>
    </row>
    <row r="1239" spans="1:4" ht="20.399999999999999" thickTop="1" thickBot="1">
      <c r="A1239" s="7"/>
      <c r="B1239" s="7" t="s">
        <v>32</v>
      </c>
      <c r="C1239" s="7" t="s">
        <v>33</v>
      </c>
      <c r="D1239" t="str">
        <f t="shared" si="28"/>
        <v>SLV</v>
      </c>
    </row>
    <row r="1240" spans="1:4" ht="20.399999999999999" thickTop="1" thickBot="1">
      <c r="A1240" s="7"/>
      <c r="B1240" s="7" t="s">
        <v>1</v>
      </c>
      <c r="C1240" s="7" t="s">
        <v>79</v>
      </c>
      <c r="D1240" t="str">
        <f t="shared" si="28"/>
        <v>SLV</v>
      </c>
    </row>
    <row r="1241" spans="1:4" ht="30" thickTop="1" thickBot="1">
      <c r="A1241" s="7"/>
      <c r="B1241" s="7" t="s">
        <v>3</v>
      </c>
      <c r="C1241" s="7" t="s">
        <v>69</v>
      </c>
      <c r="D1241" t="str">
        <f t="shared" si="28"/>
        <v>SLV</v>
      </c>
    </row>
    <row r="1242" spans="1:4" ht="20.399999999999999" thickTop="1" thickBot="1">
      <c r="A1242" s="7"/>
      <c r="B1242" s="7" t="s">
        <v>5</v>
      </c>
      <c r="C1242" s="7" t="s">
        <v>80</v>
      </c>
      <c r="D1242" t="str">
        <f t="shared" si="28"/>
        <v>SLV</v>
      </c>
    </row>
    <row r="1243" spans="1:4" ht="30" thickTop="1" thickBot="1">
      <c r="A1243" s="7"/>
      <c r="B1243" s="7" t="s">
        <v>7</v>
      </c>
      <c r="C1243" s="7" t="s">
        <v>70</v>
      </c>
      <c r="D1243" t="str">
        <f t="shared" si="28"/>
        <v>SLV</v>
      </c>
    </row>
    <row r="1244" spans="1:4" ht="15.6" thickTop="1" thickBot="1">
      <c r="A1244" s="7"/>
      <c r="B1244" s="7" t="s">
        <v>11</v>
      </c>
      <c r="C1244" s="7" t="s">
        <v>496</v>
      </c>
      <c r="D1244" t="str">
        <f t="shared" si="28"/>
        <v>SLV</v>
      </c>
    </row>
    <row r="1245" spans="1:4" ht="15.6" thickTop="1" thickBot="1">
      <c r="A1245" s="7"/>
      <c r="B1245" s="7" t="s">
        <v>13</v>
      </c>
      <c r="C1245" s="7" t="s">
        <v>496</v>
      </c>
      <c r="D1245" t="str">
        <f t="shared" si="28"/>
        <v>SLV</v>
      </c>
    </row>
    <row r="1246" spans="1:4" ht="15.6" thickTop="1" thickBot="1">
      <c r="A1246" s="7"/>
      <c r="B1246" s="7" t="s">
        <v>15</v>
      </c>
      <c r="C1246" s="7" t="s">
        <v>497</v>
      </c>
      <c r="D1246" t="str">
        <f t="shared" si="28"/>
        <v>SLV</v>
      </c>
    </row>
    <row r="1247" spans="1:4" ht="15.6" thickTop="1" thickBot="1">
      <c r="A1247" s="7"/>
      <c r="B1247" s="7" t="s">
        <v>16</v>
      </c>
      <c r="C1247" s="7" t="s">
        <v>498</v>
      </c>
      <c r="D1247" t="str">
        <f t="shared" si="28"/>
        <v>SLV</v>
      </c>
    </row>
    <row r="1248" spans="1:4" ht="15.6" thickTop="1" thickBot="1">
      <c r="A1248" s="7"/>
      <c r="B1248" s="7" t="s">
        <v>17</v>
      </c>
      <c r="C1248" s="7" t="s">
        <v>499</v>
      </c>
      <c r="D1248" t="str">
        <f t="shared" si="28"/>
        <v>SLV</v>
      </c>
    </row>
    <row r="1249" spans="1:4" ht="15.6" thickTop="1" thickBot="1">
      <c r="A1249" s="7"/>
      <c r="B1249" s="7" t="s">
        <v>18</v>
      </c>
      <c r="C1249" s="7" t="s">
        <v>499</v>
      </c>
      <c r="D1249" t="str">
        <f t="shared" si="28"/>
        <v>SLV</v>
      </c>
    </row>
    <row r="1250" spans="1:4" ht="15.6" thickTop="1" thickBot="1">
      <c r="A1250" s="7"/>
      <c r="B1250" s="7" t="s">
        <v>19</v>
      </c>
      <c r="C1250" s="7" t="s">
        <v>500</v>
      </c>
      <c r="D1250" t="str">
        <f t="shared" si="28"/>
        <v>SLV</v>
      </c>
    </row>
    <row r="1251" spans="1:4" ht="15.6" thickTop="1" thickBot="1">
      <c r="A1251" s="7"/>
      <c r="B1251" s="7" t="s">
        <v>21</v>
      </c>
      <c r="C1251" s="7" t="s">
        <v>501</v>
      </c>
      <c r="D1251" t="str">
        <f t="shared" si="28"/>
        <v>SLV</v>
      </c>
    </row>
    <row r="1252" spans="1:4" ht="15.6" thickTop="1" thickBot="1">
      <c r="A1252" s="7"/>
      <c r="B1252" s="7" t="s">
        <v>22</v>
      </c>
      <c r="C1252" s="7" t="s">
        <v>496</v>
      </c>
      <c r="D1252" t="str">
        <f t="shared" si="28"/>
        <v>SLV</v>
      </c>
    </row>
    <row r="1253" spans="1:4" ht="15.6" thickTop="1" thickBot="1">
      <c r="A1253" s="7"/>
      <c r="B1253" s="7" t="s">
        <v>23</v>
      </c>
      <c r="C1253" s="7" t="s">
        <v>499</v>
      </c>
      <c r="D1253" t="str">
        <f t="shared" si="28"/>
        <v>SLV</v>
      </c>
    </row>
    <row r="1254" spans="1:4" ht="15.6" thickTop="1" thickBot="1">
      <c r="A1254" s="7"/>
      <c r="B1254" s="7" t="s">
        <v>24</v>
      </c>
      <c r="C1254" s="7">
        <v>2190</v>
      </c>
      <c r="D1254" t="str">
        <f t="shared" si="28"/>
        <v>SLV</v>
      </c>
    </row>
    <row r="1255" spans="1:4" ht="30" thickTop="1" thickBot="1">
      <c r="A1255" s="9" t="s">
        <v>502</v>
      </c>
      <c r="B1255" s="10"/>
      <c r="C1255" s="11"/>
      <c r="D1255" t="str">
        <f t="shared" si="28"/>
        <v>GNQ</v>
      </c>
    </row>
    <row r="1256" spans="1:4" ht="49.2" thickTop="1" thickBot="1">
      <c r="A1256" s="7"/>
      <c r="B1256" s="7" t="s">
        <v>9</v>
      </c>
      <c r="C1256" s="7">
        <v>2017</v>
      </c>
      <c r="D1256" t="str">
        <f t="shared" si="28"/>
        <v>GNQ</v>
      </c>
    </row>
    <row r="1257" spans="1:4" ht="39.6" thickTop="1" thickBot="1">
      <c r="A1257" s="7"/>
      <c r="B1257" s="7" t="s">
        <v>10</v>
      </c>
      <c r="C1257" s="7">
        <v>2018</v>
      </c>
      <c r="D1257" t="str">
        <f t="shared" si="28"/>
        <v>GNQ</v>
      </c>
    </row>
    <row r="1258" spans="1:4" ht="30" thickTop="1" thickBot="1">
      <c r="A1258" s="7"/>
      <c r="B1258" s="7" t="s">
        <v>25</v>
      </c>
      <c r="C1258" s="8">
        <v>28050</v>
      </c>
      <c r="D1258" t="str">
        <f t="shared" si="28"/>
        <v>GNQ</v>
      </c>
    </row>
    <row r="1259" spans="1:4" ht="30" thickTop="1" thickBot="1">
      <c r="A1259" s="7"/>
      <c r="B1259" s="7" t="s">
        <v>26</v>
      </c>
      <c r="C1259" s="7" t="s">
        <v>503</v>
      </c>
      <c r="D1259" t="str">
        <f t="shared" si="28"/>
        <v>GNQ</v>
      </c>
    </row>
    <row r="1260" spans="1:4" ht="20.399999999999999" thickTop="1" thickBot="1">
      <c r="A1260" s="7"/>
      <c r="B1260" s="7" t="s">
        <v>28</v>
      </c>
      <c r="C1260" s="7" t="s">
        <v>504</v>
      </c>
      <c r="D1260" t="str">
        <f t="shared" si="28"/>
        <v>GNQ</v>
      </c>
    </row>
    <row r="1261" spans="1:4" ht="20.399999999999999" thickTop="1" thickBot="1">
      <c r="A1261" s="7"/>
      <c r="B1261" s="7" t="s">
        <v>30</v>
      </c>
      <c r="C1261" s="7" t="s">
        <v>505</v>
      </c>
      <c r="D1261" t="str">
        <f t="shared" si="28"/>
        <v>GNQ</v>
      </c>
    </row>
    <row r="1262" spans="1:4" ht="20.399999999999999" thickTop="1" thickBot="1">
      <c r="A1262" s="7"/>
      <c r="B1262" s="7" t="s">
        <v>32</v>
      </c>
      <c r="C1262" s="7" t="s">
        <v>33</v>
      </c>
      <c r="D1262" t="str">
        <f t="shared" si="28"/>
        <v>GNQ</v>
      </c>
    </row>
    <row r="1263" spans="1:4" ht="20.399999999999999" thickTop="1" thickBot="1">
      <c r="A1263" s="7"/>
      <c r="B1263" s="7" t="s">
        <v>1</v>
      </c>
      <c r="C1263" s="7" t="s">
        <v>50</v>
      </c>
      <c r="D1263" t="str">
        <f t="shared" si="28"/>
        <v>GNQ</v>
      </c>
    </row>
    <row r="1264" spans="1:4" ht="30" thickTop="1" thickBot="1">
      <c r="A1264" s="7"/>
      <c r="B1264" s="7" t="s">
        <v>3</v>
      </c>
      <c r="C1264" s="7" t="s">
        <v>36</v>
      </c>
      <c r="D1264" t="str">
        <f t="shared" si="28"/>
        <v>GNQ</v>
      </c>
    </row>
    <row r="1265" spans="1:4" ht="20.399999999999999" thickTop="1" thickBot="1">
      <c r="A1265" s="7"/>
      <c r="B1265" s="7" t="s">
        <v>5</v>
      </c>
      <c r="C1265" s="7" t="s">
        <v>51</v>
      </c>
      <c r="D1265" t="str">
        <f t="shared" si="28"/>
        <v>GNQ</v>
      </c>
    </row>
    <row r="1266" spans="1:4" ht="30" thickTop="1" thickBot="1">
      <c r="A1266" s="7"/>
      <c r="B1266" s="7" t="s">
        <v>7</v>
      </c>
      <c r="C1266" s="7" t="s">
        <v>38</v>
      </c>
      <c r="D1266" t="str">
        <f t="shared" si="28"/>
        <v>GNQ</v>
      </c>
    </row>
    <row r="1267" spans="1:4" ht="15.6" thickTop="1" thickBot="1">
      <c r="A1267" s="7"/>
      <c r="B1267" s="7" t="s">
        <v>13</v>
      </c>
      <c r="C1267" s="7" t="s">
        <v>506</v>
      </c>
      <c r="D1267" t="str">
        <f t="shared" si="28"/>
        <v>GNQ</v>
      </c>
    </row>
    <row r="1268" spans="1:4" ht="15.6" thickTop="1" thickBot="1">
      <c r="A1268" s="7"/>
      <c r="B1268" s="7" t="s">
        <v>24</v>
      </c>
      <c r="C1268" s="7">
        <v>1130</v>
      </c>
      <c r="D1268" t="str">
        <f t="shared" si="28"/>
        <v>GNQ</v>
      </c>
    </row>
    <row r="1269" spans="1:4" ht="15.6" thickTop="1" thickBot="1">
      <c r="A1269" s="7"/>
      <c r="B1269" s="7" t="s">
        <v>23</v>
      </c>
      <c r="C1269" s="7" t="s">
        <v>507</v>
      </c>
      <c r="D1269" t="str">
        <f t="shared" si="28"/>
        <v>GNQ</v>
      </c>
    </row>
    <row r="1270" spans="1:4" ht="15.6" thickTop="1" thickBot="1">
      <c r="A1270" s="7"/>
      <c r="B1270" s="7" t="s">
        <v>22</v>
      </c>
      <c r="C1270" s="7" t="s">
        <v>508</v>
      </c>
      <c r="D1270" t="str">
        <f t="shared" si="28"/>
        <v>GNQ</v>
      </c>
    </row>
    <row r="1271" spans="1:4" ht="15.6" thickTop="1" thickBot="1">
      <c r="A1271" s="7"/>
      <c r="B1271" s="7" t="s">
        <v>21</v>
      </c>
      <c r="C1271" s="7" t="s">
        <v>509</v>
      </c>
      <c r="D1271" t="str">
        <f t="shared" si="28"/>
        <v>GNQ</v>
      </c>
    </row>
    <row r="1272" spans="1:4" ht="15.6" thickTop="1" thickBot="1">
      <c r="A1272" s="7"/>
      <c r="B1272" s="7" t="s">
        <v>18</v>
      </c>
      <c r="C1272" s="7" t="s">
        <v>510</v>
      </c>
      <c r="D1272" t="str">
        <f t="shared" si="28"/>
        <v>GNQ</v>
      </c>
    </row>
    <row r="1273" spans="1:4" ht="15.6" thickTop="1" thickBot="1">
      <c r="A1273" s="7"/>
      <c r="B1273" s="7" t="s">
        <v>19</v>
      </c>
      <c r="C1273" s="7" t="s">
        <v>511</v>
      </c>
      <c r="D1273" t="str">
        <f t="shared" si="28"/>
        <v>GNQ</v>
      </c>
    </row>
    <row r="1274" spans="1:4" ht="15.6" thickTop="1" thickBot="1">
      <c r="A1274" s="7"/>
      <c r="B1274" s="7" t="s">
        <v>17</v>
      </c>
      <c r="C1274" s="7" t="s">
        <v>507</v>
      </c>
      <c r="D1274" t="str">
        <f t="shared" si="28"/>
        <v>GNQ</v>
      </c>
    </row>
    <row r="1275" spans="1:4" ht="15.6" thickTop="1" thickBot="1">
      <c r="A1275" s="7"/>
      <c r="B1275" s="7" t="s">
        <v>16</v>
      </c>
      <c r="C1275" s="7" t="s">
        <v>508</v>
      </c>
      <c r="D1275" t="str">
        <f t="shared" si="28"/>
        <v>GNQ</v>
      </c>
    </row>
    <row r="1276" spans="1:4" ht="15.6" thickTop="1" thickBot="1">
      <c r="A1276" s="7"/>
      <c r="B1276" s="7" t="s">
        <v>15</v>
      </c>
      <c r="C1276" s="7" t="s">
        <v>512</v>
      </c>
      <c r="D1276" t="str">
        <f t="shared" si="28"/>
        <v>GNQ</v>
      </c>
    </row>
    <row r="1277" spans="1:4" ht="15.6" thickTop="1" thickBot="1">
      <c r="A1277" s="9" t="s">
        <v>513</v>
      </c>
      <c r="B1277" s="10"/>
      <c r="C1277" s="11"/>
      <c r="D1277" t="str">
        <f t="shared" si="28"/>
        <v>ERI</v>
      </c>
    </row>
    <row r="1278" spans="1:4" ht="49.2" thickTop="1" thickBot="1">
      <c r="A1278" s="7"/>
      <c r="B1278" s="7" t="s">
        <v>9</v>
      </c>
      <c r="C1278" s="7">
        <v>2017</v>
      </c>
      <c r="D1278" t="str">
        <f t="shared" si="28"/>
        <v>ERI</v>
      </c>
    </row>
    <row r="1279" spans="1:4" ht="39.6" thickTop="1" thickBot="1">
      <c r="A1279" s="7"/>
      <c r="B1279" s="7" t="s">
        <v>10</v>
      </c>
      <c r="C1279" s="7">
        <v>2018</v>
      </c>
      <c r="D1279" t="str">
        <f t="shared" si="28"/>
        <v>ERI</v>
      </c>
    </row>
    <row r="1280" spans="1:4" ht="30" thickTop="1" thickBot="1">
      <c r="A1280" s="7"/>
      <c r="B1280" s="7" t="s">
        <v>25</v>
      </c>
      <c r="C1280" s="8">
        <v>101000</v>
      </c>
      <c r="D1280" t="str">
        <f t="shared" si="28"/>
        <v>ERI</v>
      </c>
    </row>
    <row r="1281" spans="1:4" ht="39.6" thickTop="1" thickBot="1">
      <c r="A1281" s="7"/>
      <c r="B1281" s="7" t="s">
        <v>26</v>
      </c>
      <c r="C1281" s="7" t="s">
        <v>514</v>
      </c>
      <c r="D1281" t="str">
        <f t="shared" si="28"/>
        <v>ERI</v>
      </c>
    </row>
    <row r="1282" spans="1:4" ht="20.399999999999999" thickTop="1" thickBot="1">
      <c r="A1282" s="7"/>
      <c r="B1282" s="7" t="s">
        <v>28</v>
      </c>
      <c r="C1282" s="7" t="s">
        <v>515</v>
      </c>
      <c r="D1282" t="str">
        <f t="shared" ref="D1282:D1345" si="29">IF(ISNUMBER(FIND(":", A1282)), LEFT(A1282, FIND(":", A1282) - 1), D1281)</f>
        <v>ERI</v>
      </c>
    </row>
    <row r="1283" spans="1:4" ht="20.399999999999999" thickTop="1" thickBot="1">
      <c r="A1283" s="7"/>
      <c r="B1283" s="7" t="s">
        <v>30</v>
      </c>
      <c r="C1283" s="7" t="s">
        <v>516</v>
      </c>
      <c r="D1283" t="str">
        <f t="shared" si="29"/>
        <v>ERI</v>
      </c>
    </row>
    <row r="1284" spans="1:4" ht="20.399999999999999" thickTop="1" thickBot="1">
      <c r="A1284" s="7"/>
      <c r="B1284" s="7" t="s">
        <v>32</v>
      </c>
      <c r="C1284" s="7" t="s">
        <v>33</v>
      </c>
      <c r="D1284" t="str">
        <f t="shared" si="29"/>
        <v>ERI</v>
      </c>
    </row>
    <row r="1285" spans="1:4" ht="20.399999999999999" thickTop="1" thickBot="1">
      <c r="A1285" s="7"/>
      <c r="B1285" s="7" t="s">
        <v>1</v>
      </c>
      <c r="C1285" s="7" t="s">
        <v>50</v>
      </c>
      <c r="D1285" t="str">
        <f t="shared" si="29"/>
        <v>ERI</v>
      </c>
    </row>
    <row r="1286" spans="1:4" ht="30" thickTop="1" thickBot="1">
      <c r="A1286" s="7"/>
      <c r="B1286" s="7" t="s">
        <v>3</v>
      </c>
      <c r="C1286" s="7" t="s">
        <v>4</v>
      </c>
      <c r="D1286" t="str">
        <f t="shared" si="29"/>
        <v>ERI</v>
      </c>
    </row>
    <row r="1287" spans="1:4" ht="20.399999999999999" thickTop="1" thickBot="1">
      <c r="A1287" s="7"/>
      <c r="B1287" s="7" t="s">
        <v>5</v>
      </c>
      <c r="C1287" s="7" t="s">
        <v>51</v>
      </c>
      <c r="D1287" t="str">
        <f t="shared" si="29"/>
        <v>ERI</v>
      </c>
    </row>
    <row r="1288" spans="1:4" ht="30" thickTop="1" thickBot="1">
      <c r="A1288" s="7"/>
      <c r="B1288" s="7" t="s">
        <v>7</v>
      </c>
      <c r="C1288" s="7" t="s">
        <v>8</v>
      </c>
      <c r="D1288" t="str">
        <f t="shared" si="29"/>
        <v>ERI</v>
      </c>
    </row>
    <row r="1289" spans="1:4" ht="15.6" thickTop="1" thickBot="1">
      <c r="A1289" s="7"/>
      <c r="B1289" s="7" t="s">
        <v>21</v>
      </c>
      <c r="C1289" s="7" t="s">
        <v>517</v>
      </c>
      <c r="D1289" t="str">
        <f t="shared" si="29"/>
        <v>ERI</v>
      </c>
    </row>
    <row r="1290" spans="1:4" ht="15.6" thickTop="1" thickBot="1">
      <c r="A1290" s="7"/>
      <c r="B1290" s="7" t="s">
        <v>16</v>
      </c>
      <c r="C1290" s="7" t="s">
        <v>518</v>
      </c>
      <c r="D1290" t="str">
        <f t="shared" si="29"/>
        <v>ERI</v>
      </c>
    </row>
    <row r="1291" spans="1:4" ht="15.6" thickTop="1" thickBot="1">
      <c r="A1291" s="7"/>
      <c r="B1291" s="7" t="s">
        <v>17</v>
      </c>
      <c r="C1291" s="7" t="s">
        <v>517</v>
      </c>
      <c r="D1291" t="str">
        <f t="shared" si="29"/>
        <v>ERI</v>
      </c>
    </row>
    <row r="1292" spans="1:4" ht="15.6" thickTop="1" thickBot="1">
      <c r="A1292" s="7"/>
      <c r="B1292" s="7" t="s">
        <v>13</v>
      </c>
      <c r="C1292" s="7" t="s">
        <v>518</v>
      </c>
      <c r="D1292" t="str">
        <f t="shared" si="29"/>
        <v>ERI</v>
      </c>
    </row>
    <row r="1293" spans="1:4" ht="15.6" thickTop="1" thickBot="1">
      <c r="A1293" s="7"/>
      <c r="B1293" s="7" t="s">
        <v>15</v>
      </c>
      <c r="C1293" s="7" t="s">
        <v>517</v>
      </c>
      <c r="D1293" t="str">
        <f t="shared" si="29"/>
        <v>ERI</v>
      </c>
    </row>
    <row r="1294" spans="1:4" ht="15.6" thickTop="1" thickBot="1">
      <c r="A1294" s="7"/>
      <c r="B1294" s="7" t="s">
        <v>23</v>
      </c>
      <c r="C1294" s="7" t="s">
        <v>517</v>
      </c>
      <c r="D1294" t="str">
        <f t="shared" si="29"/>
        <v>ERI</v>
      </c>
    </row>
    <row r="1295" spans="1:4" ht="15.6" thickTop="1" thickBot="1">
      <c r="A1295" s="7"/>
      <c r="B1295" s="7" t="s">
        <v>24</v>
      </c>
      <c r="C1295" s="7">
        <v>1135</v>
      </c>
      <c r="D1295" t="str">
        <f t="shared" si="29"/>
        <v>ERI</v>
      </c>
    </row>
    <row r="1296" spans="1:4" ht="15.6" thickTop="1" thickBot="1">
      <c r="A1296" s="7"/>
      <c r="B1296" s="7" t="s">
        <v>18</v>
      </c>
      <c r="C1296" s="7" t="s">
        <v>517</v>
      </c>
      <c r="D1296" t="str">
        <f t="shared" si="29"/>
        <v>ERI</v>
      </c>
    </row>
    <row r="1297" spans="1:4" ht="15.6" thickTop="1" thickBot="1">
      <c r="A1297" s="7"/>
      <c r="B1297" s="7" t="s">
        <v>19</v>
      </c>
      <c r="C1297" s="7" t="s">
        <v>519</v>
      </c>
      <c r="D1297" t="str">
        <f t="shared" si="29"/>
        <v>ERI</v>
      </c>
    </row>
    <row r="1298" spans="1:4" ht="15.6" thickTop="1" thickBot="1">
      <c r="A1298" s="9" t="s">
        <v>520</v>
      </c>
      <c r="B1298" s="10"/>
      <c r="C1298" s="11"/>
      <c r="D1298" t="str">
        <f t="shared" si="29"/>
        <v>EST</v>
      </c>
    </row>
    <row r="1299" spans="1:4" ht="49.2" thickTop="1" thickBot="1">
      <c r="A1299" s="7"/>
      <c r="B1299" s="7" t="s">
        <v>9</v>
      </c>
      <c r="C1299" s="7">
        <v>2017</v>
      </c>
      <c r="D1299" t="str">
        <f t="shared" si="29"/>
        <v>EST</v>
      </c>
    </row>
    <row r="1300" spans="1:4" ht="39.6" thickTop="1" thickBot="1">
      <c r="A1300" s="7"/>
      <c r="B1300" s="7" t="s">
        <v>10</v>
      </c>
      <c r="C1300" s="7">
        <v>2018</v>
      </c>
      <c r="D1300" t="str">
        <f t="shared" si="29"/>
        <v>EST</v>
      </c>
    </row>
    <row r="1301" spans="1:4" ht="30" thickTop="1" thickBot="1">
      <c r="A1301" s="7"/>
      <c r="B1301" s="7" t="s">
        <v>25</v>
      </c>
      <c r="C1301" s="8">
        <v>42390</v>
      </c>
      <c r="D1301" t="str">
        <f t="shared" si="29"/>
        <v>EST</v>
      </c>
    </row>
    <row r="1302" spans="1:4" ht="20.399999999999999" thickTop="1" thickBot="1">
      <c r="A1302" s="7"/>
      <c r="B1302" s="7" t="s">
        <v>26</v>
      </c>
      <c r="C1302" s="7" t="s">
        <v>521</v>
      </c>
      <c r="D1302" t="str">
        <f t="shared" si="29"/>
        <v>EST</v>
      </c>
    </row>
    <row r="1303" spans="1:4" ht="20.399999999999999" thickTop="1" thickBot="1">
      <c r="A1303" s="7"/>
      <c r="B1303" s="7" t="s">
        <v>28</v>
      </c>
      <c r="C1303" s="7" t="s">
        <v>522</v>
      </c>
      <c r="D1303" t="str">
        <f t="shared" si="29"/>
        <v>EST</v>
      </c>
    </row>
    <row r="1304" spans="1:4" ht="20.399999999999999" thickTop="1" thickBot="1">
      <c r="A1304" s="7"/>
      <c r="B1304" s="7" t="s">
        <v>30</v>
      </c>
      <c r="C1304" s="7" t="s">
        <v>523</v>
      </c>
      <c r="D1304" t="str">
        <f t="shared" si="29"/>
        <v>EST</v>
      </c>
    </row>
    <row r="1305" spans="1:4" ht="20.399999999999999" thickTop="1" thickBot="1">
      <c r="A1305" s="7"/>
      <c r="B1305" s="7" t="s">
        <v>32</v>
      </c>
      <c r="C1305" s="7" t="s">
        <v>33</v>
      </c>
      <c r="D1305" t="str">
        <f t="shared" si="29"/>
        <v>EST</v>
      </c>
    </row>
    <row r="1306" spans="1:4" ht="20.399999999999999" thickTop="1" thickBot="1">
      <c r="A1306" s="7"/>
      <c r="B1306" s="7" t="s">
        <v>1</v>
      </c>
      <c r="C1306" s="7" t="s">
        <v>35</v>
      </c>
      <c r="D1306" t="str">
        <f t="shared" si="29"/>
        <v>EST</v>
      </c>
    </row>
    <row r="1307" spans="1:4" ht="30" thickTop="1" thickBot="1">
      <c r="A1307" s="7"/>
      <c r="B1307" s="7" t="s">
        <v>3</v>
      </c>
      <c r="C1307" s="7" t="s">
        <v>59</v>
      </c>
      <c r="D1307" t="str">
        <f t="shared" si="29"/>
        <v>EST</v>
      </c>
    </row>
    <row r="1308" spans="1:4" ht="20.399999999999999" thickTop="1" thickBot="1">
      <c r="A1308" s="7"/>
      <c r="B1308" s="7" t="s">
        <v>5</v>
      </c>
      <c r="C1308" s="7" t="s">
        <v>37</v>
      </c>
      <c r="D1308" t="str">
        <f t="shared" si="29"/>
        <v>EST</v>
      </c>
    </row>
    <row r="1309" spans="1:4" ht="30" thickTop="1" thickBot="1">
      <c r="A1309" s="7"/>
      <c r="B1309" s="7" t="s">
        <v>7</v>
      </c>
      <c r="C1309" s="7" t="s">
        <v>60</v>
      </c>
      <c r="D1309" t="str">
        <f t="shared" si="29"/>
        <v>EST</v>
      </c>
    </row>
    <row r="1310" spans="1:4" ht="15.6" thickTop="1" thickBot="1">
      <c r="A1310" s="7"/>
      <c r="B1310" s="7" t="s">
        <v>11</v>
      </c>
      <c r="C1310" s="7" t="s">
        <v>524</v>
      </c>
      <c r="D1310" t="str">
        <f t="shared" si="29"/>
        <v>EST</v>
      </c>
    </row>
    <row r="1311" spans="1:4" ht="15.6" thickTop="1" thickBot="1">
      <c r="A1311" s="7"/>
      <c r="B1311" s="7" t="s">
        <v>13</v>
      </c>
      <c r="C1311" s="7" t="s">
        <v>525</v>
      </c>
      <c r="D1311" t="str">
        <f t="shared" si="29"/>
        <v>EST</v>
      </c>
    </row>
    <row r="1312" spans="1:4" ht="15.6" thickTop="1" thickBot="1">
      <c r="A1312" s="7"/>
      <c r="B1312" s="7" t="s">
        <v>15</v>
      </c>
      <c r="C1312" s="7" t="s">
        <v>524</v>
      </c>
      <c r="D1312" t="str">
        <f t="shared" si="29"/>
        <v>EST</v>
      </c>
    </row>
    <row r="1313" spans="1:4" ht="15.6" thickTop="1" thickBot="1">
      <c r="A1313" s="7"/>
      <c r="B1313" s="7" t="s">
        <v>16</v>
      </c>
      <c r="C1313" s="7" t="s">
        <v>526</v>
      </c>
      <c r="D1313" t="str">
        <f t="shared" si="29"/>
        <v>EST</v>
      </c>
    </row>
    <row r="1314" spans="1:4" ht="15.6" thickTop="1" thickBot="1">
      <c r="A1314" s="7"/>
      <c r="B1314" s="7" t="s">
        <v>17</v>
      </c>
      <c r="C1314" s="7" t="s">
        <v>524</v>
      </c>
      <c r="D1314" t="str">
        <f t="shared" si="29"/>
        <v>EST</v>
      </c>
    </row>
    <row r="1315" spans="1:4" ht="15.6" thickTop="1" thickBot="1">
      <c r="A1315" s="7"/>
      <c r="B1315" s="7" t="s">
        <v>18</v>
      </c>
      <c r="C1315" s="7" t="s">
        <v>524</v>
      </c>
      <c r="D1315" t="str">
        <f t="shared" si="29"/>
        <v>EST</v>
      </c>
    </row>
    <row r="1316" spans="1:4" ht="15.6" thickTop="1" thickBot="1">
      <c r="A1316" s="7"/>
      <c r="B1316" s="7" t="s">
        <v>19</v>
      </c>
      <c r="C1316" s="7" t="s">
        <v>527</v>
      </c>
      <c r="D1316" t="str">
        <f t="shared" si="29"/>
        <v>EST</v>
      </c>
    </row>
    <row r="1317" spans="1:4" ht="15.6" thickTop="1" thickBot="1">
      <c r="A1317" s="7"/>
      <c r="B1317" s="7" t="s">
        <v>21</v>
      </c>
      <c r="C1317" s="7" t="s">
        <v>524</v>
      </c>
      <c r="D1317" t="str">
        <f t="shared" si="29"/>
        <v>EST</v>
      </c>
    </row>
    <row r="1318" spans="1:4" ht="15.6" thickTop="1" thickBot="1">
      <c r="A1318" s="7"/>
      <c r="B1318" s="7" t="s">
        <v>22</v>
      </c>
      <c r="C1318" s="7" t="s">
        <v>528</v>
      </c>
      <c r="D1318" t="str">
        <f t="shared" si="29"/>
        <v>EST</v>
      </c>
    </row>
    <row r="1319" spans="1:4" ht="15.6" thickTop="1" thickBot="1">
      <c r="A1319" s="7"/>
      <c r="B1319" s="7" t="s">
        <v>23</v>
      </c>
      <c r="C1319" s="7" t="s">
        <v>524</v>
      </c>
      <c r="D1319" t="str">
        <f t="shared" si="29"/>
        <v>EST</v>
      </c>
    </row>
    <row r="1320" spans="1:4" ht="15.6" thickTop="1" thickBot="1">
      <c r="A1320" s="7"/>
      <c r="B1320" s="7" t="s">
        <v>24</v>
      </c>
      <c r="C1320" s="7">
        <v>4055</v>
      </c>
      <c r="D1320" t="str">
        <f t="shared" si="29"/>
        <v>EST</v>
      </c>
    </row>
    <row r="1321" spans="1:4" ht="15.6" thickTop="1" thickBot="1">
      <c r="A1321" s="9" t="s">
        <v>529</v>
      </c>
      <c r="B1321" s="10"/>
      <c r="C1321" s="11"/>
      <c r="D1321" t="str">
        <f t="shared" si="29"/>
        <v>ETH</v>
      </c>
    </row>
    <row r="1322" spans="1:4" ht="49.2" thickTop="1" thickBot="1">
      <c r="A1322" s="7"/>
      <c r="B1322" s="7" t="s">
        <v>9</v>
      </c>
      <c r="C1322" s="7">
        <v>2017</v>
      </c>
      <c r="D1322" t="str">
        <f t="shared" si="29"/>
        <v>ETH</v>
      </c>
    </row>
    <row r="1323" spans="1:4" ht="39.6" thickTop="1" thickBot="1">
      <c r="A1323" s="7"/>
      <c r="B1323" s="7" t="s">
        <v>10</v>
      </c>
      <c r="C1323" s="7">
        <v>2018</v>
      </c>
      <c r="D1323" t="str">
        <f t="shared" si="29"/>
        <v>ETH</v>
      </c>
    </row>
    <row r="1324" spans="1:4" ht="30" thickTop="1" thickBot="1">
      <c r="A1324" s="7"/>
      <c r="B1324" s="7" t="s">
        <v>25</v>
      </c>
      <c r="C1324" s="8">
        <v>1000000</v>
      </c>
      <c r="D1324" t="str">
        <f t="shared" si="29"/>
        <v>ETH</v>
      </c>
    </row>
    <row r="1325" spans="1:4" ht="58.8" thickTop="1" thickBot="1">
      <c r="A1325" s="7"/>
      <c r="B1325" s="7" t="s">
        <v>26</v>
      </c>
      <c r="C1325" s="7" t="s">
        <v>530</v>
      </c>
      <c r="D1325" t="str">
        <f t="shared" si="29"/>
        <v>ETH</v>
      </c>
    </row>
    <row r="1326" spans="1:4" ht="20.399999999999999" thickTop="1" thickBot="1">
      <c r="A1326" s="7"/>
      <c r="B1326" s="7" t="s">
        <v>28</v>
      </c>
      <c r="C1326" s="7" t="s">
        <v>531</v>
      </c>
      <c r="D1326" t="str">
        <f t="shared" si="29"/>
        <v>ETH</v>
      </c>
    </row>
    <row r="1327" spans="1:4" ht="20.399999999999999" thickTop="1" thickBot="1">
      <c r="A1327" s="7"/>
      <c r="B1327" s="7" t="s">
        <v>30</v>
      </c>
      <c r="C1327" s="7" t="s">
        <v>532</v>
      </c>
      <c r="D1327" t="str">
        <f t="shared" si="29"/>
        <v>ETH</v>
      </c>
    </row>
    <row r="1328" spans="1:4" ht="20.399999999999999" thickTop="1" thickBot="1">
      <c r="A1328" s="7"/>
      <c r="B1328" s="7" t="s">
        <v>32</v>
      </c>
      <c r="C1328" s="7" t="s">
        <v>33</v>
      </c>
      <c r="D1328" t="str">
        <f t="shared" si="29"/>
        <v>ETH</v>
      </c>
    </row>
    <row r="1329" spans="1:4" ht="20.399999999999999" thickTop="1" thickBot="1">
      <c r="A1329" s="7"/>
      <c r="B1329" s="7" t="s">
        <v>1</v>
      </c>
      <c r="C1329" s="7" t="s">
        <v>50</v>
      </c>
      <c r="D1329" t="str">
        <f t="shared" si="29"/>
        <v>ETH</v>
      </c>
    </row>
    <row r="1330" spans="1:4" ht="30" thickTop="1" thickBot="1">
      <c r="A1330" s="7"/>
      <c r="B1330" s="7" t="s">
        <v>3</v>
      </c>
      <c r="C1330" s="7" t="s">
        <v>4</v>
      </c>
      <c r="D1330" t="str">
        <f t="shared" si="29"/>
        <v>ETH</v>
      </c>
    </row>
    <row r="1331" spans="1:4" ht="20.399999999999999" thickTop="1" thickBot="1">
      <c r="A1331" s="7"/>
      <c r="B1331" s="7" t="s">
        <v>5</v>
      </c>
      <c r="C1331" s="7" t="s">
        <v>51</v>
      </c>
      <c r="D1331" t="str">
        <f t="shared" si="29"/>
        <v>ETH</v>
      </c>
    </row>
    <row r="1332" spans="1:4" ht="30" thickTop="1" thickBot="1">
      <c r="A1332" s="7"/>
      <c r="B1332" s="7" t="s">
        <v>7</v>
      </c>
      <c r="C1332" s="7" t="s">
        <v>8</v>
      </c>
      <c r="D1332" t="str">
        <f t="shared" si="29"/>
        <v>ETH</v>
      </c>
    </row>
    <row r="1333" spans="1:4" ht="15.6" thickTop="1" thickBot="1">
      <c r="A1333" s="7"/>
      <c r="B1333" s="7" t="s">
        <v>11</v>
      </c>
      <c r="C1333" s="7" t="s">
        <v>533</v>
      </c>
      <c r="D1333" t="str">
        <f t="shared" si="29"/>
        <v>ETH</v>
      </c>
    </row>
    <row r="1334" spans="1:4" ht="15.6" thickTop="1" thickBot="1">
      <c r="A1334" s="7"/>
      <c r="B1334" s="7" t="s">
        <v>13</v>
      </c>
      <c r="C1334" s="7" t="s">
        <v>489</v>
      </c>
      <c r="D1334" t="str">
        <f t="shared" si="29"/>
        <v>ETH</v>
      </c>
    </row>
    <row r="1335" spans="1:4" ht="15.6" thickTop="1" thickBot="1">
      <c r="A1335" s="7"/>
      <c r="B1335" s="7" t="s">
        <v>15</v>
      </c>
      <c r="C1335" s="7" t="s">
        <v>533</v>
      </c>
      <c r="D1335" t="str">
        <f t="shared" si="29"/>
        <v>ETH</v>
      </c>
    </row>
    <row r="1336" spans="1:4" ht="15.6" thickTop="1" thickBot="1">
      <c r="A1336" s="7"/>
      <c r="B1336" s="7" t="s">
        <v>16</v>
      </c>
      <c r="C1336" s="7" t="s">
        <v>489</v>
      </c>
      <c r="D1336" t="str">
        <f t="shared" si="29"/>
        <v>ETH</v>
      </c>
    </row>
    <row r="1337" spans="1:4" ht="15.6" thickTop="1" thickBot="1">
      <c r="A1337" s="7"/>
      <c r="B1337" s="7" t="s">
        <v>17</v>
      </c>
      <c r="C1337" s="7" t="s">
        <v>533</v>
      </c>
      <c r="D1337" t="str">
        <f t="shared" si="29"/>
        <v>ETH</v>
      </c>
    </row>
    <row r="1338" spans="1:4" ht="15.6" thickTop="1" thickBot="1">
      <c r="A1338" s="7"/>
      <c r="B1338" s="7" t="s">
        <v>18</v>
      </c>
      <c r="C1338" s="7" t="s">
        <v>533</v>
      </c>
      <c r="D1338" t="str">
        <f t="shared" si="29"/>
        <v>ETH</v>
      </c>
    </row>
    <row r="1339" spans="1:4" ht="15.6" thickTop="1" thickBot="1">
      <c r="A1339" s="7"/>
      <c r="B1339" s="7" t="s">
        <v>19</v>
      </c>
      <c r="C1339" s="7" t="s">
        <v>534</v>
      </c>
      <c r="D1339" t="str">
        <f t="shared" si="29"/>
        <v>ETH</v>
      </c>
    </row>
    <row r="1340" spans="1:4" ht="15.6" thickTop="1" thickBot="1">
      <c r="A1340" s="7"/>
      <c r="B1340" s="7" t="s">
        <v>21</v>
      </c>
      <c r="C1340" s="7" t="s">
        <v>533</v>
      </c>
      <c r="D1340" t="str">
        <f t="shared" si="29"/>
        <v>ETH</v>
      </c>
    </row>
    <row r="1341" spans="1:4" ht="15.6" thickTop="1" thickBot="1">
      <c r="A1341" s="7"/>
      <c r="B1341" s="7" t="s">
        <v>22</v>
      </c>
      <c r="C1341" s="7" t="s">
        <v>489</v>
      </c>
      <c r="D1341" t="str">
        <f t="shared" si="29"/>
        <v>ETH</v>
      </c>
    </row>
    <row r="1342" spans="1:4" ht="15.6" thickTop="1" thickBot="1">
      <c r="A1342" s="7"/>
      <c r="B1342" s="7" t="s">
        <v>23</v>
      </c>
      <c r="C1342" s="7" t="s">
        <v>533</v>
      </c>
      <c r="D1342" t="str">
        <f t="shared" si="29"/>
        <v>ETH</v>
      </c>
    </row>
    <row r="1343" spans="1:4" ht="15.6" thickTop="1" thickBot="1">
      <c r="A1343" s="7"/>
      <c r="B1343" s="7" t="s">
        <v>24</v>
      </c>
      <c r="C1343" s="7">
        <v>1140</v>
      </c>
      <c r="D1343" t="str">
        <f t="shared" si="29"/>
        <v>ETH</v>
      </c>
    </row>
    <row r="1344" spans="1:4" ht="15.6" thickTop="1" thickBot="1">
      <c r="A1344" s="9" t="s">
        <v>535</v>
      </c>
      <c r="B1344" s="10"/>
      <c r="C1344" s="11"/>
      <c r="D1344" t="str">
        <f t="shared" si="29"/>
        <v>FJI</v>
      </c>
    </row>
    <row r="1345" spans="1:4" ht="49.2" thickTop="1" thickBot="1">
      <c r="A1345" s="7"/>
      <c r="B1345" s="7" t="s">
        <v>9</v>
      </c>
      <c r="C1345" s="7">
        <v>2017</v>
      </c>
      <c r="D1345" t="str">
        <f t="shared" si="29"/>
        <v>FJI</v>
      </c>
    </row>
    <row r="1346" spans="1:4" ht="39.6" thickTop="1" thickBot="1">
      <c r="A1346" s="7"/>
      <c r="B1346" s="7" t="s">
        <v>10</v>
      </c>
      <c r="C1346" s="7">
        <v>2018</v>
      </c>
      <c r="D1346" t="str">
        <f t="shared" ref="D1346:D1409" si="30">IF(ISNUMBER(FIND(":", A1346)), LEFT(A1346, FIND(":", A1346) - 1), D1345)</f>
        <v>FJI</v>
      </c>
    </row>
    <row r="1347" spans="1:4" ht="30" thickTop="1" thickBot="1">
      <c r="A1347" s="7"/>
      <c r="B1347" s="7" t="s">
        <v>25</v>
      </c>
      <c r="C1347" s="8">
        <v>18270</v>
      </c>
      <c r="D1347" t="str">
        <f t="shared" si="30"/>
        <v>FJI</v>
      </c>
    </row>
    <row r="1348" spans="1:4" ht="30" thickTop="1" thickBot="1">
      <c r="A1348" s="7"/>
      <c r="B1348" s="7" t="s">
        <v>26</v>
      </c>
      <c r="C1348" s="7" t="s">
        <v>536</v>
      </c>
      <c r="D1348" t="str">
        <f t="shared" si="30"/>
        <v>FJI</v>
      </c>
    </row>
    <row r="1349" spans="1:4" ht="20.399999999999999" thickTop="1" thickBot="1">
      <c r="A1349" s="7"/>
      <c r="B1349" s="7" t="s">
        <v>28</v>
      </c>
      <c r="C1349" s="7" t="s">
        <v>537</v>
      </c>
      <c r="D1349" t="str">
        <f t="shared" si="30"/>
        <v>FJI</v>
      </c>
    </row>
    <row r="1350" spans="1:4" ht="20.399999999999999" thickTop="1" thickBot="1">
      <c r="A1350" s="7"/>
      <c r="B1350" s="7" t="s">
        <v>30</v>
      </c>
      <c r="C1350" s="7" t="s">
        <v>538</v>
      </c>
      <c r="D1350" t="str">
        <f t="shared" si="30"/>
        <v>FJI</v>
      </c>
    </row>
    <row r="1351" spans="1:4" ht="20.399999999999999" thickTop="1" thickBot="1">
      <c r="A1351" s="7"/>
      <c r="B1351" s="7" t="s">
        <v>32</v>
      </c>
      <c r="C1351" s="7" t="s">
        <v>33</v>
      </c>
      <c r="D1351" t="str">
        <f t="shared" si="30"/>
        <v>FJI</v>
      </c>
    </row>
    <row r="1352" spans="1:4" ht="20.399999999999999" thickTop="1" thickBot="1">
      <c r="A1352" s="7"/>
      <c r="B1352" s="7" t="s">
        <v>1</v>
      </c>
      <c r="C1352" s="7" t="s">
        <v>107</v>
      </c>
      <c r="D1352" t="str">
        <f t="shared" si="30"/>
        <v>FJI</v>
      </c>
    </row>
    <row r="1353" spans="1:4" ht="30" thickTop="1" thickBot="1">
      <c r="A1353" s="7"/>
      <c r="B1353" s="7" t="s">
        <v>3</v>
      </c>
      <c r="C1353" s="7" t="s">
        <v>36</v>
      </c>
      <c r="D1353" t="str">
        <f t="shared" si="30"/>
        <v>FJI</v>
      </c>
    </row>
    <row r="1354" spans="1:4" ht="20.399999999999999" thickTop="1" thickBot="1">
      <c r="A1354" s="7"/>
      <c r="B1354" s="7" t="s">
        <v>5</v>
      </c>
      <c r="C1354" s="7" t="s">
        <v>108</v>
      </c>
      <c r="D1354" t="str">
        <f t="shared" si="30"/>
        <v>FJI</v>
      </c>
    </row>
    <row r="1355" spans="1:4" ht="30" thickTop="1" thickBot="1">
      <c r="A1355" s="7"/>
      <c r="B1355" s="7" t="s">
        <v>7</v>
      </c>
      <c r="C1355" s="7" t="s">
        <v>38</v>
      </c>
      <c r="D1355" t="str">
        <f t="shared" si="30"/>
        <v>FJI</v>
      </c>
    </row>
    <row r="1356" spans="1:4" ht="15.6" thickTop="1" thickBot="1">
      <c r="A1356" s="7"/>
      <c r="B1356" s="7" t="s">
        <v>11</v>
      </c>
      <c r="C1356" s="7" t="s">
        <v>539</v>
      </c>
      <c r="D1356" t="str">
        <f t="shared" si="30"/>
        <v>FJI</v>
      </c>
    </row>
    <row r="1357" spans="1:4" ht="15.6" thickTop="1" thickBot="1">
      <c r="A1357" s="7"/>
      <c r="B1357" s="7" t="s">
        <v>13</v>
      </c>
      <c r="C1357" s="7" t="s">
        <v>540</v>
      </c>
      <c r="D1357" t="str">
        <f t="shared" si="30"/>
        <v>FJI</v>
      </c>
    </row>
    <row r="1358" spans="1:4" ht="15.6" thickTop="1" thickBot="1">
      <c r="A1358" s="7"/>
      <c r="B1358" s="7" t="s">
        <v>15</v>
      </c>
      <c r="C1358" s="7" t="s">
        <v>541</v>
      </c>
      <c r="D1358" t="str">
        <f t="shared" si="30"/>
        <v>FJI</v>
      </c>
    </row>
    <row r="1359" spans="1:4" ht="15.6" thickTop="1" thickBot="1">
      <c r="A1359" s="7"/>
      <c r="B1359" s="7" t="s">
        <v>16</v>
      </c>
      <c r="C1359" s="7" t="s">
        <v>540</v>
      </c>
      <c r="D1359" t="str">
        <f t="shared" si="30"/>
        <v>FJI</v>
      </c>
    </row>
    <row r="1360" spans="1:4" ht="15.6" thickTop="1" thickBot="1">
      <c r="A1360" s="7"/>
      <c r="B1360" s="7" t="s">
        <v>17</v>
      </c>
      <c r="C1360" s="7" t="s">
        <v>539</v>
      </c>
      <c r="D1360" t="str">
        <f t="shared" si="30"/>
        <v>FJI</v>
      </c>
    </row>
    <row r="1361" spans="1:4" ht="15.6" thickTop="1" thickBot="1">
      <c r="A1361" s="7"/>
      <c r="B1361" s="7" t="s">
        <v>18</v>
      </c>
      <c r="C1361" s="7" t="s">
        <v>539</v>
      </c>
      <c r="D1361" t="str">
        <f t="shared" si="30"/>
        <v>FJI</v>
      </c>
    </row>
    <row r="1362" spans="1:4" ht="15.6" thickTop="1" thickBot="1">
      <c r="A1362" s="7"/>
      <c r="B1362" s="7" t="s">
        <v>19</v>
      </c>
      <c r="C1362" s="7" t="s">
        <v>542</v>
      </c>
      <c r="D1362" t="str">
        <f t="shared" si="30"/>
        <v>FJI</v>
      </c>
    </row>
    <row r="1363" spans="1:4" ht="15.6" thickTop="1" thickBot="1">
      <c r="A1363" s="7"/>
      <c r="B1363" s="7" t="s">
        <v>21</v>
      </c>
      <c r="C1363" s="7" t="s">
        <v>541</v>
      </c>
      <c r="D1363" t="str">
        <f t="shared" si="30"/>
        <v>FJI</v>
      </c>
    </row>
    <row r="1364" spans="1:4" ht="15.6" thickTop="1" thickBot="1">
      <c r="A1364" s="7"/>
      <c r="B1364" s="7" t="s">
        <v>22</v>
      </c>
      <c r="C1364" s="7" t="s">
        <v>540</v>
      </c>
      <c r="D1364" t="str">
        <f t="shared" si="30"/>
        <v>FJI</v>
      </c>
    </row>
    <row r="1365" spans="1:4" ht="15.6" thickTop="1" thickBot="1">
      <c r="A1365" s="7"/>
      <c r="B1365" s="7" t="s">
        <v>23</v>
      </c>
      <c r="C1365" s="7" t="s">
        <v>539</v>
      </c>
      <c r="D1365" t="str">
        <f t="shared" si="30"/>
        <v>FJI</v>
      </c>
    </row>
    <row r="1366" spans="1:4" ht="15.6" thickTop="1" thickBot="1">
      <c r="A1366" s="7"/>
      <c r="B1366" s="7" t="s">
        <v>24</v>
      </c>
      <c r="C1366" s="7">
        <v>5070</v>
      </c>
      <c r="D1366" t="str">
        <f t="shared" si="30"/>
        <v>FJI</v>
      </c>
    </row>
    <row r="1367" spans="1:4" ht="15.6" thickTop="1" thickBot="1">
      <c r="A1367" s="9" t="s">
        <v>543</v>
      </c>
      <c r="B1367" s="10"/>
      <c r="C1367" s="11"/>
      <c r="D1367" t="str">
        <f t="shared" si="30"/>
        <v>FIN</v>
      </c>
    </row>
    <row r="1368" spans="1:4" ht="49.2" thickTop="1" thickBot="1">
      <c r="A1368" s="7"/>
      <c r="B1368" s="7" t="s">
        <v>9</v>
      </c>
      <c r="C1368" s="7">
        <v>2017</v>
      </c>
      <c r="D1368" t="str">
        <f t="shared" si="30"/>
        <v>FIN</v>
      </c>
    </row>
    <row r="1369" spans="1:4" ht="39.6" thickTop="1" thickBot="1">
      <c r="A1369" s="7"/>
      <c r="B1369" s="7" t="s">
        <v>10</v>
      </c>
      <c r="C1369" s="7">
        <v>2018</v>
      </c>
      <c r="D1369" t="str">
        <f t="shared" si="30"/>
        <v>FIN</v>
      </c>
    </row>
    <row r="1370" spans="1:4" ht="30" thickTop="1" thickBot="1">
      <c r="A1370" s="7"/>
      <c r="B1370" s="7" t="s">
        <v>25</v>
      </c>
      <c r="C1370" s="8">
        <v>303900</v>
      </c>
      <c r="D1370" t="str">
        <f t="shared" si="30"/>
        <v>FIN</v>
      </c>
    </row>
    <row r="1371" spans="1:4" ht="20.399999999999999" thickTop="1" thickBot="1">
      <c r="A1371" s="7"/>
      <c r="B1371" s="7" t="s">
        <v>26</v>
      </c>
      <c r="C1371" s="7" t="s">
        <v>544</v>
      </c>
      <c r="D1371" t="str">
        <f t="shared" si="30"/>
        <v>FIN</v>
      </c>
    </row>
    <row r="1372" spans="1:4" ht="20.399999999999999" thickTop="1" thickBot="1">
      <c r="A1372" s="7"/>
      <c r="B1372" s="7" t="s">
        <v>28</v>
      </c>
      <c r="C1372" s="7" t="s">
        <v>545</v>
      </c>
      <c r="D1372" t="str">
        <f t="shared" si="30"/>
        <v>FIN</v>
      </c>
    </row>
    <row r="1373" spans="1:4" ht="20.399999999999999" thickTop="1" thickBot="1">
      <c r="A1373" s="7"/>
      <c r="B1373" s="7" t="s">
        <v>30</v>
      </c>
      <c r="C1373" s="7" t="s">
        <v>546</v>
      </c>
      <c r="D1373" t="str">
        <f t="shared" si="30"/>
        <v>FIN</v>
      </c>
    </row>
    <row r="1374" spans="1:4" ht="20.399999999999999" thickTop="1" thickBot="1">
      <c r="A1374" s="7"/>
      <c r="B1374" s="7" t="s">
        <v>32</v>
      </c>
      <c r="C1374" s="7" t="s">
        <v>33</v>
      </c>
      <c r="D1374" t="str">
        <f t="shared" si="30"/>
        <v>FIN</v>
      </c>
    </row>
    <row r="1375" spans="1:4" ht="20.399999999999999" thickTop="1" thickBot="1">
      <c r="A1375" s="7"/>
      <c r="B1375" s="7" t="s">
        <v>1</v>
      </c>
      <c r="C1375" s="7" t="s">
        <v>35</v>
      </c>
      <c r="D1375" t="str">
        <f t="shared" si="30"/>
        <v>FIN</v>
      </c>
    </row>
    <row r="1376" spans="1:4" ht="30" thickTop="1" thickBot="1">
      <c r="A1376" s="7"/>
      <c r="B1376" s="7" t="s">
        <v>3</v>
      </c>
      <c r="C1376" s="7" t="s">
        <v>59</v>
      </c>
      <c r="D1376" t="str">
        <f t="shared" si="30"/>
        <v>FIN</v>
      </c>
    </row>
    <row r="1377" spans="1:4" ht="20.399999999999999" thickTop="1" thickBot="1">
      <c r="A1377" s="7"/>
      <c r="B1377" s="7" t="s">
        <v>5</v>
      </c>
      <c r="C1377" s="7" t="s">
        <v>37</v>
      </c>
      <c r="D1377" t="str">
        <f t="shared" si="30"/>
        <v>FIN</v>
      </c>
    </row>
    <row r="1378" spans="1:4" ht="30" thickTop="1" thickBot="1">
      <c r="A1378" s="7"/>
      <c r="B1378" s="7" t="s">
        <v>7</v>
      </c>
      <c r="C1378" s="7" t="s">
        <v>60</v>
      </c>
      <c r="D1378" t="str">
        <f t="shared" si="30"/>
        <v>FIN</v>
      </c>
    </row>
    <row r="1379" spans="1:4" ht="15.6" thickTop="1" thickBot="1">
      <c r="A1379" s="7"/>
      <c r="B1379" s="7" t="s">
        <v>11</v>
      </c>
      <c r="C1379" s="7" t="s">
        <v>547</v>
      </c>
      <c r="D1379" t="str">
        <f t="shared" si="30"/>
        <v>FIN</v>
      </c>
    </row>
    <row r="1380" spans="1:4" ht="15.6" thickTop="1" thickBot="1">
      <c r="A1380" s="7"/>
      <c r="B1380" s="7" t="s">
        <v>13</v>
      </c>
      <c r="C1380" s="7" t="s">
        <v>548</v>
      </c>
      <c r="D1380" t="str">
        <f t="shared" si="30"/>
        <v>FIN</v>
      </c>
    </row>
    <row r="1381" spans="1:4" ht="15.6" thickTop="1" thickBot="1">
      <c r="A1381" s="7"/>
      <c r="B1381" s="7" t="s">
        <v>15</v>
      </c>
      <c r="C1381" s="7" t="s">
        <v>547</v>
      </c>
      <c r="D1381" t="str">
        <f t="shared" si="30"/>
        <v>FIN</v>
      </c>
    </row>
    <row r="1382" spans="1:4" ht="15.6" thickTop="1" thickBot="1">
      <c r="A1382" s="7"/>
      <c r="B1382" s="7" t="s">
        <v>16</v>
      </c>
      <c r="C1382" s="7" t="s">
        <v>548</v>
      </c>
      <c r="D1382" t="str">
        <f t="shared" si="30"/>
        <v>FIN</v>
      </c>
    </row>
    <row r="1383" spans="1:4" ht="15.6" thickTop="1" thickBot="1">
      <c r="A1383" s="7"/>
      <c r="B1383" s="7" t="s">
        <v>17</v>
      </c>
      <c r="C1383" s="7" t="s">
        <v>547</v>
      </c>
      <c r="D1383" t="str">
        <f t="shared" si="30"/>
        <v>FIN</v>
      </c>
    </row>
    <row r="1384" spans="1:4" ht="15.6" thickTop="1" thickBot="1">
      <c r="A1384" s="7"/>
      <c r="B1384" s="7" t="s">
        <v>18</v>
      </c>
      <c r="C1384" s="7" t="s">
        <v>547</v>
      </c>
      <c r="D1384" t="str">
        <f t="shared" si="30"/>
        <v>FIN</v>
      </c>
    </row>
    <row r="1385" spans="1:4" ht="15.6" thickTop="1" thickBot="1">
      <c r="A1385" s="7"/>
      <c r="B1385" s="7" t="s">
        <v>19</v>
      </c>
      <c r="C1385" s="7" t="s">
        <v>549</v>
      </c>
      <c r="D1385" t="str">
        <f t="shared" si="30"/>
        <v>FIN</v>
      </c>
    </row>
    <row r="1386" spans="1:4" ht="15.6" thickTop="1" thickBot="1">
      <c r="A1386" s="7"/>
      <c r="B1386" s="7" t="s">
        <v>21</v>
      </c>
      <c r="C1386" s="7" t="s">
        <v>547</v>
      </c>
      <c r="D1386" t="str">
        <f t="shared" si="30"/>
        <v>FIN</v>
      </c>
    </row>
    <row r="1387" spans="1:4" ht="15.6" thickTop="1" thickBot="1">
      <c r="A1387" s="7"/>
      <c r="B1387" s="7" t="s">
        <v>22</v>
      </c>
      <c r="C1387" s="7" t="s">
        <v>548</v>
      </c>
      <c r="D1387" t="str">
        <f t="shared" si="30"/>
        <v>FIN</v>
      </c>
    </row>
    <row r="1388" spans="1:4" ht="15.6" thickTop="1" thickBot="1">
      <c r="A1388" s="7"/>
      <c r="B1388" s="7" t="s">
        <v>23</v>
      </c>
      <c r="C1388" s="7" t="s">
        <v>547</v>
      </c>
      <c r="D1388" t="str">
        <f t="shared" si="30"/>
        <v>FIN</v>
      </c>
    </row>
    <row r="1389" spans="1:4" ht="15.6" thickTop="1" thickBot="1">
      <c r="A1389" s="7"/>
      <c r="B1389" s="7" t="s">
        <v>24</v>
      </c>
      <c r="C1389" s="7">
        <v>4070</v>
      </c>
      <c r="D1389" t="str">
        <f t="shared" si="30"/>
        <v>FIN</v>
      </c>
    </row>
    <row r="1390" spans="1:4" ht="15.6" thickTop="1" thickBot="1">
      <c r="A1390" s="9" t="s">
        <v>550</v>
      </c>
      <c r="B1390" s="10"/>
      <c r="C1390" s="11"/>
      <c r="D1390" t="str">
        <f t="shared" si="30"/>
        <v>FRA</v>
      </c>
    </row>
    <row r="1391" spans="1:4" ht="49.2" thickTop="1" thickBot="1">
      <c r="A1391" s="7"/>
      <c r="B1391" s="7" t="s">
        <v>9</v>
      </c>
      <c r="C1391" s="7">
        <v>2017</v>
      </c>
      <c r="D1391" t="str">
        <f t="shared" si="30"/>
        <v>FRA</v>
      </c>
    </row>
    <row r="1392" spans="1:4" ht="39.6" thickTop="1" thickBot="1">
      <c r="A1392" s="7"/>
      <c r="B1392" s="7" t="s">
        <v>10</v>
      </c>
      <c r="C1392" s="7">
        <v>2018</v>
      </c>
      <c r="D1392" t="str">
        <f t="shared" si="30"/>
        <v>FRA</v>
      </c>
    </row>
    <row r="1393" spans="1:4" ht="30" thickTop="1" thickBot="1">
      <c r="A1393" s="7"/>
      <c r="B1393" s="7" t="s">
        <v>25</v>
      </c>
      <c r="C1393" s="8">
        <v>547660</v>
      </c>
      <c r="D1393" t="str">
        <f t="shared" si="30"/>
        <v>FRA</v>
      </c>
    </row>
    <row r="1394" spans="1:4" ht="20.399999999999999" thickTop="1" thickBot="1">
      <c r="A1394" s="7"/>
      <c r="B1394" s="7" t="s">
        <v>26</v>
      </c>
      <c r="C1394" s="7" t="s">
        <v>551</v>
      </c>
      <c r="D1394" t="str">
        <f t="shared" si="30"/>
        <v>FRA</v>
      </c>
    </row>
    <row r="1395" spans="1:4" ht="20.399999999999999" thickTop="1" thickBot="1">
      <c r="A1395" s="7"/>
      <c r="B1395" s="7" t="s">
        <v>28</v>
      </c>
      <c r="C1395" s="7" t="s">
        <v>552</v>
      </c>
      <c r="D1395" t="str">
        <f t="shared" si="30"/>
        <v>FRA</v>
      </c>
    </row>
    <row r="1396" spans="1:4" ht="20.399999999999999" thickTop="1" thickBot="1">
      <c r="A1396" s="7"/>
      <c r="B1396" s="7" t="s">
        <v>30</v>
      </c>
      <c r="C1396" s="7" t="s">
        <v>553</v>
      </c>
      <c r="D1396" t="str">
        <f t="shared" si="30"/>
        <v>FRA</v>
      </c>
    </row>
    <row r="1397" spans="1:4" ht="20.399999999999999" thickTop="1" thickBot="1">
      <c r="A1397" s="7"/>
      <c r="B1397" s="7" t="s">
        <v>32</v>
      </c>
      <c r="C1397" s="7" t="s">
        <v>33</v>
      </c>
      <c r="D1397" t="str">
        <f t="shared" si="30"/>
        <v>FRA</v>
      </c>
    </row>
    <row r="1398" spans="1:4" ht="20.399999999999999" thickTop="1" thickBot="1">
      <c r="A1398" s="7"/>
      <c r="B1398" s="7" t="s">
        <v>1</v>
      </c>
      <c r="C1398" s="7" t="s">
        <v>35</v>
      </c>
      <c r="D1398" t="str">
        <f t="shared" si="30"/>
        <v>FRA</v>
      </c>
    </row>
    <row r="1399" spans="1:4" ht="30" thickTop="1" thickBot="1">
      <c r="A1399" s="7"/>
      <c r="B1399" s="7" t="s">
        <v>3</v>
      </c>
      <c r="C1399" s="7" t="s">
        <v>59</v>
      </c>
      <c r="D1399" t="str">
        <f t="shared" si="30"/>
        <v>FRA</v>
      </c>
    </row>
    <row r="1400" spans="1:4" ht="20.399999999999999" thickTop="1" thickBot="1">
      <c r="A1400" s="7"/>
      <c r="B1400" s="7" t="s">
        <v>5</v>
      </c>
      <c r="C1400" s="7" t="s">
        <v>37</v>
      </c>
      <c r="D1400" t="str">
        <f t="shared" si="30"/>
        <v>FRA</v>
      </c>
    </row>
    <row r="1401" spans="1:4" ht="30" thickTop="1" thickBot="1">
      <c r="A1401" s="7"/>
      <c r="B1401" s="7" t="s">
        <v>7</v>
      </c>
      <c r="C1401" s="7" t="s">
        <v>60</v>
      </c>
      <c r="D1401" t="str">
        <f t="shared" si="30"/>
        <v>FRA</v>
      </c>
    </row>
    <row r="1402" spans="1:4" ht="15.6" thickTop="1" thickBot="1">
      <c r="A1402" s="7"/>
      <c r="B1402" s="7" t="s">
        <v>11</v>
      </c>
      <c r="C1402" s="7" t="s">
        <v>554</v>
      </c>
      <c r="D1402" t="str">
        <f t="shared" si="30"/>
        <v>FRA</v>
      </c>
    </row>
    <row r="1403" spans="1:4" ht="15.6" thickTop="1" thickBot="1">
      <c r="A1403" s="7"/>
      <c r="B1403" s="7" t="s">
        <v>13</v>
      </c>
      <c r="C1403" s="7" t="s">
        <v>555</v>
      </c>
      <c r="D1403" t="str">
        <f t="shared" si="30"/>
        <v>FRA</v>
      </c>
    </row>
    <row r="1404" spans="1:4" ht="15.6" thickTop="1" thickBot="1">
      <c r="A1404" s="7"/>
      <c r="B1404" s="7" t="s">
        <v>15</v>
      </c>
      <c r="C1404" s="7" t="s">
        <v>556</v>
      </c>
      <c r="D1404" t="str">
        <f t="shared" si="30"/>
        <v>FRA</v>
      </c>
    </row>
    <row r="1405" spans="1:4" ht="15.6" thickTop="1" thickBot="1">
      <c r="A1405" s="7"/>
      <c r="B1405" s="7" t="s">
        <v>16</v>
      </c>
      <c r="C1405" s="7" t="s">
        <v>555</v>
      </c>
      <c r="D1405" t="str">
        <f t="shared" si="30"/>
        <v>FRA</v>
      </c>
    </row>
    <row r="1406" spans="1:4" ht="15.6" thickTop="1" thickBot="1">
      <c r="A1406" s="7"/>
      <c r="B1406" s="7" t="s">
        <v>17</v>
      </c>
      <c r="C1406" s="7" t="s">
        <v>556</v>
      </c>
      <c r="D1406" t="str">
        <f t="shared" si="30"/>
        <v>FRA</v>
      </c>
    </row>
    <row r="1407" spans="1:4" ht="15.6" thickTop="1" thickBot="1">
      <c r="A1407" s="7"/>
      <c r="B1407" s="7" t="s">
        <v>18</v>
      </c>
      <c r="C1407" s="7" t="s">
        <v>554</v>
      </c>
      <c r="D1407" t="str">
        <f t="shared" si="30"/>
        <v>FRA</v>
      </c>
    </row>
    <row r="1408" spans="1:4" ht="15.6" thickTop="1" thickBot="1">
      <c r="A1408" s="7"/>
      <c r="B1408" s="7" t="s">
        <v>19</v>
      </c>
      <c r="C1408" s="7" t="s">
        <v>557</v>
      </c>
      <c r="D1408" t="str">
        <f t="shared" si="30"/>
        <v>FRA</v>
      </c>
    </row>
    <row r="1409" spans="1:4" ht="15.6" thickTop="1" thickBot="1">
      <c r="A1409" s="7"/>
      <c r="B1409" s="7" t="s">
        <v>21</v>
      </c>
      <c r="C1409" s="7" t="s">
        <v>556</v>
      </c>
      <c r="D1409" t="str">
        <f t="shared" si="30"/>
        <v>FRA</v>
      </c>
    </row>
    <row r="1410" spans="1:4" ht="15.6" thickTop="1" thickBot="1">
      <c r="A1410" s="7"/>
      <c r="B1410" s="7" t="s">
        <v>22</v>
      </c>
      <c r="C1410" s="7" t="s">
        <v>555</v>
      </c>
      <c r="D1410" t="str">
        <f t="shared" ref="D1410:D1473" si="31">IF(ISNUMBER(FIND(":", A1410)), LEFT(A1410, FIND(":", A1410) - 1), D1409)</f>
        <v>FRA</v>
      </c>
    </row>
    <row r="1411" spans="1:4" ht="15.6" thickTop="1" thickBot="1">
      <c r="A1411" s="7"/>
      <c r="B1411" s="7" t="s">
        <v>23</v>
      </c>
      <c r="C1411" s="7" t="s">
        <v>556</v>
      </c>
      <c r="D1411" t="str">
        <f t="shared" si="31"/>
        <v>FRA</v>
      </c>
    </row>
    <row r="1412" spans="1:4" ht="15.6" thickTop="1" thickBot="1">
      <c r="A1412" s="7"/>
      <c r="B1412" s="7" t="s">
        <v>24</v>
      </c>
      <c r="C1412" s="7">
        <v>4080</v>
      </c>
      <c r="D1412" t="str">
        <f t="shared" si="31"/>
        <v>FRA</v>
      </c>
    </row>
    <row r="1413" spans="1:4" ht="15.6" thickTop="1" thickBot="1">
      <c r="A1413" s="9" t="s">
        <v>558</v>
      </c>
      <c r="B1413" s="10"/>
      <c r="C1413" s="11"/>
      <c r="D1413" t="str">
        <f t="shared" si="31"/>
        <v>GAB</v>
      </c>
    </row>
    <row r="1414" spans="1:4" ht="49.2" thickTop="1" thickBot="1">
      <c r="A1414" s="7"/>
      <c r="B1414" s="7" t="s">
        <v>9</v>
      </c>
      <c r="C1414" s="7">
        <v>2017</v>
      </c>
      <c r="D1414" t="str">
        <f t="shared" si="31"/>
        <v>GAB</v>
      </c>
    </row>
    <row r="1415" spans="1:4" ht="39.6" thickTop="1" thickBot="1">
      <c r="A1415" s="7"/>
      <c r="B1415" s="7" t="s">
        <v>10</v>
      </c>
      <c r="C1415" s="7">
        <v>2018</v>
      </c>
      <c r="D1415" t="str">
        <f t="shared" si="31"/>
        <v>GAB</v>
      </c>
    </row>
    <row r="1416" spans="1:4" ht="30" thickTop="1" thickBot="1">
      <c r="A1416" s="7"/>
      <c r="B1416" s="7" t="s">
        <v>25</v>
      </c>
      <c r="C1416" s="8">
        <v>257670</v>
      </c>
      <c r="D1416" t="str">
        <f t="shared" si="31"/>
        <v>GAB</v>
      </c>
    </row>
    <row r="1417" spans="1:4" ht="49.2" thickTop="1" thickBot="1">
      <c r="A1417" s="7"/>
      <c r="B1417" s="7" t="s">
        <v>26</v>
      </c>
      <c r="C1417" s="7" t="s">
        <v>559</v>
      </c>
      <c r="D1417" t="str">
        <f t="shared" si="31"/>
        <v>GAB</v>
      </c>
    </row>
    <row r="1418" spans="1:4" ht="20.399999999999999" thickTop="1" thickBot="1">
      <c r="A1418" s="7"/>
      <c r="B1418" s="7" t="s">
        <v>28</v>
      </c>
      <c r="C1418" s="7" t="s">
        <v>560</v>
      </c>
      <c r="D1418" t="str">
        <f t="shared" si="31"/>
        <v>GAB</v>
      </c>
    </row>
    <row r="1419" spans="1:4" ht="20.399999999999999" thickTop="1" thickBot="1">
      <c r="A1419" s="7"/>
      <c r="B1419" s="7" t="s">
        <v>30</v>
      </c>
      <c r="C1419" s="7" t="s">
        <v>560</v>
      </c>
      <c r="D1419" t="str">
        <f t="shared" si="31"/>
        <v>GAB</v>
      </c>
    </row>
    <row r="1420" spans="1:4" ht="20.399999999999999" thickTop="1" thickBot="1">
      <c r="A1420" s="7"/>
      <c r="B1420" s="7" t="s">
        <v>32</v>
      </c>
      <c r="C1420" s="7" t="s">
        <v>33</v>
      </c>
      <c r="D1420" t="str">
        <f t="shared" si="31"/>
        <v>GAB</v>
      </c>
    </row>
    <row r="1421" spans="1:4" ht="20.399999999999999" thickTop="1" thickBot="1">
      <c r="A1421" s="7"/>
      <c r="B1421" s="7" t="s">
        <v>1</v>
      </c>
      <c r="C1421" s="7" t="s">
        <v>50</v>
      </c>
      <c r="D1421" t="str">
        <f t="shared" si="31"/>
        <v>GAB</v>
      </c>
    </row>
    <row r="1422" spans="1:4" ht="30" thickTop="1" thickBot="1">
      <c r="A1422" s="7"/>
      <c r="B1422" s="7" t="s">
        <v>3</v>
      </c>
      <c r="C1422" s="7" t="s">
        <v>36</v>
      </c>
      <c r="D1422" t="str">
        <f t="shared" si="31"/>
        <v>GAB</v>
      </c>
    </row>
    <row r="1423" spans="1:4" ht="20.399999999999999" thickTop="1" thickBot="1">
      <c r="A1423" s="7"/>
      <c r="B1423" s="7" t="s">
        <v>5</v>
      </c>
      <c r="C1423" s="7" t="s">
        <v>51</v>
      </c>
      <c r="D1423" t="str">
        <f t="shared" si="31"/>
        <v>GAB</v>
      </c>
    </row>
    <row r="1424" spans="1:4" ht="30" thickTop="1" thickBot="1">
      <c r="A1424" s="7"/>
      <c r="B1424" s="7" t="s">
        <v>7</v>
      </c>
      <c r="C1424" s="7" t="s">
        <v>38</v>
      </c>
      <c r="D1424" t="str">
        <f t="shared" si="31"/>
        <v>GAB</v>
      </c>
    </row>
    <row r="1425" spans="1:4" ht="15.6" thickTop="1" thickBot="1">
      <c r="A1425" s="7"/>
      <c r="B1425" s="7" t="s">
        <v>11</v>
      </c>
      <c r="C1425" s="7" t="s">
        <v>561</v>
      </c>
      <c r="D1425" t="str">
        <f t="shared" si="31"/>
        <v>GAB</v>
      </c>
    </row>
    <row r="1426" spans="1:4" ht="15.6" thickTop="1" thickBot="1">
      <c r="A1426" s="7"/>
      <c r="B1426" s="7" t="s">
        <v>13</v>
      </c>
      <c r="C1426" s="7" t="s">
        <v>562</v>
      </c>
      <c r="D1426" t="str">
        <f t="shared" si="31"/>
        <v>GAB</v>
      </c>
    </row>
    <row r="1427" spans="1:4" ht="15.6" thickTop="1" thickBot="1">
      <c r="A1427" s="7"/>
      <c r="B1427" s="7" t="s">
        <v>15</v>
      </c>
      <c r="C1427" s="7" t="s">
        <v>563</v>
      </c>
      <c r="D1427" t="str">
        <f t="shared" si="31"/>
        <v>GAB</v>
      </c>
    </row>
    <row r="1428" spans="1:4" ht="15.6" thickTop="1" thickBot="1">
      <c r="A1428" s="7"/>
      <c r="B1428" s="7" t="s">
        <v>16</v>
      </c>
      <c r="C1428" s="7" t="s">
        <v>564</v>
      </c>
      <c r="D1428" t="str">
        <f t="shared" si="31"/>
        <v>GAB</v>
      </c>
    </row>
    <row r="1429" spans="1:4" ht="15.6" thickTop="1" thickBot="1">
      <c r="A1429" s="7"/>
      <c r="B1429" s="7" t="s">
        <v>17</v>
      </c>
      <c r="C1429" s="7" t="s">
        <v>563</v>
      </c>
      <c r="D1429" t="str">
        <f t="shared" si="31"/>
        <v>GAB</v>
      </c>
    </row>
    <row r="1430" spans="1:4" ht="15.6" thickTop="1" thickBot="1">
      <c r="A1430" s="7"/>
      <c r="B1430" s="7" t="s">
        <v>18</v>
      </c>
      <c r="C1430" s="7" t="s">
        <v>563</v>
      </c>
      <c r="D1430" t="str">
        <f t="shared" si="31"/>
        <v>GAB</v>
      </c>
    </row>
    <row r="1431" spans="1:4" ht="15.6" thickTop="1" thickBot="1">
      <c r="A1431" s="7"/>
      <c r="B1431" s="7" t="s">
        <v>19</v>
      </c>
      <c r="C1431" s="7" t="s">
        <v>565</v>
      </c>
      <c r="D1431" t="str">
        <f t="shared" si="31"/>
        <v>GAB</v>
      </c>
    </row>
    <row r="1432" spans="1:4" ht="15.6" thickTop="1" thickBot="1">
      <c r="A1432" s="7"/>
      <c r="B1432" s="7" t="s">
        <v>21</v>
      </c>
      <c r="C1432" s="7" t="s">
        <v>563</v>
      </c>
      <c r="D1432" t="str">
        <f t="shared" si="31"/>
        <v>GAB</v>
      </c>
    </row>
    <row r="1433" spans="1:4" ht="15.6" thickTop="1" thickBot="1">
      <c r="A1433" s="7"/>
      <c r="B1433" s="7" t="s">
        <v>22</v>
      </c>
      <c r="C1433" s="7" t="s">
        <v>566</v>
      </c>
      <c r="D1433" t="str">
        <f t="shared" si="31"/>
        <v>GAB</v>
      </c>
    </row>
    <row r="1434" spans="1:4" ht="15.6" thickTop="1" thickBot="1">
      <c r="A1434" s="7"/>
      <c r="B1434" s="7" t="s">
        <v>23</v>
      </c>
      <c r="C1434" s="7" t="s">
        <v>563</v>
      </c>
      <c r="D1434" t="str">
        <f t="shared" si="31"/>
        <v>GAB</v>
      </c>
    </row>
    <row r="1435" spans="1:4" ht="15.6" thickTop="1" thickBot="1">
      <c r="A1435" s="7"/>
      <c r="B1435" s="7" t="s">
        <v>24</v>
      </c>
      <c r="C1435" s="7">
        <v>1160</v>
      </c>
      <c r="D1435" t="str">
        <f t="shared" si="31"/>
        <v>GAB</v>
      </c>
    </row>
    <row r="1436" spans="1:4" ht="20.399999999999999" thickTop="1" thickBot="1">
      <c r="A1436" s="9" t="s">
        <v>567</v>
      </c>
      <c r="B1436" s="10"/>
      <c r="C1436" s="11"/>
      <c r="D1436" t="str">
        <f t="shared" si="31"/>
        <v>GMB</v>
      </c>
    </row>
    <row r="1437" spans="1:4" ht="49.2" thickTop="1" thickBot="1">
      <c r="A1437" s="7"/>
      <c r="B1437" s="7" t="s">
        <v>9</v>
      </c>
      <c r="C1437" s="7">
        <v>2017</v>
      </c>
      <c r="D1437" t="str">
        <f t="shared" si="31"/>
        <v>GMB</v>
      </c>
    </row>
    <row r="1438" spans="1:4" ht="39.6" thickTop="1" thickBot="1">
      <c r="A1438" s="7"/>
      <c r="B1438" s="7" t="s">
        <v>10</v>
      </c>
      <c r="C1438" s="7">
        <v>2018</v>
      </c>
      <c r="D1438" t="str">
        <f t="shared" si="31"/>
        <v>GMB</v>
      </c>
    </row>
    <row r="1439" spans="1:4" ht="30" thickTop="1" thickBot="1">
      <c r="A1439" s="7"/>
      <c r="B1439" s="7" t="s">
        <v>25</v>
      </c>
      <c r="C1439" s="8">
        <v>10120</v>
      </c>
      <c r="D1439" t="str">
        <f t="shared" si="31"/>
        <v>GMB</v>
      </c>
    </row>
    <row r="1440" spans="1:4" ht="58.8" thickTop="1" thickBot="1">
      <c r="A1440" s="7"/>
      <c r="B1440" s="7" t="s">
        <v>26</v>
      </c>
      <c r="C1440" s="7" t="s">
        <v>568</v>
      </c>
      <c r="D1440" t="str">
        <f t="shared" si="31"/>
        <v>GMB</v>
      </c>
    </row>
    <row r="1441" spans="1:4" ht="20.399999999999999" thickTop="1" thickBot="1">
      <c r="A1441" s="7"/>
      <c r="B1441" s="7" t="s">
        <v>28</v>
      </c>
      <c r="C1441" s="7" t="s">
        <v>569</v>
      </c>
      <c r="D1441" t="str">
        <f t="shared" si="31"/>
        <v>GMB</v>
      </c>
    </row>
    <row r="1442" spans="1:4" ht="20.399999999999999" thickTop="1" thickBot="1">
      <c r="A1442" s="7"/>
      <c r="B1442" s="7" t="s">
        <v>30</v>
      </c>
      <c r="C1442" s="7" t="s">
        <v>570</v>
      </c>
      <c r="D1442" t="str">
        <f t="shared" si="31"/>
        <v>GMB</v>
      </c>
    </row>
    <row r="1443" spans="1:4" ht="20.399999999999999" thickTop="1" thickBot="1">
      <c r="A1443" s="7"/>
      <c r="B1443" s="7" t="s">
        <v>32</v>
      </c>
      <c r="C1443" s="7" t="s">
        <v>33</v>
      </c>
      <c r="D1443" t="str">
        <f t="shared" si="31"/>
        <v>GMB</v>
      </c>
    </row>
    <row r="1444" spans="1:4" ht="20.399999999999999" thickTop="1" thickBot="1">
      <c r="A1444" s="7"/>
      <c r="B1444" s="7" t="s">
        <v>1</v>
      </c>
      <c r="C1444" s="7" t="s">
        <v>50</v>
      </c>
      <c r="D1444" t="str">
        <f t="shared" si="31"/>
        <v>GMB</v>
      </c>
    </row>
    <row r="1445" spans="1:4" ht="30" thickTop="1" thickBot="1">
      <c r="A1445" s="7"/>
      <c r="B1445" s="7" t="s">
        <v>3</v>
      </c>
      <c r="C1445" s="7" t="s">
        <v>4</v>
      </c>
      <c r="D1445" t="str">
        <f t="shared" si="31"/>
        <v>GMB</v>
      </c>
    </row>
    <row r="1446" spans="1:4" ht="20.399999999999999" thickTop="1" thickBot="1">
      <c r="A1446" s="7"/>
      <c r="B1446" s="7" t="s">
        <v>5</v>
      </c>
      <c r="C1446" s="7" t="s">
        <v>51</v>
      </c>
      <c r="D1446" t="str">
        <f t="shared" si="31"/>
        <v>GMB</v>
      </c>
    </row>
    <row r="1447" spans="1:4" ht="30" thickTop="1" thickBot="1">
      <c r="A1447" s="7"/>
      <c r="B1447" s="7" t="s">
        <v>7</v>
      </c>
      <c r="C1447" s="7" t="s">
        <v>8</v>
      </c>
      <c r="D1447" t="str">
        <f t="shared" si="31"/>
        <v>GMB</v>
      </c>
    </row>
    <row r="1448" spans="1:4" ht="15.6" thickTop="1" thickBot="1">
      <c r="A1448" s="7"/>
      <c r="B1448" s="7" t="s">
        <v>11</v>
      </c>
      <c r="C1448" s="7" t="s">
        <v>571</v>
      </c>
      <c r="D1448" t="str">
        <f t="shared" si="31"/>
        <v>GMB</v>
      </c>
    </row>
    <row r="1449" spans="1:4" ht="15.6" thickTop="1" thickBot="1">
      <c r="A1449" s="7"/>
      <c r="B1449" s="7" t="s">
        <v>13</v>
      </c>
      <c r="C1449" s="7" t="s">
        <v>564</v>
      </c>
      <c r="D1449" t="str">
        <f t="shared" si="31"/>
        <v>GMB</v>
      </c>
    </row>
    <row r="1450" spans="1:4" ht="15.6" thickTop="1" thickBot="1">
      <c r="A1450" s="7"/>
      <c r="B1450" s="7" t="s">
        <v>15</v>
      </c>
      <c r="C1450" s="7" t="s">
        <v>572</v>
      </c>
      <c r="D1450" t="str">
        <f t="shared" si="31"/>
        <v>GMB</v>
      </c>
    </row>
    <row r="1451" spans="1:4" ht="15.6" thickTop="1" thickBot="1">
      <c r="A1451" s="7"/>
      <c r="B1451" s="7" t="s">
        <v>16</v>
      </c>
      <c r="C1451" s="7" t="s">
        <v>573</v>
      </c>
      <c r="D1451" t="str">
        <f t="shared" si="31"/>
        <v>GMB</v>
      </c>
    </row>
    <row r="1452" spans="1:4" ht="15.6" thickTop="1" thickBot="1">
      <c r="A1452" s="7"/>
      <c r="B1452" s="7" t="s">
        <v>17</v>
      </c>
      <c r="C1452" s="7" t="s">
        <v>574</v>
      </c>
      <c r="D1452" t="str">
        <f t="shared" si="31"/>
        <v>GMB</v>
      </c>
    </row>
    <row r="1453" spans="1:4" ht="15.6" thickTop="1" thickBot="1">
      <c r="A1453" s="7"/>
      <c r="B1453" s="7" t="s">
        <v>18</v>
      </c>
      <c r="C1453" s="7" t="s">
        <v>574</v>
      </c>
      <c r="D1453" t="str">
        <f t="shared" si="31"/>
        <v>GMB</v>
      </c>
    </row>
    <row r="1454" spans="1:4" ht="15.6" thickTop="1" thickBot="1">
      <c r="A1454" s="7"/>
      <c r="B1454" s="7" t="s">
        <v>19</v>
      </c>
      <c r="C1454" s="7" t="s">
        <v>575</v>
      </c>
      <c r="D1454" t="str">
        <f t="shared" si="31"/>
        <v>GMB</v>
      </c>
    </row>
    <row r="1455" spans="1:4" ht="15.6" thickTop="1" thickBot="1">
      <c r="A1455" s="7"/>
      <c r="B1455" s="7" t="s">
        <v>21</v>
      </c>
      <c r="C1455" s="7" t="s">
        <v>572</v>
      </c>
      <c r="D1455" t="str">
        <f t="shared" si="31"/>
        <v>GMB</v>
      </c>
    </row>
    <row r="1456" spans="1:4" ht="15.6" thickTop="1" thickBot="1">
      <c r="A1456" s="7"/>
      <c r="B1456" s="7" t="s">
        <v>22</v>
      </c>
      <c r="C1456" s="7" t="s">
        <v>562</v>
      </c>
      <c r="D1456" t="str">
        <f t="shared" si="31"/>
        <v>GMB</v>
      </c>
    </row>
    <row r="1457" spans="1:4" ht="15.6" thickTop="1" thickBot="1">
      <c r="A1457" s="7"/>
      <c r="B1457" s="7" t="s">
        <v>23</v>
      </c>
      <c r="C1457" s="7" t="s">
        <v>574</v>
      </c>
      <c r="D1457" t="str">
        <f t="shared" si="31"/>
        <v>GMB</v>
      </c>
    </row>
    <row r="1458" spans="1:4" ht="15.6" thickTop="1" thickBot="1">
      <c r="A1458" s="7"/>
      <c r="B1458" s="7" t="s">
        <v>24</v>
      </c>
      <c r="C1458" s="7">
        <v>1170</v>
      </c>
      <c r="D1458" t="str">
        <f t="shared" si="31"/>
        <v>GMB</v>
      </c>
    </row>
    <row r="1459" spans="1:4" ht="20.399999999999999" thickTop="1" thickBot="1">
      <c r="A1459" s="9" t="s">
        <v>576</v>
      </c>
      <c r="B1459" s="10"/>
      <c r="C1459" s="11"/>
      <c r="D1459" t="str">
        <f t="shared" si="31"/>
        <v>GEO</v>
      </c>
    </row>
    <row r="1460" spans="1:4" ht="49.2" thickTop="1" thickBot="1">
      <c r="A1460" s="7"/>
      <c r="B1460" s="7" t="s">
        <v>9</v>
      </c>
      <c r="C1460" s="7">
        <v>2017</v>
      </c>
      <c r="D1460" t="str">
        <f t="shared" si="31"/>
        <v>GEO</v>
      </c>
    </row>
    <row r="1461" spans="1:4" ht="39.6" thickTop="1" thickBot="1">
      <c r="A1461" s="7"/>
      <c r="B1461" s="7" t="s">
        <v>10</v>
      </c>
      <c r="C1461" s="7">
        <v>2018</v>
      </c>
      <c r="D1461" t="str">
        <f t="shared" si="31"/>
        <v>GEO</v>
      </c>
    </row>
    <row r="1462" spans="1:4" ht="30" thickTop="1" thickBot="1">
      <c r="A1462" s="7"/>
      <c r="B1462" s="7" t="s">
        <v>25</v>
      </c>
      <c r="C1462" s="7" t="s">
        <v>577</v>
      </c>
      <c r="D1462" t="str">
        <f t="shared" si="31"/>
        <v>GEO</v>
      </c>
    </row>
    <row r="1463" spans="1:4" ht="30" thickTop="1" thickBot="1">
      <c r="A1463" s="7"/>
      <c r="B1463" s="7" t="s">
        <v>26</v>
      </c>
      <c r="C1463" s="7" t="s">
        <v>578</v>
      </c>
      <c r="D1463" t="str">
        <f t="shared" si="31"/>
        <v>GEO</v>
      </c>
    </row>
    <row r="1464" spans="1:4" ht="20.399999999999999" thickTop="1" thickBot="1">
      <c r="A1464" s="7"/>
      <c r="B1464" s="7" t="s">
        <v>28</v>
      </c>
      <c r="C1464" s="7" t="s">
        <v>579</v>
      </c>
      <c r="D1464" t="str">
        <f t="shared" si="31"/>
        <v>GEO</v>
      </c>
    </row>
    <row r="1465" spans="1:4" ht="20.399999999999999" thickTop="1" thickBot="1">
      <c r="A1465" s="7"/>
      <c r="B1465" s="7" t="s">
        <v>30</v>
      </c>
      <c r="C1465" s="7" t="s">
        <v>580</v>
      </c>
      <c r="D1465" t="str">
        <f t="shared" si="31"/>
        <v>GEO</v>
      </c>
    </row>
    <row r="1466" spans="1:4" ht="20.399999999999999" thickTop="1" thickBot="1">
      <c r="A1466" s="7"/>
      <c r="B1466" s="7" t="s">
        <v>32</v>
      </c>
      <c r="C1466" s="7" t="s">
        <v>33</v>
      </c>
      <c r="D1466" t="str">
        <f t="shared" si="31"/>
        <v>GEO</v>
      </c>
    </row>
    <row r="1467" spans="1:4" ht="20.399999999999999" thickTop="1" thickBot="1">
      <c r="A1467" s="7"/>
      <c r="B1467" s="7" t="s">
        <v>1</v>
      </c>
      <c r="C1467" s="7" t="s">
        <v>35</v>
      </c>
      <c r="D1467" t="str">
        <f t="shared" si="31"/>
        <v>GEO</v>
      </c>
    </row>
    <row r="1468" spans="1:4" ht="30" thickTop="1" thickBot="1">
      <c r="A1468" s="7"/>
      <c r="B1468" s="7" t="s">
        <v>3</v>
      </c>
      <c r="C1468" s="7" t="s">
        <v>69</v>
      </c>
      <c r="D1468" t="str">
        <f t="shared" si="31"/>
        <v>GEO</v>
      </c>
    </row>
    <row r="1469" spans="1:4" ht="20.399999999999999" thickTop="1" thickBot="1">
      <c r="A1469" s="7"/>
      <c r="B1469" s="7" t="s">
        <v>5</v>
      </c>
      <c r="C1469" s="7" t="s">
        <v>37</v>
      </c>
      <c r="D1469" t="str">
        <f t="shared" si="31"/>
        <v>GEO</v>
      </c>
    </row>
    <row r="1470" spans="1:4" ht="30" thickTop="1" thickBot="1">
      <c r="A1470" s="7"/>
      <c r="B1470" s="7" t="s">
        <v>7</v>
      </c>
      <c r="C1470" s="7" t="s">
        <v>70</v>
      </c>
      <c r="D1470" t="str">
        <f t="shared" si="31"/>
        <v>GEO</v>
      </c>
    </row>
    <row r="1471" spans="1:4" ht="15.6" thickTop="1" thickBot="1">
      <c r="A1471" s="7"/>
      <c r="B1471" s="7" t="s">
        <v>11</v>
      </c>
      <c r="C1471" s="7" t="s">
        <v>581</v>
      </c>
      <c r="D1471" t="str">
        <f t="shared" si="31"/>
        <v>GEO</v>
      </c>
    </row>
    <row r="1472" spans="1:4" ht="15.6" thickTop="1" thickBot="1">
      <c r="A1472" s="7"/>
      <c r="B1472" s="7" t="s">
        <v>13</v>
      </c>
      <c r="C1472" s="7" t="s">
        <v>582</v>
      </c>
      <c r="D1472" t="str">
        <f t="shared" si="31"/>
        <v>GEO</v>
      </c>
    </row>
    <row r="1473" spans="1:4" ht="15.6" thickTop="1" thickBot="1">
      <c r="A1473" s="7"/>
      <c r="B1473" s="7" t="s">
        <v>15</v>
      </c>
      <c r="C1473" s="7" t="s">
        <v>583</v>
      </c>
      <c r="D1473" t="str">
        <f t="shared" si="31"/>
        <v>GEO</v>
      </c>
    </row>
    <row r="1474" spans="1:4" ht="15.6" thickTop="1" thickBot="1">
      <c r="A1474" s="7"/>
      <c r="B1474" s="7" t="s">
        <v>16</v>
      </c>
      <c r="C1474" s="7" t="s">
        <v>581</v>
      </c>
      <c r="D1474" t="str">
        <f t="shared" ref="D1474:D1537" si="32">IF(ISNUMBER(FIND(":", A1474)), LEFT(A1474, FIND(":", A1474) - 1), D1473)</f>
        <v>GEO</v>
      </c>
    </row>
    <row r="1475" spans="1:4" ht="15.6" thickTop="1" thickBot="1">
      <c r="A1475" s="7"/>
      <c r="B1475" s="7" t="s">
        <v>17</v>
      </c>
      <c r="C1475" s="7" t="s">
        <v>583</v>
      </c>
      <c r="D1475" t="str">
        <f t="shared" si="32"/>
        <v>GEO</v>
      </c>
    </row>
    <row r="1476" spans="1:4" ht="15.6" thickTop="1" thickBot="1">
      <c r="A1476" s="7"/>
      <c r="B1476" s="7" t="s">
        <v>18</v>
      </c>
      <c r="C1476" s="7" t="s">
        <v>583</v>
      </c>
      <c r="D1476" t="str">
        <f t="shared" si="32"/>
        <v>GEO</v>
      </c>
    </row>
    <row r="1477" spans="1:4" ht="15.6" thickTop="1" thickBot="1">
      <c r="A1477" s="7"/>
      <c r="B1477" s="7" t="s">
        <v>19</v>
      </c>
      <c r="C1477" s="7" t="s">
        <v>584</v>
      </c>
      <c r="D1477" t="str">
        <f t="shared" si="32"/>
        <v>GEO</v>
      </c>
    </row>
    <row r="1478" spans="1:4" ht="15.6" thickTop="1" thickBot="1">
      <c r="A1478" s="7"/>
      <c r="B1478" s="7" t="s">
        <v>21</v>
      </c>
      <c r="C1478" s="7" t="s">
        <v>583</v>
      </c>
      <c r="D1478" t="str">
        <f t="shared" si="32"/>
        <v>GEO</v>
      </c>
    </row>
    <row r="1479" spans="1:4" ht="15.6" thickTop="1" thickBot="1">
      <c r="A1479" s="7"/>
      <c r="B1479" s="7" t="s">
        <v>22</v>
      </c>
      <c r="C1479" s="7" t="s">
        <v>582</v>
      </c>
      <c r="D1479" t="str">
        <f t="shared" si="32"/>
        <v>GEO</v>
      </c>
    </row>
    <row r="1480" spans="1:4" ht="15.6" thickTop="1" thickBot="1">
      <c r="A1480" s="7"/>
      <c r="B1480" s="7" t="s">
        <v>23</v>
      </c>
      <c r="C1480" s="7" t="s">
        <v>583</v>
      </c>
      <c r="D1480" t="str">
        <f t="shared" si="32"/>
        <v>GEO</v>
      </c>
    </row>
    <row r="1481" spans="1:4" ht="15.6" thickTop="1" thickBot="1">
      <c r="A1481" s="7"/>
      <c r="B1481" s="7" t="s">
        <v>24</v>
      </c>
      <c r="C1481" s="7">
        <v>4084</v>
      </c>
      <c r="D1481" t="str">
        <f t="shared" si="32"/>
        <v>GEO</v>
      </c>
    </row>
    <row r="1482" spans="1:4" ht="20.399999999999999" thickTop="1" thickBot="1">
      <c r="A1482" s="9" t="s">
        <v>585</v>
      </c>
      <c r="B1482" s="10"/>
      <c r="C1482" s="11"/>
      <c r="D1482" t="str">
        <f t="shared" si="32"/>
        <v>DEU</v>
      </c>
    </row>
    <row r="1483" spans="1:4" ht="49.2" thickTop="1" thickBot="1">
      <c r="A1483" s="7"/>
      <c r="B1483" s="7" t="s">
        <v>9</v>
      </c>
      <c r="C1483" s="7">
        <v>2017</v>
      </c>
      <c r="D1483" t="str">
        <f t="shared" si="32"/>
        <v>DEU</v>
      </c>
    </row>
    <row r="1484" spans="1:4" ht="39.6" thickTop="1" thickBot="1">
      <c r="A1484" s="7"/>
      <c r="B1484" s="7" t="s">
        <v>10</v>
      </c>
      <c r="C1484" s="7">
        <v>2018</v>
      </c>
      <c r="D1484" t="str">
        <f t="shared" si="32"/>
        <v>DEU</v>
      </c>
    </row>
    <row r="1485" spans="1:4" ht="30" thickTop="1" thickBot="1">
      <c r="A1485" s="7"/>
      <c r="B1485" s="7" t="s">
        <v>25</v>
      </c>
      <c r="C1485" s="8">
        <v>348630</v>
      </c>
      <c r="D1485" t="str">
        <f t="shared" si="32"/>
        <v>DEU</v>
      </c>
    </row>
    <row r="1486" spans="1:4" ht="20.399999999999999" thickTop="1" thickBot="1">
      <c r="A1486" s="7"/>
      <c r="B1486" s="7" t="s">
        <v>26</v>
      </c>
      <c r="C1486" s="7" t="s">
        <v>116</v>
      </c>
      <c r="D1486" t="str">
        <f t="shared" si="32"/>
        <v>DEU</v>
      </c>
    </row>
    <row r="1487" spans="1:4" ht="20.399999999999999" thickTop="1" thickBot="1">
      <c r="A1487" s="7"/>
      <c r="B1487" s="7" t="s">
        <v>28</v>
      </c>
      <c r="C1487" s="7" t="s">
        <v>586</v>
      </c>
      <c r="D1487" t="str">
        <f t="shared" si="32"/>
        <v>DEU</v>
      </c>
    </row>
    <row r="1488" spans="1:4" ht="20.399999999999999" thickTop="1" thickBot="1">
      <c r="A1488" s="7"/>
      <c r="B1488" s="7" t="s">
        <v>30</v>
      </c>
      <c r="C1488" s="7" t="s">
        <v>587</v>
      </c>
      <c r="D1488" t="str">
        <f t="shared" si="32"/>
        <v>DEU</v>
      </c>
    </row>
    <row r="1489" spans="1:4" ht="20.399999999999999" thickTop="1" thickBot="1">
      <c r="A1489" s="7"/>
      <c r="B1489" s="7" t="s">
        <v>32</v>
      </c>
      <c r="C1489" s="7" t="s">
        <v>33</v>
      </c>
      <c r="D1489" t="str">
        <f t="shared" si="32"/>
        <v>DEU</v>
      </c>
    </row>
    <row r="1490" spans="1:4" ht="20.399999999999999" thickTop="1" thickBot="1">
      <c r="A1490" s="7"/>
      <c r="B1490" s="7" t="s">
        <v>1</v>
      </c>
      <c r="C1490" s="7" t="s">
        <v>35</v>
      </c>
      <c r="D1490" t="str">
        <f t="shared" si="32"/>
        <v>DEU</v>
      </c>
    </row>
    <row r="1491" spans="1:4" ht="30" thickTop="1" thickBot="1">
      <c r="A1491" s="7"/>
      <c r="B1491" s="7" t="s">
        <v>3</v>
      </c>
      <c r="C1491" s="7" t="s">
        <v>59</v>
      </c>
      <c r="D1491" t="str">
        <f t="shared" si="32"/>
        <v>DEU</v>
      </c>
    </row>
    <row r="1492" spans="1:4" ht="20.399999999999999" thickTop="1" thickBot="1">
      <c r="A1492" s="7"/>
      <c r="B1492" s="7" t="s">
        <v>5</v>
      </c>
      <c r="C1492" s="7" t="s">
        <v>37</v>
      </c>
      <c r="D1492" t="str">
        <f t="shared" si="32"/>
        <v>DEU</v>
      </c>
    </row>
    <row r="1493" spans="1:4" ht="30" thickTop="1" thickBot="1">
      <c r="A1493" s="7"/>
      <c r="B1493" s="7" t="s">
        <v>7</v>
      </c>
      <c r="C1493" s="7" t="s">
        <v>60</v>
      </c>
      <c r="D1493" t="str">
        <f t="shared" si="32"/>
        <v>DEU</v>
      </c>
    </row>
    <row r="1494" spans="1:4" ht="15.6" thickTop="1" thickBot="1">
      <c r="A1494" s="7"/>
      <c r="B1494" s="7" t="s">
        <v>11</v>
      </c>
      <c r="C1494" s="7" t="s">
        <v>588</v>
      </c>
      <c r="D1494" t="str">
        <f t="shared" si="32"/>
        <v>DEU</v>
      </c>
    </row>
    <row r="1495" spans="1:4" ht="15.6" thickTop="1" thickBot="1">
      <c r="A1495" s="7"/>
      <c r="B1495" s="7" t="s">
        <v>13</v>
      </c>
      <c r="C1495" s="7" t="s">
        <v>573</v>
      </c>
      <c r="D1495" t="str">
        <f t="shared" si="32"/>
        <v>DEU</v>
      </c>
    </row>
    <row r="1496" spans="1:4" ht="15.6" thickTop="1" thickBot="1">
      <c r="A1496" s="7"/>
      <c r="B1496" s="7" t="s">
        <v>15</v>
      </c>
      <c r="C1496" s="7" t="s">
        <v>589</v>
      </c>
      <c r="D1496" t="str">
        <f t="shared" si="32"/>
        <v>DEU</v>
      </c>
    </row>
    <row r="1497" spans="1:4" ht="15.6" thickTop="1" thickBot="1">
      <c r="A1497" s="7"/>
      <c r="B1497" s="7" t="s">
        <v>16</v>
      </c>
      <c r="C1497" s="7" t="s">
        <v>590</v>
      </c>
      <c r="D1497" t="str">
        <f t="shared" si="32"/>
        <v>DEU</v>
      </c>
    </row>
    <row r="1498" spans="1:4" ht="15.6" thickTop="1" thickBot="1">
      <c r="A1498" s="7"/>
      <c r="B1498" s="7" t="s">
        <v>17</v>
      </c>
      <c r="C1498" s="7" t="s">
        <v>591</v>
      </c>
      <c r="D1498" t="str">
        <f t="shared" si="32"/>
        <v>DEU</v>
      </c>
    </row>
    <row r="1499" spans="1:4" ht="15.6" thickTop="1" thickBot="1">
      <c r="A1499" s="7"/>
      <c r="B1499" s="7" t="s">
        <v>18</v>
      </c>
      <c r="C1499" s="7" t="s">
        <v>588</v>
      </c>
      <c r="D1499" t="str">
        <f t="shared" si="32"/>
        <v>DEU</v>
      </c>
    </row>
    <row r="1500" spans="1:4" ht="15.6" thickTop="1" thickBot="1">
      <c r="A1500" s="7"/>
      <c r="B1500" s="7" t="s">
        <v>19</v>
      </c>
      <c r="C1500" s="7" t="s">
        <v>592</v>
      </c>
      <c r="D1500" t="str">
        <f t="shared" si="32"/>
        <v>DEU</v>
      </c>
    </row>
    <row r="1501" spans="1:4" ht="15.6" thickTop="1" thickBot="1">
      <c r="A1501" s="7"/>
      <c r="B1501" s="7" t="s">
        <v>21</v>
      </c>
      <c r="C1501" s="7" t="s">
        <v>591</v>
      </c>
      <c r="D1501" t="str">
        <f t="shared" si="32"/>
        <v>DEU</v>
      </c>
    </row>
    <row r="1502" spans="1:4" ht="15.6" thickTop="1" thickBot="1">
      <c r="A1502" s="7"/>
      <c r="B1502" s="7" t="s">
        <v>22</v>
      </c>
      <c r="C1502" s="7" t="s">
        <v>593</v>
      </c>
      <c r="D1502" t="str">
        <f t="shared" si="32"/>
        <v>DEU</v>
      </c>
    </row>
    <row r="1503" spans="1:4" ht="15.6" thickTop="1" thickBot="1">
      <c r="A1503" s="7"/>
      <c r="B1503" s="7" t="s">
        <v>23</v>
      </c>
      <c r="C1503" s="7" t="s">
        <v>591</v>
      </c>
      <c r="D1503" t="str">
        <f t="shared" si="32"/>
        <v>DEU</v>
      </c>
    </row>
    <row r="1504" spans="1:4" ht="15.6" thickTop="1" thickBot="1">
      <c r="A1504" s="7"/>
      <c r="B1504" s="7" t="s">
        <v>24</v>
      </c>
      <c r="C1504" s="7">
        <v>4085</v>
      </c>
      <c r="D1504" t="str">
        <f t="shared" si="32"/>
        <v>DEU</v>
      </c>
    </row>
    <row r="1505" spans="1:4" ht="15.6" thickTop="1" thickBot="1">
      <c r="A1505" s="9" t="s">
        <v>594</v>
      </c>
      <c r="B1505" s="10"/>
      <c r="C1505" s="11"/>
      <c r="D1505" t="str">
        <f t="shared" si="32"/>
        <v>GHA</v>
      </c>
    </row>
    <row r="1506" spans="1:4" ht="49.2" thickTop="1" thickBot="1">
      <c r="A1506" s="7"/>
      <c r="B1506" s="7" t="s">
        <v>9</v>
      </c>
      <c r="C1506" s="7">
        <v>2017</v>
      </c>
      <c r="D1506" t="str">
        <f t="shared" si="32"/>
        <v>GHA</v>
      </c>
    </row>
    <row r="1507" spans="1:4" ht="39.6" thickTop="1" thickBot="1">
      <c r="A1507" s="7"/>
      <c r="B1507" s="7" t="s">
        <v>10</v>
      </c>
      <c r="C1507" s="7">
        <v>2018</v>
      </c>
      <c r="D1507" t="str">
        <f t="shared" si="32"/>
        <v>GHA</v>
      </c>
    </row>
    <row r="1508" spans="1:4" ht="30" thickTop="1" thickBot="1">
      <c r="A1508" s="7"/>
      <c r="B1508" s="7" t="s">
        <v>25</v>
      </c>
      <c r="C1508" s="8">
        <v>227540</v>
      </c>
      <c r="D1508" t="str">
        <f t="shared" si="32"/>
        <v>GHA</v>
      </c>
    </row>
    <row r="1509" spans="1:4" ht="39.6" thickTop="1" thickBot="1">
      <c r="A1509" s="7"/>
      <c r="B1509" s="7" t="s">
        <v>26</v>
      </c>
      <c r="C1509" s="7" t="s">
        <v>595</v>
      </c>
      <c r="D1509" t="str">
        <f t="shared" si="32"/>
        <v>GHA</v>
      </c>
    </row>
    <row r="1510" spans="1:4" ht="20.399999999999999" thickTop="1" thickBot="1">
      <c r="A1510" s="7"/>
      <c r="B1510" s="7" t="s">
        <v>28</v>
      </c>
      <c r="C1510" s="7" t="s">
        <v>596</v>
      </c>
      <c r="D1510" t="str">
        <f t="shared" si="32"/>
        <v>GHA</v>
      </c>
    </row>
    <row r="1511" spans="1:4" ht="20.399999999999999" thickTop="1" thickBot="1">
      <c r="A1511" s="7"/>
      <c r="B1511" s="7" t="s">
        <v>30</v>
      </c>
      <c r="C1511" s="7" t="s">
        <v>596</v>
      </c>
      <c r="D1511" t="str">
        <f t="shared" si="32"/>
        <v>GHA</v>
      </c>
    </row>
    <row r="1512" spans="1:4" ht="20.399999999999999" thickTop="1" thickBot="1">
      <c r="A1512" s="7"/>
      <c r="B1512" s="7" t="s">
        <v>32</v>
      </c>
      <c r="C1512" s="7" t="s">
        <v>33</v>
      </c>
      <c r="D1512" t="str">
        <f t="shared" si="32"/>
        <v>GHA</v>
      </c>
    </row>
    <row r="1513" spans="1:4" ht="20.399999999999999" thickTop="1" thickBot="1">
      <c r="A1513" s="7"/>
      <c r="B1513" s="7" t="s">
        <v>1</v>
      </c>
      <c r="C1513" s="7" t="s">
        <v>50</v>
      </c>
      <c r="D1513" t="str">
        <f t="shared" si="32"/>
        <v>GHA</v>
      </c>
    </row>
    <row r="1514" spans="1:4" ht="30" thickTop="1" thickBot="1">
      <c r="A1514" s="7"/>
      <c r="B1514" s="7" t="s">
        <v>3</v>
      </c>
      <c r="C1514" s="7" t="s">
        <v>69</v>
      </c>
      <c r="D1514" t="str">
        <f t="shared" si="32"/>
        <v>GHA</v>
      </c>
    </row>
    <row r="1515" spans="1:4" ht="20.399999999999999" thickTop="1" thickBot="1">
      <c r="A1515" s="7"/>
      <c r="B1515" s="7" t="s">
        <v>5</v>
      </c>
      <c r="C1515" s="7" t="s">
        <v>51</v>
      </c>
      <c r="D1515" t="str">
        <f t="shared" si="32"/>
        <v>GHA</v>
      </c>
    </row>
    <row r="1516" spans="1:4" ht="30" thickTop="1" thickBot="1">
      <c r="A1516" s="7"/>
      <c r="B1516" s="7" t="s">
        <v>7</v>
      </c>
      <c r="C1516" s="7" t="s">
        <v>70</v>
      </c>
      <c r="D1516" t="str">
        <f t="shared" si="32"/>
        <v>GHA</v>
      </c>
    </row>
    <row r="1517" spans="1:4" ht="15.6" thickTop="1" thickBot="1">
      <c r="A1517" s="7"/>
      <c r="B1517" s="7" t="s">
        <v>11</v>
      </c>
      <c r="C1517" s="7" t="s">
        <v>597</v>
      </c>
      <c r="D1517" t="str">
        <f t="shared" si="32"/>
        <v>GHA</v>
      </c>
    </row>
    <row r="1518" spans="1:4" ht="15.6" thickTop="1" thickBot="1">
      <c r="A1518" s="7"/>
      <c r="B1518" s="7" t="s">
        <v>13</v>
      </c>
      <c r="C1518" s="7" t="s">
        <v>597</v>
      </c>
      <c r="D1518" t="str">
        <f t="shared" si="32"/>
        <v>GHA</v>
      </c>
    </row>
    <row r="1519" spans="1:4" ht="15.6" thickTop="1" thickBot="1">
      <c r="A1519" s="7"/>
      <c r="B1519" s="7" t="s">
        <v>15</v>
      </c>
      <c r="C1519" s="7" t="s">
        <v>598</v>
      </c>
      <c r="D1519" t="str">
        <f t="shared" si="32"/>
        <v>GHA</v>
      </c>
    </row>
    <row r="1520" spans="1:4" ht="15.6" thickTop="1" thickBot="1">
      <c r="A1520" s="7"/>
      <c r="B1520" s="7" t="s">
        <v>22</v>
      </c>
      <c r="C1520" s="7" t="s">
        <v>597</v>
      </c>
      <c r="D1520" t="str">
        <f t="shared" si="32"/>
        <v>GHA</v>
      </c>
    </row>
    <row r="1521" spans="1:4" ht="15.6" thickTop="1" thickBot="1">
      <c r="A1521" s="7"/>
      <c r="B1521" s="7" t="s">
        <v>23</v>
      </c>
      <c r="C1521" s="7" t="s">
        <v>598</v>
      </c>
      <c r="D1521" t="str">
        <f t="shared" si="32"/>
        <v>GHA</v>
      </c>
    </row>
    <row r="1522" spans="1:4" ht="15.6" thickTop="1" thickBot="1">
      <c r="A1522" s="7"/>
      <c r="B1522" s="7" t="s">
        <v>24</v>
      </c>
      <c r="C1522" s="7">
        <v>1180</v>
      </c>
      <c r="D1522" t="str">
        <f t="shared" si="32"/>
        <v>GHA</v>
      </c>
    </row>
    <row r="1523" spans="1:4" ht="15.6" thickTop="1" thickBot="1">
      <c r="A1523" s="7"/>
      <c r="B1523" s="7" t="s">
        <v>18</v>
      </c>
      <c r="C1523" s="7" t="s">
        <v>598</v>
      </c>
      <c r="D1523" t="str">
        <f t="shared" si="32"/>
        <v>GHA</v>
      </c>
    </row>
    <row r="1524" spans="1:4" ht="15.6" thickTop="1" thickBot="1">
      <c r="A1524" s="7"/>
      <c r="B1524" s="7" t="s">
        <v>19</v>
      </c>
      <c r="C1524" s="7" t="s">
        <v>599</v>
      </c>
      <c r="D1524" t="str">
        <f t="shared" si="32"/>
        <v>GHA</v>
      </c>
    </row>
    <row r="1525" spans="1:4" ht="15.6" thickTop="1" thickBot="1">
      <c r="A1525" s="7"/>
      <c r="B1525" s="7" t="s">
        <v>21</v>
      </c>
      <c r="C1525" s="7" t="s">
        <v>598</v>
      </c>
      <c r="D1525" t="str">
        <f t="shared" si="32"/>
        <v>GHA</v>
      </c>
    </row>
    <row r="1526" spans="1:4" ht="15.6" thickTop="1" thickBot="1">
      <c r="A1526" s="7"/>
      <c r="B1526" s="7" t="s">
        <v>16</v>
      </c>
      <c r="C1526" s="7" t="s">
        <v>597</v>
      </c>
      <c r="D1526" t="str">
        <f t="shared" si="32"/>
        <v>GHA</v>
      </c>
    </row>
    <row r="1527" spans="1:4" ht="15.6" thickTop="1" thickBot="1">
      <c r="A1527" s="7"/>
      <c r="B1527" s="7" t="s">
        <v>17</v>
      </c>
      <c r="C1527" s="7" t="s">
        <v>598</v>
      </c>
      <c r="D1527" t="str">
        <f t="shared" si="32"/>
        <v>GHA</v>
      </c>
    </row>
    <row r="1528" spans="1:4" ht="15.6" thickTop="1" thickBot="1">
      <c r="A1528" s="9" t="s">
        <v>600</v>
      </c>
      <c r="B1528" s="10"/>
      <c r="C1528" s="11"/>
      <c r="D1528" t="str">
        <f t="shared" si="32"/>
        <v>GRC</v>
      </c>
    </row>
    <row r="1529" spans="1:4" ht="49.2" thickTop="1" thickBot="1">
      <c r="A1529" s="7"/>
      <c r="B1529" s="7" t="s">
        <v>9</v>
      </c>
      <c r="C1529" s="7">
        <v>2017</v>
      </c>
      <c r="D1529" t="str">
        <f t="shared" si="32"/>
        <v>GRC</v>
      </c>
    </row>
    <row r="1530" spans="1:4" ht="39.6" thickTop="1" thickBot="1">
      <c r="A1530" s="7"/>
      <c r="B1530" s="7" t="s">
        <v>10</v>
      </c>
      <c r="C1530" s="7">
        <v>2018</v>
      </c>
      <c r="D1530" t="str">
        <f t="shared" si="32"/>
        <v>GRC</v>
      </c>
    </row>
    <row r="1531" spans="1:4" ht="30" thickTop="1" thickBot="1">
      <c r="A1531" s="7"/>
      <c r="B1531" s="7" t="s">
        <v>25</v>
      </c>
      <c r="C1531" s="8">
        <v>128900</v>
      </c>
      <c r="D1531" t="str">
        <f t="shared" si="32"/>
        <v>GRC</v>
      </c>
    </row>
    <row r="1532" spans="1:4" ht="20.399999999999999" thickTop="1" thickBot="1">
      <c r="A1532" s="7"/>
      <c r="B1532" s="7" t="s">
        <v>26</v>
      </c>
      <c r="C1532" s="7" t="s">
        <v>601</v>
      </c>
      <c r="D1532" t="str">
        <f t="shared" si="32"/>
        <v>GRC</v>
      </c>
    </row>
    <row r="1533" spans="1:4" ht="20.399999999999999" thickTop="1" thickBot="1">
      <c r="A1533" s="7"/>
      <c r="B1533" s="7" t="s">
        <v>28</v>
      </c>
      <c r="C1533" s="7" t="s">
        <v>602</v>
      </c>
      <c r="D1533" t="str">
        <f t="shared" si="32"/>
        <v>GRC</v>
      </c>
    </row>
    <row r="1534" spans="1:4" ht="20.399999999999999" thickTop="1" thickBot="1">
      <c r="A1534" s="7"/>
      <c r="B1534" s="7" t="s">
        <v>30</v>
      </c>
      <c r="C1534" s="7" t="s">
        <v>603</v>
      </c>
      <c r="D1534" t="str">
        <f t="shared" si="32"/>
        <v>GRC</v>
      </c>
    </row>
    <row r="1535" spans="1:4" ht="20.399999999999999" thickTop="1" thickBot="1">
      <c r="A1535" s="7"/>
      <c r="B1535" s="7" t="s">
        <v>32</v>
      </c>
      <c r="C1535" s="7" t="s">
        <v>33</v>
      </c>
      <c r="D1535" t="str">
        <f t="shared" si="32"/>
        <v>GRC</v>
      </c>
    </row>
    <row r="1536" spans="1:4" ht="20.399999999999999" thickTop="1" thickBot="1">
      <c r="A1536" s="7"/>
      <c r="B1536" s="7" t="s">
        <v>1</v>
      </c>
      <c r="C1536" s="7" t="s">
        <v>35</v>
      </c>
      <c r="D1536" t="str">
        <f t="shared" si="32"/>
        <v>GRC</v>
      </c>
    </row>
    <row r="1537" spans="1:4" ht="30" thickTop="1" thickBot="1">
      <c r="A1537" s="7"/>
      <c r="B1537" s="7" t="s">
        <v>3</v>
      </c>
      <c r="C1537" s="7" t="s">
        <v>59</v>
      </c>
      <c r="D1537" t="str">
        <f t="shared" si="32"/>
        <v>GRC</v>
      </c>
    </row>
    <row r="1538" spans="1:4" ht="20.399999999999999" thickTop="1" thickBot="1">
      <c r="A1538" s="7"/>
      <c r="B1538" s="7" t="s">
        <v>5</v>
      </c>
      <c r="C1538" s="7" t="s">
        <v>37</v>
      </c>
      <c r="D1538" t="str">
        <f t="shared" ref="D1538:D1601" si="33">IF(ISNUMBER(FIND(":", A1538)), LEFT(A1538, FIND(":", A1538) - 1), D1537)</f>
        <v>GRC</v>
      </c>
    </row>
    <row r="1539" spans="1:4" ht="30" thickTop="1" thickBot="1">
      <c r="A1539" s="7"/>
      <c r="B1539" s="7" t="s">
        <v>7</v>
      </c>
      <c r="C1539" s="7" t="s">
        <v>60</v>
      </c>
      <c r="D1539" t="str">
        <f t="shared" si="33"/>
        <v>GRC</v>
      </c>
    </row>
    <row r="1540" spans="1:4" ht="15.6" thickTop="1" thickBot="1">
      <c r="A1540" s="7"/>
      <c r="B1540" s="7" t="s">
        <v>11</v>
      </c>
      <c r="C1540" s="7" t="s">
        <v>604</v>
      </c>
      <c r="D1540" t="str">
        <f t="shared" si="33"/>
        <v>GRC</v>
      </c>
    </row>
    <row r="1541" spans="1:4" ht="15.6" thickTop="1" thickBot="1">
      <c r="A1541" s="7"/>
      <c r="B1541" s="7" t="s">
        <v>13</v>
      </c>
      <c r="C1541" s="7" t="s">
        <v>604</v>
      </c>
      <c r="D1541" t="str">
        <f t="shared" si="33"/>
        <v>GRC</v>
      </c>
    </row>
    <row r="1542" spans="1:4" ht="15.6" thickTop="1" thickBot="1">
      <c r="A1542" s="7"/>
      <c r="B1542" s="7" t="s">
        <v>15</v>
      </c>
      <c r="C1542" s="7" t="s">
        <v>605</v>
      </c>
      <c r="D1542" t="str">
        <f t="shared" si="33"/>
        <v>GRC</v>
      </c>
    </row>
    <row r="1543" spans="1:4" ht="15.6" thickTop="1" thickBot="1">
      <c r="A1543" s="7"/>
      <c r="B1543" s="7" t="s">
        <v>16</v>
      </c>
      <c r="C1543" s="7" t="s">
        <v>604</v>
      </c>
      <c r="D1543" t="str">
        <f t="shared" si="33"/>
        <v>GRC</v>
      </c>
    </row>
    <row r="1544" spans="1:4" ht="15.6" thickTop="1" thickBot="1">
      <c r="A1544" s="7"/>
      <c r="B1544" s="7" t="s">
        <v>17</v>
      </c>
      <c r="C1544" s="7" t="s">
        <v>606</v>
      </c>
      <c r="D1544" t="str">
        <f t="shared" si="33"/>
        <v>GRC</v>
      </c>
    </row>
    <row r="1545" spans="1:4" ht="15.6" thickTop="1" thickBot="1">
      <c r="A1545" s="7"/>
      <c r="B1545" s="7" t="s">
        <v>18</v>
      </c>
      <c r="C1545" s="7" t="s">
        <v>606</v>
      </c>
      <c r="D1545" t="str">
        <f t="shared" si="33"/>
        <v>GRC</v>
      </c>
    </row>
    <row r="1546" spans="1:4" ht="15.6" thickTop="1" thickBot="1">
      <c r="A1546" s="7"/>
      <c r="B1546" s="7" t="s">
        <v>19</v>
      </c>
      <c r="C1546" s="7" t="s">
        <v>607</v>
      </c>
      <c r="D1546" t="str">
        <f t="shared" si="33"/>
        <v>GRC</v>
      </c>
    </row>
    <row r="1547" spans="1:4" ht="15.6" thickTop="1" thickBot="1">
      <c r="A1547" s="7"/>
      <c r="B1547" s="7" t="s">
        <v>21</v>
      </c>
      <c r="C1547" s="7" t="s">
        <v>605</v>
      </c>
      <c r="D1547" t="str">
        <f t="shared" si="33"/>
        <v>GRC</v>
      </c>
    </row>
    <row r="1548" spans="1:4" ht="15.6" thickTop="1" thickBot="1">
      <c r="A1548" s="7"/>
      <c r="B1548" s="7" t="s">
        <v>22</v>
      </c>
      <c r="C1548" s="7" t="s">
        <v>604</v>
      </c>
      <c r="D1548" t="str">
        <f t="shared" si="33"/>
        <v>GRC</v>
      </c>
    </row>
    <row r="1549" spans="1:4" ht="15.6" thickTop="1" thickBot="1">
      <c r="A1549" s="7"/>
      <c r="B1549" s="7" t="s">
        <v>23</v>
      </c>
      <c r="C1549" s="7" t="s">
        <v>606</v>
      </c>
      <c r="D1549" t="str">
        <f t="shared" si="33"/>
        <v>GRC</v>
      </c>
    </row>
    <row r="1550" spans="1:4" ht="15.6" thickTop="1" thickBot="1">
      <c r="A1550" s="7"/>
      <c r="B1550" s="7" t="s">
        <v>24</v>
      </c>
      <c r="C1550" s="7">
        <v>4140</v>
      </c>
      <c r="D1550" t="str">
        <f t="shared" si="33"/>
        <v>GRC</v>
      </c>
    </row>
    <row r="1551" spans="1:4" ht="20.399999999999999" thickTop="1" thickBot="1">
      <c r="A1551" s="9" t="s">
        <v>608</v>
      </c>
      <c r="B1551" s="10"/>
      <c r="C1551" s="11"/>
      <c r="D1551" t="str">
        <f t="shared" si="33"/>
        <v>GRD</v>
      </c>
    </row>
    <row r="1552" spans="1:4" ht="49.2" thickTop="1" thickBot="1">
      <c r="A1552" s="7"/>
      <c r="B1552" s="7" t="s">
        <v>9</v>
      </c>
      <c r="C1552" s="7">
        <v>2017</v>
      </c>
      <c r="D1552" t="str">
        <f t="shared" si="33"/>
        <v>GRD</v>
      </c>
    </row>
    <row r="1553" spans="1:4" ht="39.6" thickTop="1" thickBot="1">
      <c r="A1553" s="7"/>
      <c r="B1553" s="7" t="s">
        <v>10</v>
      </c>
      <c r="C1553" s="7">
        <v>2018</v>
      </c>
      <c r="D1553" t="str">
        <f t="shared" si="33"/>
        <v>GRD</v>
      </c>
    </row>
    <row r="1554" spans="1:4" ht="30" thickTop="1" thickBot="1">
      <c r="A1554" s="7"/>
      <c r="B1554" s="7" t="s">
        <v>25</v>
      </c>
      <c r="C1554" s="7">
        <v>340</v>
      </c>
      <c r="D1554" t="str">
        <f t="shared" si="33"/>
        <v>GRD</v>
      </c>
    </row>
    <row r="1555" spans="1:4" ht="30" thickTop="1" thickBot="1">
      <c r="A1555" s="7"/>
      <c r="B1555" s="7" t="s">
        <v>26</v>
      </c>
      <c r="C1555" s="7" t="s">
        <v>461</v>
      </c>
      <c r="D1555" t="str">
        <f t="shared" si="33"/>
        <v>GRD</v>
      </c>
    </row>
    <row r="1556" spans="1:4" ht="20.399999999999999" thickTop="1" thickBot="1">
      <c r="A1556" s="7"/>
      <c r="B1556" s="7" t="s">
        <v>28</v>
      </c>
      <c r="C1556" s="7" t="s">
        <v>609</v>
      </c>
      <c r="D1556" t="str">
        <f t="shared" si="33"/>
        <v>GRD</v>
      </c>
    </row>
    <row r="1557" spans="1:4" ht="20.399999999999999" thickTop="1" thickBot="1">
      <c r="A1557" s="7"/>
      <c r="B1557" s="7" t="s">
        <v>30</v>
      </c>
      <c r="C1557" s="7" t="s">
        <v>610</v>
      </c>
      <c r="D1557" t="str">
        <f t="shared" si="33"/>
        <v>GRD</v>
      </c>
    </row>
    <row r="1558" spans="1:4" ht="20.399999999999999" thickTop="1" thickBot="1">
      <c r="A1558" s="7"/>
      <c r="B1558" s="7" t="s">
        <v>32</v>
      </c>
      <c r="C1558" s="7" t="s">
        <v>33</v>
      </c>
      <c r="D1558" t="str">
        <f t="shared" si="33"/>
        <v>GRD</v>
      </c>
    </row>
    <row r="1559" spans="1:4" ht="20.399999999999999" thickTop="1" thickBot="1">
      <c r="A1559" s="7"/>
      <c r="B1559" s="7" t="s">
        <v>1</v>
      </c>
      <c r="C1559" s="7" t="s">
        <v>79</v>
      </c>
      <c r="D1559" t="str">
        <f t="shared" si="33"/>
        <v>GRD</v>
      </c>
    </row>
    <row r="1560" spans="1:4" ht="30" thickTop="1" thickBot="1">
      <c r="A1560" s="7"/>
      <c r="B1560" s="7" t="s">
        <v>3</v>
      </c>
      <c r="C1560" s="7" t="s">
        <v>36</v>
      </c>
      <c r="D1560" t="str">
        <f t="shared" si="33"/>
        <v>GRD</v>
      </c>
    </row>
    <row r="1561" spans="1:4" ht="20.399999999999999" thickTop="1" thickBot="1">
      <c r="A1561" s="7"/>
      <c r="B1561" s="7" t="s">
        <v>5</v>
      </c>
      <c r="C1561" s="7" t="s">
        <v>80</v>
      </c>
      <c r="D1561" t="str">
        <f t="shared" si="33"/>
        <v>GRD</v>
      </c>
    </row>
    <row r="1562" spans="1:4" ht="30" thickTop="1" thickBot="1">
      <c r="A1562" s="7"/>
      <c r="B1562" s="7" t="s">
        <v>7</v>
      </c>
      <c r="C1562" s="7" t="s">
        <v>38</v>
      </c>
      <c r="D1562" t="str">
        <f t="shared" si="33"/>
        <v>GRD</v>
      </c>
    </row>
    <row r="1563" spans="1:4" ht="15.6" thickTop="1" thickBot="1">
      <c r="A1563" s="7"/>
      <c r="B1563" s="7" t="s">
        <v>11</v>
      </c>
      <c r="C1563" s="7" t="s">
        <v>611</v>
      </c>
      <c r="D1563" t="str">
        <f t="shared" si="33"/>
        <v>GRD</v>
      </c>
    </row>
    <row r="1564" spans="1:4" ht="15.6" thickTop="1" thickBot="1">
      <c r="A1564" s="7"/>
      <c r="B1564" s="7" t="s">
        <v>13</v>
      </c>
      <c r="C1564" s="7" t="s">
        <v>612</v>
      </c>
      <c r="D1564" t="str">
        <f t="shared" si="33"/>
        <v>GRD</v>
      </c>
    </row>
    <row r="1565" spans="1:4" ht="15.6" thickTop="1" thickBot="1">
      <c r="A1565" s="7"/>
      <c r="B1565" s="7" t="s">
        <v>23</v>
      </c>
      <c r="C1565" s="7" t="s">
        <v>613</v>
      </c>
      <c r="D1565" t="str">
        <f t="shared" si="33"/>
        <v>GRD</v>
      </c>
    </row>
    <row r="1566" spans="1:4" ht="15.6" thickTop="1" thickBot="1">
      <c r="A1566" s="7"/>
      <c r="B1566" s="7" t="s">
        <v>24</v>
      </c>
      <c r="C1566" s="7">
        <v>2230</v>
      </c>
      <c r="D1566" t="str">
        <f t="shared" si="33"/>
        <v>GRD</v>
      </c>
    </row>
    <row r="1567" spans="1:4" ht="15.6" thickTop="1" thickBot="1">
      <c r="A1567" s="7"/>
      <c r="B1567" s="7" t="s">
        <v>21</v>
      </c>
      <c r="C1567" s="7" t="s">
        <v>614</v>
      </c>
      <c r="D1567" t="str">
        <f t="shared" si="33"/>
        <v>GRD</v>
      </c>
    </row>
    <row r="1568" spans="1:4" ht="15.6" thickTop="1" thickBot="1">
      <c r="A1568" s="7"/>
      <c r="B1568" s="7" t="s">
        <v>22</v>
      </c>
      <c r="C1568" s="7" t="s">
        <v>615</v>
      </c>
      <c r="D1568" t="str">
        <f t="shared" si="33"/>
        <v>GRD</v>
      </c>
    </row>
    <row r="1569" spans="1:4" ht="15.6" thickTop="1" thickBot="1">
      <c r="A1569" s="7"/>
      <c r="B1569" s="7" t="s">
        <v>18</v>
      </c>
      <c r="C1569" s="7" t="s">
        <v>613</v>
      </c>
      <c r="D1569" t="str">
        <f t="shared" si="33"/>
        <v>GRD</v>
      </c>
    </row>
    <row r="1570" spans="1:4" ht="15.6" thickTop="1" thickBot="1">
      <c r="A1570" s="7"/>
      <c r="B1570" s="7" t="s">
        <v>19</v>
      </c>
      <c r="C1570" s="7" t="s">
        <v>616</v>
      </c>
      <c r="D1570" t="str">
        <f t="shared" si="33"/>
        <v>GRD</v>
      </c>
    </row>
    <row r="1571" spans="1:4" ht="15.6" thickTop="1" thickBot="1">
      <c r="A1571" s="7"/>
      <c r="B1571" s="7" t="s">
        <v>17</v>
      </c>
      <c r="C1571" s="7" t="s">
        <v>613</v>
      </c>
      <c r="D1571" t="str">
        <f t="shared" si="33"/>
        <v>GRD</v>
      </c>
    </row>
    <row r="1572" spans="1:4" ht="15.6" thickTop="1" thickBot="1">
      <c r="A1572" s="7"/>
      <c r="B1572" s="7" t="s">
        <v>15</v>
      </c>
      <c r="C1572" s="7" t="s">
        <v>617</v>
      </c>
      <c r="D1572" t="str">
        <f t="shared" si="33"/>
        <v>GRD</v>
      </c>
    </row>
    <row r="1573" spans="1:4" ht="15.6" thickTop="1" thickBot="1">
      <c r="A1573" s="7"/>
      <c r="B1573" s="7" t="s">
        <v>16</v>
      </c>
      <c r="C1573" s="7" t="s">
        <v>615</v>
      </c>
      <c r="D1573" t="str">
        <f t="shared" si="33"/>
        <v>GRD</v>
      </c>
    </row>
    <row r="1574" spans="1:4" ht="20.399999999999999" thickTop="1" thickBot="1">
      <c r="A1574" s="9" t="s">
        <v>618</v>
      </c>
      <c r="B1574" s="10"/>
      <c r="C1574" s="11"/>
      <c r="D1574" t="str">
        <f t="shared" si="33"/>
        <v>GTM</v>
      </c>
    </row>
    <row r="1575" spans="1:4" ht="49.2" thickTop="1" thickBot="1">
      <c r="A1575" s="7"/>
      <c r="B1575" s="7" t="s">
        <v>9</v>
      </c>
      <c r="C1575" s="7">
        <v>2017</v>
      </c>
      <c r="D1575" t="str">
        <f t="shared" si="33"/>
        <v>GTM</v>
      </c>
    </row>
    <row r="1576" spans="1:4" ht="39.6" thickTop="1" thickBot="1">
      <c r="A1576" s="7"/>
      <c r="B1576" s="7" t="s">
        <v>10</v>
      </c>
      <c r="C1576" s="7">
        <v>2018</v>
      </c>
      <c r="D1576" t="str">
        <f t="shared" si="33"/>
        <v>GTM</v>
      </c>
    </row>
    <row r="1577" spans="1:4" ht="30" thickTop="1" thickBot="1">
      <c r="A1577" s="7"/>
      <c r="B1577" s="7" t="s">
        <v>25</v>
      </c>
      <c r="C1577" s="8">
        <v>107160</v>
      </c>
      <c r="D1577" t="str">
        <f t="shared" si="33"/>
        <v>GTM</v>
      </c>
    </row>
    <row r="1578" spans="1:4" ht="30" thickTop="1" thickBot="1">
      <c r="A1578" s="7"/>
      <c r="B1578" s="7" t="s">
        <v>26</v>
      </c>
      <c r="C1578" s="7" t="s">
        <v>494</v>
      </c>
      <c r="D1578" t="str">
        <f t="shared" si="33"/>
        <v>GTM</v>
      </c>
    </row>
    <row r="1579" spans="1:4" ht="20.399999999999999" thickTop="1" thickBot="1">
      <c r="A1579" s="7"/>
      <c r="B1579" s="7" t="s">
        <v>28</v>
      </c>
      <c r="C1579" s="7" t="s">
        <v>619</v>
      </c>
      <c r="D1579" t="str">
        <f t="shared" si="33"/>
        <v>GTM</v>
      </c>
    </row>
    <row r="1580" spans="1:4" ht="20.399999999999999" thickTop="1" thickBot="1">
      <c r="A1580" s="7"/>
      <c r="B1580" s="7" t="s">
        <v>30</v>
      </c>
      <c r="C1580" s="7" t="s">
        <v>619</v>
      </c>
      <c r="D1580" t="str">
        <f t="shared" si="33"/>
        <v>GTM</v>
      </c>
    </row>
    <row r="1581" spans="1:4" ht="20.399999999999999" thickTop="1" thickBot="1">
      <c r="A1581" s="7"/>
      <c r="B1581" s="7" t="s">
        <v>32</v>
      </c>
      <c r="C1581" s="7" t="s">
        <v>33</v>
      </c>
      <c r="D1581" t="str">
        <f t="shared" si="33"/>
        <v>GTM</v>
      </c>
    </row>
    <row r="1582" spans="1:4" ht="20.399999999999999" thickTop="1" thickBot="1">
      <c r="A1582" s="7"/>
      <c r="B1582" s="7" t="s">
        <v>1</v>
      </c>
      <c r="C1582" s="7" t="s">
        <v>79</v>
      </c>
      <c r="D1582" t="str">
        <f t="shared" si="33"/>
        <v>GTM</v>
      </c>
    </row>
    <row r="1583" spans="1:4" ht="30" thickTop="1" thickBot="1">
      <c r="A1583" s="7"/>
      <c r="B1583" s="7" t="s">
        <v>3</v>
      </c>
      <c r="C1583" s="7" t="s">
        <v>36</v>
      </c>
      <c r="D1583" t="str">
        <f t="shared" si="33"/>
        <v>GTM</v>
      </c>
    </row>
    <row r="1584" spans="1:4" ht="20.399999999999999" thickTop="1" thickBot="1">
      <c r="A1584" s="7"/>
      <c r="B1584" s="7" t="s">
        <v>5</v>
      </c>
      <c r="C1584" s="7" t="s">
        <v>80</v>
      </c>
      <c r="D1584" t="str">
        <f t="shared" si="33"/>
        <v>GTM</v>
      </c>
    </row>
    <row r="1585" spans="1:4" ht="30" thickTop="1" thickBot="1">
      <c r="A1585" s="7"/>
      <c r="B1585" s="7" t="s">
        <v>7</v>
      </c>
      <c r="C1585" s="7" t="s">
        <v>38</v>
      </c>
      <c r="D1585" t="str">
        <f t="shared" si="33"/>
        <v>GTM</v>
      </c>
    </row>
    <row r="1586" spans="1:4" ht="15.6" thickTop="1" thickBot="1">
      <c r="A1586" s="7"/>
      <c r="B1586" s="7" t="s">
        <v>11</v>
      </c>
      <c r="C1586" s="7" t="s">
        <v>620</v>
      </c>
      <c r="D1586" t="str">
        <f t="shared" si="33"/>
        <v>GTM</v>
      </c>
    </row>
    <row r="1587" spans="1:4" ht="15.6" thickTop="1" thickBot="1">
      <c r="A1587" s="7"/>
      <c r="B1587" s="7" t="s">
        <v>13</v>
      </c>
      <c r="C1587" s="7" t="s">
        <v>621</v>
      </c>
      <c r="D1587" t="str">
        <f t="shared" si="33"/>
        <v>GTM</v>
      </c>
    </row>
    <row r="1588" spans="1:4" ht="15.6" thickTop="1" thickBot="1">
      <c r="A1588" s="7"/>
      <c r="B1588" s="7" t="s">
        <v>15</v>
      </c>
      <c r="C1588" s="7" t="s">
        <v>622</v>
      </c>
      <c r="D1588" t="str">
        <f t="shared" si="33"/>
        <v>GTM</v>
      </c>
    </row>
    <row r="1589" spans="1:4" ht="15.6" thickTop="1" thickBot="1">
      <c r="A1589" s="7"/>
      <c r="B1589" s="7" t="s">
        <v>22</v>
      </c>
      <c r="C1589" s="7" t="s">
        <v>623</v>
      </c>
      <c r="D1589" t="str">
        <f t="shared" si="33"/>
        <v>GTM</v>
      </c>
    </row>
    <row r="1590" spans="1:4" ht="15.6" thickTop="1" thickBot="1">
      <c r="A1590" s="7"/>
      <c r="B1590" s="7" t="s">
        <v>23</v>
      </c>
      <c r="C1590" s="7" t="s">
        <v>624</v>
      </c>
      <c r="D1590" t="str">
        <f t="shared" si="33"/>
        <v>GTM</v>
      </c>
    </row>
    <row r="1591" spans="1:4" ht="15.6" thickTop="1" thickBot="1">
      <c r="A1591" s="7"/>
      <c r="B1591" s="7" t="s">
        <v>24</v>
      </c>
      <c r="C1591" s="7">
        <v>2250</v>
      </c>
      <c r="D1591" t="str">
        <f t="shared" si="33"/>
        <v>GTM</v>
      </c>
    </row>
    <row r="1592" spans="1:4" ht="15.6" thickTop="1" thickBot="1">
      <c r="A1592" s="7"/>
      <c r="B1592" s="7" t="s">
        <v>18</v>
      </c>
      <c r="C1592" s="7" t="s">
        <v>624</v>
      </c>
      <c r="D1592" t="str">
        <f t="shared" si="33"/>
        <v>GTM</v>
      </c>
    </row>
    <row r="1593" spans="1:4" ht="15.6" thickTop="1" thickBot="1">
      <c r="A1593" s="7"/>
      <c r="B1593" s="7" t="s">
        <v>19</v>
      </c>
      <c r="C1593" s="7" t="s">
        <v>625</v>
      </c>
      <c r="D1593" t="str">
        <f t="shared" si="33"/>
        <v>GTM</v>
      </c>
    </row>
    <row r="1594" spans="1:4" ht="15.6" thickTop="1" thickBot="1">
      <c r="A1594" s="7"/>
      <c r="B1594" s="7" t="s">
        <v>21</v>
      </c>
      <c r="C1594" s="7" t="s">
        <v>626</v>
      </c>
      <c r="D1594" t="str">
        <f t="shared" si="33"/>
        <v>GTM</v>
      </c>
    </row>
    <row r="1595" spans="1:4" ht="15.6" thickTop="1" thickBot="1">
      <c r="A1595" s="7"/>
      <c r="B1595" s="7" t="s">
        <v>16</v>
      </c>
      <c r="C1595" s="7" t="s">
        <v>621</v>
      </c>
      <c r="D1595" t="str">
        <f t="shared" si="33"/>
        <v>GTM</v>
      </c>
    </row>
    <row r="1596" spans="1:4" ht="15.6" thickTop="1" thickBot="1">
      <c r="A1596" s="7"/>
      <c r="B1596" s="7" t="s">
        <v>17</v>
      </c>
      <c r="C1596" s="7" t="s">
        <v>624</v>
      </c>
      <c r="D1596" t="str">
        <f t="shared" si="33"/>
        <v>GTM</v>
      </c>
    </row>
    <row r="1597" spans="1:4" ht="15.6" thickTop="1" thickBot="1">
      <c r="A1597" s="9" t="s">
        <v>627</v>
      </c>
      <c r="B1597" s="10"/>
      <c r="C1597" s="11"/>
      <c r="D1597" t="str">
        <f t="shared" si="33"/>
        <v>GIN</v>
      </c>
    </row>
    <row r="1598" spans="1:4" ht="49.2" thickTop="1" thickBot="1">
      <c r="A1598" s="7"/>
      <c r="B1598" s="7" t="s">
        <v>9</v>
      </c>
      <c r="C1598" s="7">
        <v>2017</v>
      </c>
      <c r="D1598" t="str">
        <f t="shared" si="33"/>
        <v>GIN</v>
      </c>
    </row>
    <row r="1599" spans="1:4" ht="39.6" thickTop="1" thickBot="1">
      <c r="A1599" s="7"/>
      <c r="B1599" s="7" t="s">
        <v>10</v>
      </c>
      <c r="C1599" s="7">
        <v>2018</v>
      </c>
      <c r="D1599" t="str">
        <f t="shared" si="33"/>
        <v>GIN</v>
      </c>
    </row>
    <row r="1600" spans="1:4" ht="30" thickTop="1" thickBot="1">
      <c r="A1600" s="7"/>
      <c r="B1600" s="7" t="s">
        <v>25</v>
      </c>
      <c r="C1600" s="8">
        <v>245720</v>
      </c>
      <c r="D1600" t="str">
        <f t="shared" si="33"/>
        <v>GIN</v>
      </c>
    </row>
    <row r="1601" spans="1:4" ht="20.399999999999999" thickTop="1" thickBot="1">
      <c r="A1601" s="7"/>
      <c r="B1601" s="7" t="s">
        <v>26</v>
      </c>
      <c r="C1601" s="7" t="s">
        <v>628</v>
      </c>
      <c r="D1601" t="str">
        <f t="shared" si="33"/>
        <v>GIN</v>
      </c>
    </row>
    <row r="1602" spans="1:4" ht="20.399999999999999" thickTop="1" thickBot="1">
      <c r="A1602" s="7"/>
      <c r="B1602" s="7" t="s">
        <v>28</v>
      </c>
      <c r="C1602" s="7" t="s">
        <v>629</v>
      </c>
      <c r="D1602" t="str">
        <f t="shared" ref="D1602:D1665" si="34">IF(ISNUMBER(FIND(":", A1602)), LEFT(A1602, FIND(":", A1602) - 1), D1601)</f>
        <v>GIN</v>
      </c>
    </row>
    <row r="1603" spans="1:4" ht="20.399999999999999" thickTop="1" thickBot="1">
      <c r="A1603" s="7"/>
      <c r="B1603" s="7" t="s">
        <v>30</v>
      </c>
      <c r="C1603" s="7" t="s">
        <v>630</v>
      </c>
      <c r="D1603" t="str">
        <f t="shared" si="34"/>
        <v>GIN</v>
      </c>
    </row>
    <row r="1604" spans="1:4" ht="20.399999999999999" thickTop="1" thickBot="1">
      <c r="A1604" s="7"/>
      <c r="B1604" s="7" t="s">
        <v>32</v>
      </c>
      <c r="C1604" s="7" t="s">
        <v>33</v>
      </c>
      <c r="D1604" t="str">
        <f t="shared" si="34"/>
        <v>GIN</v>
      </c>
    </row>
    <row r="1605" spans="1:4" ht="20.399999999999999" thickTop="1" thickBot="1">
      <c r="A1605" s="7"/>
      <c r="B1605" s="7" t="s">
        <v>1</v>
      </c>
      <c r="C1605" s="7" t="s">
        <v>50</v>
      </c>
      <c r="D1605" t="str">
        <f t="shared" si="34"/>
        <v>GIN</v>
      </c>
    </row>
    <row r="1606" spans="1:4" ht="30" thickTop="1" thickBot="1">
      <c r="A1606" s="7"/>
      <c r="B1606" s="7" t="s">
        <v>3</v>
      </c>
      <c r="C1606" s="7" t="s">
        <v>4</v>
      </c>
      <c r="D1606" t="str">
        <f t="shared" si="34"/>
        <v>GIN</v>
      </c>
    </row>
    <row r="1607" spans="1:4" ht="20.399999999999999" thickTop="1" thickBot="1">
      <c r="A1607" s="7"/>
      <c r="B1607" s="7" t="s">
        <v>5</v>
      </c>
      <c r="C1607" s="7" t="s">
        <v>51</v>
      </c>
      <c r="D1607" t="str">
        <f t="shared" si="34"/>
        <v>GIN</v>
      </c>
    </row>
    <row r="1608" spans="1:4" ht="30" thickTop="1" thickBot="1">
      <c r="A1608" s="7"/>
      <c r="B1608" s="7" t="s">
        <v>7</v>
      </c>
      <c r="C1608" s="7" t="s">
        <v>8</v>
      </c>
      <c r="D1608" t="str">
        <f t="shared" si="34"/>
        <v>GIN</v>
      </c>
    </row>
    <row r="1609" spans="1:4" ht="15.6" thickTop="1" thickBot="1">
      <c r="A1609" s="7"/>
      <c r="B1609" s="7" t="s">
        <v>11</v>
      </c>
      <c r="C1609" s="7" t="s">
        <v>631</v>
      </c>
      <c r="D1609" t="str">
        <f t="shared" si="34"/>
        <v>GIN</v>
      </c>
    </row>
    <row r="1610" spans="1:4" ht="15.6" thickTop="1" thickBot="1">
      <c r="A1610" s="7"/>
      <c r="B1610" s="7" t="s">
        <v>13</v>
      </c>
      <c r="C1610" s="7" t="s">
        <v>632</v>
      </c>
      <c r="D1610" t="str">
        <f t="shared" si="34"/>
        <v>GIN</v>
      </c>
    </row>
    <row r="1611" spans="1:4" ht="15.6" thickTop="1" thickBot="1">
      <c r="A1611" s="7"/>
      <c r="B1611" s="7" t="s">
        <v>15</v>
      </c>
      <c r="C1611" s="7" t="s">
        <v>633</v>
      </c>
      <c r="D1611" t="str">
        <f t="shared" si="34"/>
        <v>GIN</v>
      </c>
    </row>
    <row r="1612" spans="1:4" ht="15.6" thickTop="1" thickBot="1">
      <c r="A1612" s="7"/>
      <c r="B1612" s="7" t="s">
        <v>16</v>
      </c>
      <c r="C1612" s="7" t="s">
        <v>634</v>
      </c>
      <c r="D1612" t="str">
        <f t="shared" si="34"/>
        <v>GIN</v>
      </c>
    </row>
    <row r="1613" spans="1:4" ht="15.6" thickTop="1" thickBot="1">
      <c r="A1613" s="7"/>
      <c r="B1613" s="7" t="s">
        <v>17</v>
      </c>
      <c r="C1613" s="7" t="s">
        <v>635</v>
      </c>
      <c r="D1613" t="str">
        <f t="shared" si="34"/>
        <v>GIN</v>
      </c>
    </row>
    <row r="1614" spans="1:4" ht="15.6" thickTop="1" thickBot="1">
      <c r="A1614" s="7"/>
      <c r="B1614" s="7" t="s">
        <v>18</v>
      </c>
      <c r="C1614" s="7" t="s">
        <v>633</v>
      </c>
      <c r="D1614" t="str">
        <f t="shared" si="34"/>
        <v>GIN</v>
      </c>
    </row>
    <row r="1615" spans="1:4" ht="15.6" thickTop="1" thickBot="1">
      <c r="A1615" s="7"/>
      <c r="B1615" s="7" t="s">
        <v>19</v>
      </c>
      <c r="C1615" s="7" t="s">
        <v>636</v>
      </c>
      <c r="D1615" t="str">
        <f t="shared" si="34"/>
        <v>GIN</v>
      </c>
    </row>
    <row r="1616" spans="1:4" ht="15.6" thickTop="1" thickBot="1">
      <c r="A1616" s="7"/>
      <c r="B1616" s="7" t="s">
        <v>21</v>
      </c>
      <c r="C1616" s="7" t="s">
        <v>633</v>
      </c>
      <c r="D1616" t="str">
        <f t="shared" si="34"/>
        <v>GIN</v>
      </c>
    </row>
    <row r="1617" spans="1:4" ht="15.6" thickTop="1" thickBot="1">
      <c r="A1617" s="7"/>
      <c r="B1617" s="7" t="s">
        <v>22</v>
      </c>
      <c r="C1617" s="7" t="s">
        <v>634</v>
      </c>
      <c r="D1617" t="str">
        <f t="shared" si="34"/>
        <v>GIN</v>
      </c>
    </row>
    <row r="1618" spans="1:4" ht="15.6" thickTop="1" thickBot="1">
      <c r="A1618" s="7"/>
      <c r="B1618" s="7" t="s">
        <v>23</v>
      </c>
      <c r="C1618" s="7" t="s">
        <v>635</v>
      </c>
      <c r="D1618" t="str">
        <f t="shared" si="34"/>
        <v>GIN</v>
      </c>
    </row>
    <row r="1619" spans="1:4" ht="15.6" thickTop="1" thickBot="1">
      <c r="A1619" s="7"/>
      <c r="B1619" s="7" t="s">
        <v>24</v>
      </c>
      <c r="C1619" s="7">
        <v>1190</v>
      </c>
      <c r="D1619" t="str">
        <f t="shared" si="34"/>
        <v>GIN</v>
      </c>
    </row>
    <row r="1620" spans="1:4" ht="20.399999999999999" thickTop="1" thickBot="1">
      <c r="A1620" s="9" t="s">
        <v>637</v>
      </c>
      <c r="B1620" s="10"/>
      <c r="C1620" s="11"/>
      <c r="D1620" t="str">
        <f t="shared" si="34"/>
        <v>GNB</v>
      </c>
    </row>
    <row r="1621" spans="1:4" ht="49.2" thickTop="1" thickBot="1">
      <c r="A1621" s="7"/>
      <c r="B1621" s="7" t="s">
        <v>9</v>
      </c>
      <c r="C1621" s="7">
        <v>2017</v>
      </c>
      <c r="D1621" t="str">
        <f t="shared" si="34"/>
        <v>GNB</v>
      </c>
    </row>
    <row r="1622" spans="1:4" ht="39.6" thickTop="1" thickBot="1">
      <c r="A1622" s="7"/>
      <c r="B1622" s="7" t="s">
        <v>10</v>
      </c>
      <c r="C1622" s="7">
        <v>2018</v>
      </c>
      <c r="D1622" t="str">
        <f t="shared" si="34"/>
        <v>GNB</v>
      </c>
    </row>
    <row r="1623" spans="1:4" ht="30" thickTop="1" thickBot="1">
      <c r="A1623" s="7"/>
      <c r="B1623" s="7" t="s">
        <v>25</v>
      </c>
      <c r="C1623" s="8">
        <v>28120</v>
      </c>
      <c r="D1623" t="str">
        <f t="shared" si="34"/>
        <v>GNB</v>
      </c>
    </row>
    <row r="1624" spans="1:4" ht="39.6" thickTop="1" thickBot="1">
      <c r="A1624" s="7"/>
      <c r="B1624" s="7" t="s">
        <v>26</v>
      </c>
      <c r="C1624" s="7" t="s">
        <v>638</v>
      </c>
      <c r="D1624" t="str">
        <f t="shared" si="34"/>
        <v>GNB</v>
      </c>
    </row>
    <row r="1625" spans="1:4" ht="20.399999999999999" thickTop="1" thickBot="1">
      <c r="A1625" s="7"/>
      <c r="B1625" s="7" t="s">
        <v>28</v>
      </c>
      <c r="C1625" s="7" t="s">
        <v>639</v>
      </c>
      <c r="D1625" t="str">
        <f t="shared" si="34"/>
        <v>GNB</v>
      </c>
    </row>
    <row r="1626" spans="1:4" ht="20.399999999999999" thickTop="1" thickBot="1">
      <c r="A1626" s="7"/>
      <c r="B1626" s="7" t="s">
        <v>30</v>
      </c>
      <c r="C1626" s="7" t="s">
        <v>640</v>
      </c>
      <c r="D1626" t="str">
        <f t="shared" si="34"/>
        <v>GNB</v>
      </c>
    </row>
    <row r="1627" spans="1:4" ht="20.399999999999999" thickTop="1" thickBot="1">
      <c r="A1627" s="7"/>
      <c r="B1627" s="7" t="s">
        <v>32</v>
      </c>
      <c r="C1627" s="7" t="s">
        <v>33</v>
      </c>
      <c r="D1627" t="str">
        <f t="shared" si="34"/>
        <v>GNB</v>
      </c>
    </row>
    <row r="1628" spans="1:4" ht="20.399999999999999" thickTop="1" thickBot="1">
      <c r="A1628" s="7"/>
      <c r="B1628" s="7" t="s">
        <v>1</v>
      </c>
      <c r="C1628" s="7" t="s">
        <v>50</v>
      </c>
      <c r="D1628" t="str">
        <f t="shared" si="34"/>
        <v>GNB</v>
      </c>
    </row>
    <row r="1629" spans="1:4" ht="30" thickTop="1" thickBot="1">
      <c r="A1629" s="7"/>
      <c r="B1629" s="7" t="s">
        <v>3</v>
      </c>
      <c r="C1629" s="7" t="s">
        <v>4</v>
      </c>
      <c r="D1629" t="str">
        <f t="shared" si="34"/>
        <v>GNB</v>
      </c>
    </row>
    <row r="1630" spans="1:4" ht="20.399999999999999" thickTop="1" thickBot="1">
      <c r="A1630" s="7"/>
      <c r="B1630" s="7" t="s">
        <v>5</v>
      </c>
      <c r="C1630" s="7" t="s">
        <v>51</v>
      </c>
      <c r="D1630" t="str">
        <f t="shared" si="34"/>
        <v>GNB</v>
      </c>
    </row>
    <row r="1631" spans="1:4" ht="30" thickTop="1" thickBot="1">
      <c r="A1631" s="7"/>
      <c r="B1631" s="7" t="s">
        <v>7</v>
      </c>
      <c r="C1631" s="7" t="s">
        <v>8</v>
      </c>
      <c r="D1631" t="str">
        <f t="shared" si="34"/>
        <v>GNB</v>
      </c>
    </row>
    <row r="1632" spans="1:4" ht="15.6" thickTop="1" thickBot="1">
      <c r="A1632" s="7"/>
      <c r="B1632" s="7" t="s">
        <v>13</v>
      </c>
      <c r="C1632" s="7" t="s">
        <v>641</v>
      </c>
      <c r="D1632" t="str">
        <f t="shared" si="34"/>
        <v>GNB</v>
      </c>
    </row>
    <row r="1633" spans="1:4" ht="15.6" thickTop="1" thickBot="1">
      <c r="A1633" s="7"/>
      <c r="B1633" s="7" t="s">
        <v>15</v>
      </c>
      <c r="C1633" s="7" t="s">
        <v>642</v>
      </c>
      <c r="D1633" t="str">
        <f t="shared" si="34"/>
        <v>GNB</v>
      </c>
    </row>
    <row r="1634" spans="1:4" ht="15.6" thickTop="1" thickBot="1">
      <c r="A1634" s="7"/>
      <c r="B1634" s="7" t="s">
        <v>22</v>
      </c>
      <c r="C1634" s="7" t="s">
        <v>643</v>
      </c>
      <c r="D1634" t="str">
        <f t="shared" si="34"/>
        <v>GNB</v>
      </c>
    </row>
    <row r="1635" spans="1:4" ht="15.6" thickTop="1" thickBot="1">
      <c r="A1635" s="7"/>
      <c r="B1635" s="7" t="s">
        <v>23</v>
      </c>
      <c r="C1635" s="7" t="s">
        <v>644</v>
      </c>
      <c r="D1635" t="str">
        <f t="shared" si="34"/>
        <v>GNB</v>
      </c>
    </row>
    <row r="1636" spans="1:4" ht="15.6" thickTop="1" thickBot="1">
      <c r="A1636" s="7"/>
      <c r="B1636" s="7" t="s">
        <v>24</v>
      </c>
      <c r="C1636" s="7">
        <v>1192</v>
      </c>
      <c r="D1636" t="str">
        <f t="shared" si="34"/>
        <v>GNB</v>
      </c>
    </row>
    <row r="1637" spans="1:4" ht="15.6" thickTop="1" thickBot="1">
      <c r="A1637" s="7"/>
      <c r="B1637" s="7" t="s">
        <v>18</v>
      </c>
      <c r="C1637" s="7" t="s">
        <v>644</v>
      </c>
      <c r="D1637" t="str">
        <f t="shared" si="34"/>
        <v>GNB</v>
      </c>
    </row>
    <row r="1638" spans="1:4" ht="15.6" thickTop="1" thickBot="1">
      <c r="A1638" s="7"/>
      <c r="B1638" s="7" t="s">
        <v>19</v>
      </c>
      <c r="C1638" s="7" t="s">
        <v>645</v>
      </c>
      <c r="D1638" t="str">
        <f t="shared" si="34"/>
        <v>GNB</v>
      </c>
    </row>
    <row r="1639" spans="1:4" ht="15.6" thickTop="1" thickBot="1">
      <c r="A1639" s="7"/>
      <c r="B1639" s="7" t="s">
        <v>21</v>
      </c>
      <c r="C1639" s="7" t="s">
        <v>646</v>
      </c>
      <c r="D1639" t="str">
        <f t="shared" si="34"/>
        <v>GNB</v>
      </c>
    </row>
    <row r="1640" spans="1:4" ht="15.6" thickTop="1" thickBot="1">
      <c r="A1640" s="7"/>
      <c r="B1640" s="7" t="s">
        <v>16</v>
      </c>
      <c r="C1640" s="7" t="s">
        <v>643</v>
      </c>
      <c r="D1640" t="str">
        <f t="shared" si="34"/>
        <v>GNB</v>
      </c>
    </row>
    <row r="1641" spans="1:4" ht="15.6" thickTop="1" thickBot="1">
      <c r="A1641" s="7"/>
      <c r="B1641" s="7" t="s">
        <v>17</v>
      </c>
      <c r="C1641" s="7" t="s">
        <v>644</v>
      </c>
      <c r="D1641" t="str">
        <f t="shared" si="34"/>
        <v>GNB</v>
      </c>
    </row>
    <row r="1642" spans="1:4" ht="15.6" thickTop="1" thickBot="1">
      <c r="A1642" s="9" t="s">
        <v>647</v>
      </c>
      <c r="B1642" s="10"/>
      <c r="C1642" s="11"/>
      <c r="D1642" t="str">
        <f t="shared" si="34"/>
        <v>GUY</v>
      </c>
    </row>
    <row r="1643" spans="1:4" ht="49.2" thickTop="1" thickBot="1">
      <c r="A1643" s="7"/>
      <c r="B1643" s="7" t="s">
        <v>9</v>
      </c>
      <c r="C1643" s="7">
        <v>2017</v>
      </c>
      <c r="D1643" t="str">
        <f t="shared" si="34"/>
        <v>GUY</v>
      </c>
    </row>
    <row r="1644" spans="1:4" ht="39.6" thickTop="1" thickBot="1">
      <c r="A1644" s="7"/>
      <c r="B1644" s="7" t="s">
        <v>10</v>
      </c>
      <c r="C1644" s="7">
        <v>2018</v>
      </c>
      <c r="D1644" t="str">
        <f t="shared" si="34"/>
        <v>GUY</v>
      </c>
    </row>
    <row r="1645" spans="1:4" ht="30" thickTop="1" thickBot="1">
      <c r="A1645" s="7"/>
      <c r="B1645" s="7" t="s">
        <v>25</v>
      </c>
      <c r="C1645" s="8">
        <v>196850</v>
      </c>
      <c r="D1645" t="str">
        <f t="shared" si="34"/>
        <v>GUY</v>
      </c>
    </row>
    <row r="1646" spans="1:4" ht="68.400000000000006" thickTop="1" thickBot="1">
      <c r="A1646" s="7"/>
      <c r="B1646" s="7" t="s">
        <v>26</v>
      </c>
      <c r="C1646" s="7" t="s">
        <v>648</v>
      </c>
      <c r="D1646" t="str">
        <f t="shared" si="34"/>
        <v>GUY</v>
      </c>
    </row>
    <row r="1647" spans="1:4" ht="20.399999999999999" thickTop="1" thickBot="1">
      <c r="A1647" s="7"/>
      <c r="B1647" s="7" t="s">
        <v>28</v>
      </c>
      <c r="C1647" s="7" t="s">
        <v>649</v>
      </c>
      <c r="D1647" t="str">
        <f t="shared" si="34"/>
        <v>GUY</v>
      </c>
    </row>
    <row r="1648" spans="1:4" ht="20.399999999999999" thickTop="1" thickBot="1">
      <c r="A1648" s="7"/>
      <c r="B1648" s="7" t="s">
        <v>30</v>
      </c>
      <c r="C1648" s="7" t="s">
        <v>649</v>
      </c>
      <c r="D1648" t="str">
        <f t="shared" si="34"/>
        <v>GUY</v>
      </c>
    </row>
    <row r="1649" spans="1:4" ht="20.399999999999999" thickTop="1" thickBot="1">
      <c r="A1649" s="7"/>
      <c r="B1649" s="7" t="s">
        <v>32</v>
      </c>
      <c r="C1649" s="7" t="s">
        <v>33</v>
      </c>
      <c r="D1649" t="str">
        <f t="shared" si="34"/>
        <v>GUY</v>
      </c>
    </row>
    <row r="1650" spans="1:4" ht="20.399999999999999" thickTop="1" thickBot="1">
      <c r="A1650" s="7"/>
      <c r="B1650" s="7" t="s">
        <v>1</v>
      </c>
      <c r="C1650" s="7" t="s">
        <v>79</v>
      </c>
      <c r="D1650" t="str">
        <f t="shared" si="34"/>
        <v>GUY</v>
      </c>
    </row>
    <row r="1651" spans="1:4" ht="30" thickTop="1" thickBot="1">
      <c r="A1651" s="7"/>
      <c r="B1651" s="7" t="s">
        <v>3</v>
      </c>
      <c r="C1651" s="7" t="s">
        <v>36</v>
      </c>
      <c r="D1651" t="str">
        <f t="shared" si="34"/>
        <v>GUY</v>
      </c>
    </row>
    <row r="1652" spans="1:4" ht="20.399999999999999" thickTop="1" thickBot="1">
      <c r="A1652" s="7"/>
      <c r="B1652" s="7" t="s">
        <v>5</v>
      </c>
      <c r="C1652" s="7" t="s">
        <v>80</v>
      </c>
      <c r="D1652" t="str">
        <f t="shared" si="34"/>
        <v>GUY</v>
      </c>
    </row>
    <row r="1653" spans="1:4" ht="30" thickTop="1" thickBot="1">
      <c r="A1653" s="7"/>
      <c r="B1653" s="7" t="s">
        <v>7</v>
      </c>
      <c r="C1653" s="7" t="s">
        <v>38</v>
      </c>
      <c r="D1653" t="str">
        <f t="shared" si="34"/>
        <v>GUY</v>
      </c>
    </row>
    <row r="1654" spans="1:4" ht="15.6" thickTop="1" thickBot="1">
      <c r="A1654" s="7"/>
      <c r="B1654" s="7" t="s">
        <v>11</v>
      </c>
      <c r="C1654" s="7" t="s">
        <v>650</v>
      </c>
      <c r="D1654" t="str">
        <f t="shared" si="34"/>
        <v>GUY</v>
      </c>
    </row>
    <row r="1655" spans="1:4" ht="15.6" thickTop="1" thickBot="1">
      <c r="A1655" s="7"/>
      <c r="B1655" s="7" t="s">
        <v>13</v>
      </c>
      <c r="C1655" s="7" t="s">
        <v>651</v>
      </c>
      <c r="D1655" t="str">
        <f t="shared" si="34"/>
        <v>GUY</v>
      </c>
    </row>
    <row r="1656" spans="1:4" ht="15.6" thickTop="1" thickBot="1">
      <c r="A1656" s="7"/>
      <c r="B1656" s="7" t="s">
        <v>15</v>
      </c>
      <c r="C1656" s="7" t="s">
        <v>650</v>
      </c>
      <c r="D1656" t="str">
        <f t="shared" si="34"/>
        <v>GUY</v>
      </c>
    </row>
    <row r="1657" spans="1:4" ht="15.6" thickTop="1" thickBot="1">
      <c r="A1657" s="7"/>
      <c r="B1657" s="7" t="s">
        <v>16</v>
      </c>
      <c r="C1657" s="7" t="s">
        <v>651</v>
      </c>
      <c r="D1657" t="str">
        <f t="shared" si="34"/>
        <v>GUY</v>
      </c>
    </row>
    <row r="1658" spans="1:4" ht="15.6" thickTop="1" thickBot="1">
      <c r="A1658" s="7"/>
      <c r="B1658" s="7" t="s">
        <v>17</v>
      </c>
      <c r="C1658" s="7" t="s">
        <v>650</v>
      </c>
      <c r="D1658" t="str">
        <f t="shared" si="34"/>
        <v>GUY</v>
      </c>
    </row>
    <row r="1659" spans="1:4" ht="15.6" thickTop="1" thickBot="1">
      <c r="A1659" s="7"/>
      <c r="B1659" s="7" t="s">
        <v>18</v>
      </c>
      <c r="C1659" s="7" t="s">
        <v>650</v>
      </c>
      <c r="D1659" t="str">
        <f t="shared" si="34"/>
        <v>GUY</v>
      </c>
    </row>
    <row r="1660" spans="1:4" ht="15.6" thickTop="1" thickBot="1">
      <c r="A1660" s="7"/>
      <c r="B1660" s="7" t="s">
        <v>19</v>
      </c>
      <c r="C1660" s="7" t="s">
        <v>652</v>
      </c>
      <c r="D1660" t="str">
        <f t="shared" si="34"/>
        <v>GUY</v>
      </c>
    </row>
    <row r="1661" spans="1:4" ht="15.6" thickTop="1" thickBot="1">
      <c r="A1661" s="7"/>
      <c r="B1661" s="7" t="s">
        <v>21</v>
      </c>
      <c r="C1661" s="7" t="s">
        <v>650</v>
      </c>
      <c r="D1661" t="str">
        <f t="shared" si="34"/>
        <v>GUY</v>
      </c>
    </row>
    <row r="1662" spans="1:4" ht="15.6" thickTop="1" thickBot="1">
      <c r="A1662" s="7"/>
      <c r="B1662" s="7" t="s">
        <v>22</v>
      </c>
      <c r="C1662" s="7" t="s">
        <v>651</v>
      </c>
      <c r="D1662" t="str">
        <f t="shared" si="34"/>
        <v>GUY</v>
      </c>
    </row>
    <row r="1663" spans="1:4" ht="15.6" thickTop="1" thickBot="1">
      <c r="A1663" s="7"/>
      <c r="B1663" s="7" t="s">
        <v>23</v>
      </c>
      <c r="C1663" s="7" t="s">
        <v>650</v>
      </c>
      <c r="D1663" t="str">
        <f t="shared" si="34"/>
        <v>GUY</v>
      </c>
    </row>
    <row r="1664" spans="1:4" ht="15.6" thickTop="1" thickBot="1">
      <c r="A1664" s="7"/>
      <c r="B1664" s="7" t="s">
        <v>24</v>
      </c>
      <c r="C1664" s="7">
        <v>2260</v>
      </c>
      <c r="D1664" t="str">
        <f t="shared" si="34"/>
        <v>GUY</v>
      </c>
    </row>
    <row r="1665" spans="1:4" ht="15.6" thickTop="1" thickBot="1">
      <c r="A1665" s="9" t="s">
        <v>653</v>
      </c>
      <c r="B1665" s="10"/>
      <c r="C1665" s="11"/>
      <c r="D1665" t="str">
        <f t="shared" si="34"/>
        <v>HTI</v>
      </c>
    </row>
    <row r="1666" spans="1:4" ht="49.2" thickTop="1" thickBot="1">
      <c r="A1666" s="7"/>
      <c r="B1666" s="7" t="s">
        <v>9</v>
      </c>
      <c r="C1666" s="7">
        <v>2017</v>
      </c>
      <c r="D1666" t="str">
        <f t="shared" ref="D1666:D1729" si="35">IF(ISNUMBER(FIND(":", A1666)), LEFT(A1666, FIND(":", A1666) - 1), D1665)</f>
        <v>HTI</v>
      </c>
    </row>
    <row r="1667" spans="1:4" ht="39.6" thickTop="1" thickBot="1">
      <c r="A1667" s="7"/>
      <c r="B1667" s="7" t="s">
        <v>10</v>
      </c>
      <c r="C1667" s="7">
        <v>2018</v>
      </c>
      <c r="D1667" t="str">
        <f t="shared" si="35"/>
        <v>HTI</v>
      </c>
    </row>
    <row r="1668" spans="1:4" ht="30" thickTop="1" thickBot="1">
      <c r="A1668" s="7"/>
      <c r="B1668" s="7" t="s">
        <v>25</v>
      </c>
      <c r="C1668" s="8">
        <v>27560</v>
      </c>
      <c r="D1668" t="str">
        <f t="shared" si="35"/>
        <v>HTI</v>
      </c>
    </row>
    <row r="1669" spans="1:4" ht="20.399999999999999" thickTop="1" thickBot="1">
      <c r="A1669" s="7"/>
      <c r="B1669" s="7" t="s">
        <v>26</v>
      </c>
      <c r="C1669" s="7" t="s">
        <v>654</v>
      </c>
      <c r="D1669" t="str">
        <f t="shared" si="35"/>
        <v>HTI</v>
      </c>
    </row>
    <row r="1670" spans="1:4" ht="20.399999999999999" thickTop="1" thickBot="1">
      <c r="A1670" s="7"/>
      <c r="B1670" s="7" t="s">
        <v>28</v>
      </c>
      <c r="C1670" s="7" t="s">
        <v>655</v>
      </c>
      <c r="D1670" t="str">
        <f t="shared" si="35"/>
        <v>HTI</v>
      </c>
    </row>
    <row r="1671" spans="1:4" ht="20.399999999999999" thickTop="1" thickBot="1">
      <c r="A1671" s="7"/>
      <c r="B1671" s="7" t="s">
        <v>30</v>
      </c>
      <c r="C1671" s="7" t="s">
        <v>656</v>
      </c>
      <c r="D1671" t="str">
        <f t="shared" si="35"/>
        <v>HTI</v>
      </c>
    </row>
    <row r="1672" spans="1:4" ht="20.399999999999999" thickTop="1" thickBot="1">
      <c r="A1672" s="7"/>
      <c r="B1672" s="7" t="s">
        <v>32</v>
      </c>
      <c r="C1672" s="7" t="s">
        <v>33</v>
      </c>
      <c r="D1672" t="str">
        <f t="shared" si="35"/>
        <v>HTI</v>
      </c>
    </row>
    <row r="1673" spans="1:4" ht="20.399999999999999" thickTop="1" thickBot="1">
      <c r="A1673" s="7"/>
      <c r="B1673" s="7" t="s">
        <v>1</v>
      </c>
      <c r="C1673" s="7" t="s">
        <v>79</v>
      </c>
      <c r="D1673" t="str">
        <f t="shared" si="35"/>
        <v>HTI</v>
      </c>
    </row>
    <row r="1674" spans="1:4" ht="30" thickTop="1" thickBot="1">
      <c r="A1674" s="7"/>
      <c r="B1674" s="7" t="s">
        <v>3</v>
      </c>
      <c r="C1674" s="7" t="s">
        <v>4</v>
      </c>
      <c r="D1674" t="str">
        <f t="shared" si="35"/>
        <v>HTI</v>
      </c>
    </row>
    <row r="1675" spans="1:4" ht="20.399999999999999" thickTop="1" thickBot="1">
      <c r="A1675" s="7"/>
      <c r="B1675" s="7" t="s">
        <v>5</v>
      </c>
      <c r="C1675" s="7" t="s">
        <v>80</v>
      </c>
      <c r="D1675" t="str">
        <f t="shared" si="35"/>
        <v>HTI</v>
      </c>
    </row>
    <row r="1676" spans="1:4" ht="30" thickTop="1" thickBot="1">
      <c r="A1676" s="7"/>
      <c r="B1676" s="7" t="s">
        <v>7</v>
      </c>
      <c r="C1676" s="7" t="s">
        <v>8</v>
      </c>
      <c r="D1676" t="str">
        <f t="shared" si="35"/>
        <v>HTI</v>
      </c>
    </row>
    <row r="1677" spans="1:4" ht="15.6" thickTop="1" thickBot="1">
      <c r="A1677" s="7"/>
      <c r="B1677" s="7" t="s">
        <v>11</v>
      </c>
      <c r="C1677" s="7" t="s">
        <v>395</v>
      </c>
      <c r="D1677" t="str">
        <f t="shared" si="35"/>
        <v>HTI</v>
      </c>
    </row>
    <row r="1678" spans="1:4" ht="15.6" thickTop="1" thickBot="1">
      <c r="A1678" s="7"/>
      <c r="B1678" s="7" t="s">
        <v>13</v>
      </c>
      <c r="C1678" s="7" t="s">
        <v>657</v>
      </c>
      <c r="D1678" t="str">
        <f t="shared" si="35"/>
        <v>HTI</v>
      </c>
    </row>
    <row r="1679" spans="1:4" ht="15.6" thickTop="1" thickBot="1">
      <c r="A1679" s="7"/>
      <c r="B1679" s="7" t="s">
        <v>15</v>
      </c>
      <c r="C1679" s="7" t="s">
        <v>658</v>
      </c>
      <c r="D1679" t="str">
        <f t="shared" si="35"/>
        <v>HTI</v>
      </c>
    </row>
    <row r="1680" spans="1:4" ht="15.6" thickTop="1" thickBot="1">
      <c r="A1680" s="7"/>
      <c r="B1680" s="7" t="s">
        <v>22</v>
      </c>
      <c r="C1680" s="7" t="s">
        <v>657</v>
      </c>
      <c r="D1680" t="str">
        <f t="shared" si="35"/>
        <v>HTI</v>
      </c>
    </row>
    <row r="1681" spans="1:4" ht="15.6" thickTop="1" thickBot="1">
      <c r="A1681" s="7"/>
      <c r="B1681" s="7" t="s">
        <v>23</v>
      </c>
      <c r="C1681" s="7" t="s">
        <v>659</v>
      </c>
      <c r="D1681" t="str">
        <f t="shared" si="35"/>
        <v>HTI</v>
      </c>
    </row>
    <row r="1682" spans="1:4" ht="15.6" thickTop="1" thickBot="1">
      <c r="A1682" s="7"/>
      <c r="B1682" s="7" t="s">
        <v>24</v>
      </c>
      <c r="C1682" s="7">
        <v>2270</v>
      </c>
      <c r="D1682" t="str">
        <f t="shared" si="35"/>
        <v>HTI</v>
      </c>
    </row>
    <row r="1683" spans="1:4" ht="15.6" thickTop="1" thickBot="1">
      <c r="A1683" s="7"/>
      <c r="B1683" s="7" t="s">
        <v>18</v>
      </c>
      <c r="C1683" s="7" t="s">
        <v>659</v>
      </c>
      <c r="D1683" t="str">
        <f t="shared" si="35"/>
        <v>HTI</v>
      </c>
    </row>
    <row r="1684" spans="1:4" ht="15.6" thickTop="1" thickBot="1">
      <c r="A1684" s="7"/>
      <c r="B1684" s="7" t="s">
        <v>19</v>
      </c>
      <c r="C1684" s="7" t="s">
        <v>660</v>
      </c>
      <c r="D1684" t="str">
        <f t="shared" si="35"/>
        <v>HTI</v>
      </c>
    </row>
    <row r="1685" spans="1:4" ht="15.6" thickTop="1" thickBot="1">
      <c r="A1685" s="7"/>
      <c r="B1685" s="7" t="s">
        <v>21</v>
      </c>
      <c r="C1685" s="7" t="s">
        <v>658</v>
      </c>
      <c r="D1685" t="str">
        <f t="shared" si="35"/>
        <v>HTI</v>
      </c>
    </row>
    <row r="1686" spans="1:4" ht="15.6" thickTop="1" thickBot="1">
      <c r="A1686" s="7"/>
      <c r="B1686" s="7" t="s">
        <v>16</v>
      </c>
      <c r="C1686" s="7" t="s">
        <v>661</v>
      </c>
      <c r="D1686" t="str">
        <f t="shared" si="35"/>
        <v>HTI</v>
      </c>
    </row>
    <row r="1687" spans="1:4" ht="15.6" thickTop="1" thickBot="1">
      <c r="A1687" s="7"/>
      <c r="B1687" s="7" t="s">
        <v>17</v>
      </c>
      <c r="C1687" s="7" t="s">
        <v>659</v>
      </c>
      <c r="D1687" t="str">
        <f t="shared" si="35"/>
        <v>HTI</v>
      </c>
    </row>
    <row r="1688" spans="1:4" ht="20.399999999999999" thickTop="1" thickBot="1">
      <c r="A1688" s="9" t="s">
        <v>662</v>
      </c>
      <c r="B1688" s="10"/>
      <c r="C1688" s="11"/>
      <c r="D1688" t="str">
        <f t="shared" si="35"/>
        <v>HND</v>
      </c>
    </row>
    <row r="1689" spans="1:4" ht="49.2" thickTop="1" thickBot="1">
      <c r="A1689" s="7"/>
      <c r="B1689" s="7" t="s">
        <v>9</v>
      </c>
      <c r="C1689" s="7">
        <v>2017</v>
      </c>
      <c r="D1689" t="str">
        <f t="shared" si="35"/>
        <v>HND</v>
      </c>
    </row>
    <row r="1690" spans="1:4" ht="39.6" thickTop="1" thickBot="1">
      <c r="A1690" s="7"/>
      <c r="B1690" s="7" t="s">
        <v>10</v>
      </c>
      <c r="C1690" s="7">
        <v>2018</v>
      </c>
      <c r="D1690" t="str">
        <f t="shared" si="35"/>
        <v>HND</v>
      </c>
    </row>
    <row r="1691" spans="1:4" ht="30" thickTop="1" thickBot="1">
      <c r="A1691" s="7"/>
      <c r="B1691" s="7" t="s">
        <v>25</v>
      </c>
      <c r="C1691" s="8">
        <v>111890</v>
      </c>
      <c r="D1691" t="str">
        <f t="shared" si="35"/>
        <v>HND</v>
      </c>
    </row>
    <row r="1692" spans="1:4" ht="30" thickTop="1" thickBot="1">
      <c r="A1692" s="7"/>
      <c r="B1692" s="7" t="s">
        <v>26</v>
      </c>
      <c r="C1692" s="7" t="s">
        <v>494</v>
      </c>
      <c r="D1692" t="str">
        <f t="shared" si="35"/>
        <v>HND</v>
      </c>
    </row>
    <row r="1693" spans="1:4" ht="20.399999999999999" thickTop="1" thickBot="1">
      <c r="A1693" s="7"/>
      <c r="B1693" s="7" t="s">
        <v>28</v>
      </c>
      <c r="C1693" s="7" t="s">
        <v>663</v>
      </c>
      <c r="D1693" t="str">
        <f t="shared" si="35"/>
        <v>HND</v>
      </c>
    </row>
    <row r="1694" spans="1:4" ht="20.399999999999999" thickTop="1" thickBot="1">
      <c r="A1694" s="7"/>
      <c r="B1694" s="7" t="s">
        <v>30</v>
      </c>
      <c r="C1694" s="7" t="s">
        <v>663</v>
      </c>
      <c r="D1694" t="str">
        <f t="shared" si="35"/>
        <v>HND</v>
      </c>
    </row>
    <row r="1695" spans="1:4" ht="20.399999999999999" thickTop="1" thickBot="1">
      <c r="A1695" s="7"/>
      <c r="B1695" s="7" t="s">
        <v>32</v>
      </c>
      <c r="C1695" s="7" t="s">
        <v>33</v>
      </c>
      <c r="D1695" t="str">
        <f t="shared" si="35"/>
        <v>HND</v>
      </c>
    </row>
    <row r="1696" spans="1:4" ht="20.399999999999999" thickTop="1" thickBot="1">
      <c r="A1696" s="7"/>
      <c r="B1696" s="7" t="s">
        <v>1</v>
      </c>
      <c r="C1696" s="7" t="s">
        <v>79</v>
      </c>
      <c r="D1696" t="str">
        <f t="shared" si="35"/>
        <v>HND</v>
      </c>
    </row>
    <row r="1697" spans="1:4" ht="30" thickTop="1" thickBot="1">
      <c r="A1697" s="7"/>
      <c r="B1697" s="7" t="s">
        <v>3</v>
      </c>
      <c r="C1697" s="7" t="s">
        <v>69</v>
      </c>
      <c r="D1697" t="str">
        <f t="shared" si="35"/>
        <v>HND</v>
      </c>
    </row>
    <row r="1698" spans="1:4" ht="20.399999999999999" thickTop="1" thickBot="1">
      <c r="A1698" s="7"/>
      <c r="B1698" s="7" t="s">
        <v>5</v>
      </c>
      <c r="C1698" s="7" t="s">
        <v>80</v>
      </c>
      <c r="D1698" t="str">
        <f t="shared" si="35"/>
        <v>HND</v>
      </c>
    </row>
    <row r="1699" spans="1:4" ht="30" thickTop="1" thickBot="1">
      <c r="A1699" s="7"/>
      <c r="B1699" s="7" t="s">
        <v>7</v>
      </c>
      <c r="C1699" s="7" t="s">
        <v>70</v>
      </c>
      <c r="D1699" t="str">
        <f t="shared" si="35"/>
        <v>HND</v>
      </c>
    </row>
    <row r="1700" spans="1:4" ht="15.6" thickTop="1" thickBot="1">
      <c r="A1700" s="7"/>
      <c r="B1700" s="7" t="s">
        <v>13</v>
      </c>
      <c r="C1700" s="7" t="s">
        <v>664</v>
      </c>
      <c r="D1700" t="str">
        <f t="shared" si="35"/>
        <v>HND</v>
      </c>
    </row>
    <row r="1701" spans="1:4" ht="15.6" thickTop="1" thickBot="1">
      <c r="A1701" s="7"/>
      <c r="B1701" s="7" t="s">
        <v>15</v>
      </c>
      <c r="C1701" s="7" t="s">
        <v>665</v>
      </c>
      <c r="D1701" t="str">
        <f t="shared" si="35"/>
        <v>HND</v>
      </c>
    </row>
    <row r="1702" spans="1:4" ht="15.6" thickTop="1" thickBot="1">
      <c r="A1702" s="7"/>
      <c r="B1702" s="7" t="s">
        <v>22</v>
      </c>
      <c r="C1702" s="7" t="s">
        <v>664</v>
      </c>
      <c r="D1702" t="str">
        <f t="shared" si="35"/>
        <v>HND</v>
      </c>
    </row>
    <row r="1703" spans="1:4" ht="15.6" thickTop="1" thickBot="1">
      <c r="A1703" s="7"/>
      <c r="B1703" s="7" t="s">
        <v>23</v>
      </c>
      <c r="C1703" s="7" t="s">
        <v>666</v>
      </c>
      <c r="D1703" t="str">
        <f t="shared" si="35"/>
        <v>HND</v>
      </c>
    </row>
    <row r="1704" spans="1:4" ht="15.6" thickTop="1" thickBot="1">
      <c r="A1704" s="7"/>
      <c r="B1704" s="7" t="s">
        <v>24</v>
      </c>
      <c r="C1704" s="7">
        <v>2280</v>
      </c>
      <c r="D1704" t="str">
        <f t="shared" si="35"/>
        <v>HND</v>
      </c>
    </row>
    <row r="1705" spans="1:4" ht="15.6" thickTop="1" thickBot="1">
      <c r="A1705" s="7"/>
      <c r="B1705" s="7" t="s">
        <v>18</v>
      </c>
      <c r="C1705" s="7" t="s">
        <v>666</v>
      </c>
      <c r="D1705" t="str">
        <f t="shared" si="35"/>
        <v>HND</v>
      </c>
    </row>
    <row r="1706" spans="1:4" ht="15.6" thickTop="1" thickBot="1">
      <c r="A1706" s="7"/>
      <c r="B1706" s="7" t="s">
        <v>19</v>
      </c>
      <c r="C1706" s="7" t="s">
        <v>667</v>
      </c>
      <c r="D1706" t="str">
        <f t="shared" si="35"/>
        <v>HND</v>
      </c>
    </row>
    <row r="1707" spans="1:4" ht="15.6" thickTop="1" thickBot="1">
      <c r="A1707" s="7"/>
      <c r="B1707" s="7" t="s">
        <v>21</v>
      </c>
      <c r="C1707" s="7" t="s">
        <v>665</v>
      </c>
      <c r="D1707" t="str">
        <f t="shared" si="35"/>
        <v>HND</v>
      </c>
    </row>
    <row r="1708" spans="1:4" ht="15.6" thickTop="1" thickBot="1">
      <c r="A1708" s="7"/>
      <c r="B1708" s="7" t="s">
        <v>16</v>
      </c>
      <c r="C1708" s="7" t="s">
        <v>668</v>
      </c>
      <c r="D1708" t="str">
        <f t="shared" si="35"/>
        <v>HND</v>
      </c>
    </row>
    <row r="1709" spans="1:4" ht="15.6" thickTop="1" thickBot="1">
      <c r="A1709" s="7"/>
      <c r="B1709" s="7" t="s">
        <v>17</v>
      </c>
      <c r="C1709" s="7" t="s">
        <v>666</v>
      </c>
      <c r="D1709" t="str">
        <f t="shared" si="35"/>
        <v>HND</v>
      </c>
    </row>
    <row r="1710" spans="1:4" ht="20.399999999999999" thickTop="1" thickBot="1">
      <c r="A1710" s="9" t="s">
        <v>669</v>
      </c>
      <c r="B1710" s="10"/>
      <c r="C1710" s="11"/>
      <c r="D1710" t="str">
        <f t="shared" si="35"/>
        <v>HUN</v>
      </c>
    </row>
    <row r="1711" spans="1:4" ht="49.2" thickTop="1" thickBot="1">
      <c r="A1711" s="7"/>
      <c r="B1711" s="7" t="s">
        <v>9</v>
      </c>
      <c r="C1711" s="7">
        <v>2017</v>
      </c>
      <c r="D1711" t="str">
        <f t="shared" si="35"/>
        <v>HUN</v>
      </c>
    </row>
    <row r="1712" spans="1:4" ht="39.6" thickTop="1" thickBot="1">
      <c r="A1712" s="7"/>
      <c r="B1712" s="7" t="s">
        <v>10</v>
      </c>
      <c r="C1712" s="7">
        <v>2018</v>
      </c>
      <c r="D1712" t="str">
        <f t="shared" si="35"/>
        <v>HUN</v>
      </c>
    </row>
    <row r="1713" spans="1:4" ht="30" thickTop="1" thickBot="1">
      <c r="A1713" s="7"/>
      <c r="B1713" s="7" t="s">
        <v>25</v>
      </c>
      <c r="C1713" s="8">
        <v>89610</v>
      </c>
      <c r="D1713" t="str">
        <f t="shared" si="35"/>
        <v>HUN</v>
      </c>
    </row>
    <row r="1714" spans="1:4" ht="20.399999999999999" thickTop="1" thickBot="1">
      <c r="A1714" s="7"/>
      <c r="B1714" s="7" t="s">
        <v>26</v>
      </c>
      <c r="C1714" s="7" t="s">
        <v>670</v>
      </c>
      <c r="D1714" t="str">
        <f t="shared" si="35"/>
        <v>HUN</v>
      </c>
    </row>
    <row r="1715" spans="1:4" ht="20.399999999999999" thickTop="1" thickBot="1">
      <c r="A1715" s="7"/>
      <c r="B1715" s="7" t="s">
        <v>28</v>
      </c>
      <c r="C1715" s="7" t="s">
        <v>671</v>
      </c>
      <c r="D1715" t="str">
        <f t="shared" si="35"/>
        <v>HUN</v>
      </c>
    </row>
    <row r="1716" spans="1:4" ht="20.399999999999999" thickTop="1" thickBot="1">
      <c r="A1716" s="7"/>
      <c r="B1716" s="7" t="s">
        <v>30</v>
      </c>
      <c r="C1716" s="7" t="s">
        <v>672</v>
      </c>
      <c r="D1716" t="str">
        <f t="shared" si="35"/>
        <v>HUN</v>
      </c>
    </row>
    <row r="1717" spans="1:4" ht="20.399999999999999" thickTop="1" thickBot="1">
      <c r="A1717" s="7"/>
      <c r="B1717" s="7" t="s">
        <v>32</v>
      </c>
      <c r="C1717" s="7" t="s">
        <v>33</v>
      </c>
      <c r="D1717" t="str">
        <f t="shared" si="35"/>
        <v>HUN</v>
      </c>
    </row>
    <row r="1718" spans="1:4" ht="20.399999999999999" thickTop="1" thickBot="1">
      <c r="A1718" s="7"/>
      <c r="B1718" s="7" t="s">
        <v>1</v>
      </c>
      <c r="C1718" s="7" t="s">
        <v>35</v>
      </c>
      <c r="D1718" t="str">
        <f t="shared" si="35"/>
        <v>HUN</v>
      </c>
    </row>
    <row r="1719" spans="1:4" ht="30" thickTop="1" thickBot="1">
      <c r="A1719" s="7"/>
      <c r="B1719" s="7" t="s">
        <v>3</v>
      </c>
      <c r="C1719" s="7" t="s">
        <v>59</v>
      </c>
      <c r="D1719" t="str">
        <f t="shared" si="35"/>
        <v>HUN</v>
      </c>
    </row>
    <row r="1720" spans="1:4" ht="20.399999999999999" thickTop="1" thickBot="1">
      <c r="A1720" s="7"/>
      <c r="B1720" s="7" t="s">
        <v>5</v>
      </c>
      <c r="C1720" s="7" t="s">
        <v>37</v>
      </c>
      <c r="D1720" t="str">
        <f t="shared" si="35"/>
        <v>HUN</v>
      </c>
    </row>
    <row r="1721" spans="1:4" ht="30" thickTop="1" thickBot="1">
      <c r="A1721" s="7"/>
      <c r="B1721" s="7" t="s">
        <v>7</v>
      </c>
      <c r="C1721" s="7" t="s">
        <v>60</v>
      </c>
      <c r="D1721" t="str">
        <f t="shared" si="35"/>
        <v>HUN</v>
      </c>
    </row>
    <row r="1722" spans="1:4" ht="15.6" thickTop="1" thickBot="1">
      <c r="A1722" s="7"/>
      <c r="B1722" s="7" t="s">
        <v>11</v>
      </c>
      <c r="C1722" s="7" t="s">
        <v>673</v>
      </c>
      <c r="D1722" t="str">
        <f t="shared" si="35"/>
        <v>HUN</v>
      </c>
    </row>
    <row r="1723" spans="1:4" ht="15.6" thickTop="1" thickBot="1">
      <c r="A1723" s="7"/>
      <c r="B1723" s="7" t="s">
        <v>13</v>
      </c>
      <c r="C1723" s="7" t="s">
        <v>674</v>
      </c>
      <c r="D1723" t="str">
        <f t="shared" si="35"/>
        <v>HUN</v>
      </c>
    </row>
    <row r="1724" spans="1:4" ht="15.6" thickTop="1" thickBot="1">
      <c r="A1724" s="7"/>
      <c r="B1724" s="7" t="s">
        <v>15</v>
      </c>
      <c r="C1724" s="7" t="s">
        <v>675</v>
      </c>
      <c r="D1724" t="str">
        <f t="shared" si="35"/>
        <v>HUN</v>
      </c>
    </row>
    <row r="1725" spans="1:4" ht="15.6" thickTop="1" thickBot="1">
      <c r="A1725" s="7"/>
      <c r="B1725" s="7" t="s">
        <v>22</v>
      </c>
      <c r="C1725" s="7" t="s">
        <v>674</v>
      </c>
      <c r="D1725" t="str">
        <f t="shared" si="35"/>
        <v>HUN</v>
      </c>
    </row>
    <row r="1726" spans="1:4" ht="15.6" thickTop="1" thickBot="1">
      <c r="A1726" s="7"/>
      <c r="B1726" s="7" t="s">
        <v>23</v>
      </c>
      <c r="C1726" s="7" t="s">
        <v>675</v>
      </c>
      <c r="D1726" t="str">
        <f t="shared" si="35"/>
        <v>HUN</v>
      </c>
    </row>
    <row r="1727" spans="1:4" ht="15.6" thickTop="1" thickBot="1">
      <c r="A1727" s="7"/>
      <c r="B1727" s="7" t="s">
        <v>24</v>
      </c>
      <c r="C1727" s="7">
        <v>4150</v>
      </c>
      <c r="D1727" t="str">
        <f t="shared" si="35"/>
        <v>HUN</v>
      </c>
    </row>
    <row r="1728" spans="1:4" ht="15.6" thickTop="1" thickBot="1">
      <c r="A1728" s="7"/>
      <c r="B1728" s="7" t="s">
        <v>18</v>
      </c>
      <c r="C1728" s="7" t="s">
        <v>676</v>
      </c>
      <c r="D1728" t="str">
        <f t="shared" si="35"/>
        <v>HUN</v>
      </c>
    </row>
    <row r="1729" spans="1:4" ht="15.6" thickTop="1" thickBot="1">
      <c r="A1729" s="7"/>
      <c r="B1729" s="7" t="s">
        <v>19</v>
      </c>
      <c r="C1729" s="7" t="s">
        <v>677</v>
      </c>
      <c r="D1729" t="str">
        <f t="shared" si="35"/>
        <v>HUN</v>
      </c>
    </row>
    <row r="1730" spans="1:4" ht="15.6" thickTop="1" thickBot="1">
      <c r="A1730" s="7"/>
      <c r="B1730" s="7" t="s">
        <v>21</v>
      </c>
      <c r="C1730" s="7" t="s">
        <v>675</v>
      </c>
      <c r="D1730" t="str">
        <f t="shared" ref="D1730:D1793" si="36">IF(ISNUMBER(FIND(":", A1730)), LEFT(A1730, FIND(":", A1730) - 1), D1729)</f>
        <v>HUN</v>
      </c>
    </row>
    <row r="1731" spans="1:4" ht="15.6" thickTop="1" thickBot="1">
      <c r="A1731" s="7"/>
      <c r="B1731" s="7" t="s">
        <v>16</v>
      </c>
      <c r="C1731" s="7" t="s">
        <v>674</v>
      </c>
      <c r="D1731" t="str">
        <f t="shared" si="36"/>
        <v>HUN</v>
      </c>
    </row>
    <row r="1732" spans="1:4" ht="15.6" thickTop="1" thickBot="1">
      <c r="A1732" s="7"/>
      <c r="B1732" s="7" t="s">
        <v>17</v>
      </c>
      <c r="C1732" s="7" t="s">
        <v>675</v>
      </c>
      <c r="D1732" t="str">
        <f t="shared" si="36"/>
        <v>HUN</v>
      </c>
    </row>
    <row r="1733" spans="1:4" ht="15.6" thickTop="1" thickBot="1">
      <c r="A1733" s="9" t="s">
        <v>678</v>
      </c>
      <c r="B1733" s="10"/>
      <c r="C1733" s="11"/>
      <c r="D1733" t="str">
        <f t="shared" si="36"/>
        <v>ISL</v>
      </c>
    </row>
    <row r="1734" spans="1:4" ht="49.2" thickTop="1" thickBot="1">
      <c r="A1734" s="7"/>
      <c r="B1734" s="7" t="s">
        <v>9</v>
      </c>
      <c r="C1734" s="7">
        <v>2017</v>
      </c>
      <c r="D1734" t="str">
        <f t="shared" si="36"/>
        <v>ISL</v>
      </c>
    </row>
    <row r="1735" spans="1:4" ht="39.6" thickTop="1" thickBot="1">
      <c r="A1735" s="7"/>
      <c r="B1735" s="7" t="s">
        <v>10</v>
      </c>
      <c r="C1735" s="7">
        <v>2018</v>
      </c>
      <c r="D1735" t="str">
        <f t="shared" si="36"/>
        <v>ISL</v>
      </c>
    </row>
    <row r="1736" spans="1:4" ht="30" thickTop="1" thickBot="1">
      <c r="A1736" s="7"/>
      <c r="B1736" s="7" t="s">
        <v>25</v>
      </c>
      <c r="C1736" s="8">
        <v>100250</v>
      </c>
      <c r="D1736" t="str">
        <f t="shared" si="36"/>
        <v>ISL</v>
      </c>
    </row>
    <row r="1737" spans="1:4" ht="49.2" thickTop="1" thickBot="1">
      <c r="A1737" s="7"/>
      <c r="B1737" s="7" t="s">
        <v>26</v>
      </c>
      <c r="C1737" s="7" t="s">
        <v>679</v>
      </c>
      <c r="D1737" t="str">
        <f t="shared" si="36"/>
        <v>ISL</v>
      </c>
    </row>
    <row r="1738" spans="1:4" ht="20.399999999999999" thickTop="1" thickBot="1">
      <c r="A1738" s="7"/>
      <c r="B1738" s="7" t="s">
        <v>28</v>
      </c>
      <c r="C1738" s="7" t="s">
        <v>680</v>
      </c>
      <c r="D1738" t="str">
        <f t="shared" si="36"/>
        <v>ISL</v>
      </c>
    </row>
    <row r="1739" spans="1:4" ht="20.399999999999999" thickTop="1" thickBot="1">
      <c r="A1739" s="7"/>
      <c r="B1739" s="7" t="s">
        <v>30</v>
      </c>
      <c r="C1739" s="7" t="s">
        <v>681</v>
      </c>
      <c r="D1739" t="str">
        <f t="shared" si="36"/>
        <v>ISL</v>
      </c>
    </row>
    <row r="1740" spans="1:4" ht="20.399999999999999" thickTop="1" thickBot="1">
      <c r="A1740" s="7"/>
      <c r="B1740" s="7" t="s">
        <v>32</v>
      </c>
      <c r="C1740" s="7" t="s">
        <v>33</v>
      </c>
      <c r="D1740" t="str">
        <f t="shared" si="36"/>
        <v>ISL</v>
      </c>
    </row>
    <row r="1741" spans="1:4" ht="20.399999999999999" thickTop="1" thickBot="1">
      <c r="A1741" s="7"/>
      <c r="B1741" s="7" t="s">
        <v>1</v>
      </c>
      <c r="C1741" s="7" t="s">
        <v>35</v>
      </c>
      <c r="D1741" t="str">
        <f t="shared" si="36"/>
        <v>ISL</v>
      </c>
    </row>
    <row r="1742" spans="1:4" ht="30" thickTop="1" thickBot="1">
      <c r="A1742" s="7"/>
      <c r="B1742" s="7" t="s">
        <v>3</v>
      </c>
      <c r="C1742" s="7" t="s">
        <v>59</v>
      </c>
      <c r="D1742" t="str">
        <f t="shared" si="36"/>
        <v>ISL</v>
      </c>
    </row>
    <row r="1743" spans="1:4" ht="20.399999999999999" thickTop="1" thickBot="1">
      <c r="A1743" s="7"/>
      <c r="B1743" s="7" t="s">
        <v>5</v>
      </c>
      <c r="C1743" s="7" t="s">
        <v>37</v>
      </c>
      <c r="D1743" t="str">
        <f t="shared" si="36"/>
        <v>ISL</v>
      </c>
    </row>
    <row r="1744" spans="1:4" ht="30" thickTop="1" thickBot="1">
      <c r="A1744" s="7"/>
      <c r="B1744" s="7" t="s">
        <v>7</v>
      </c>
      <c r="C1744" s="7" t="s">
        <v>60</v>
      </c>
      <c r="D1744" t="str">
        <f t="shared" si="36"/>
        <v>ISL</v>
      </c>
    </row>
    <row r="1745" spans="1:4" ht="15.6" thickTop="1" thickBot="1">
      <c r="A1745" s="7"/>
      <c r="B1745" s="7" t="s">
        <v>11</v>
      </c>
      <c r="C1745" s="7" t="s">
        <v>682</v>
      </c>
      <c r="D1745" t="str">
        <f t="shared" si="36"/>
        <v>ISL</v>
      </c>
    </row>
    <row r="1746" spans="1:4" ht="15.6" thickTop="1" thickBot="1">
      <c r="A1746" s="7"/>
      <c r="B1746" s="7" t="s">
        <v>13</v>
      </c>
      <c r="C1746" s="7" t="s">
        <v>353</v>
      </c>
      <c r="D1746" t="str">
        <f t="shared" si="36"/>
        <v>ISL</v>
      </c>
    </row>
    <row r="1747" spans="1:4" ht="15.6" thickTop="1" thickBot="1">
      <c r="A1747" s="7"/>
      <c r="B1747" s="7" t="s">
        <v>15</v>
      </c>
      <c r="C1747" s="7" t="s">
        <v>683</v>
      </c>
      <c r="D1747" t="str">
        <f t="shared" si="36"/>
        <v>ISL</v>
      </c>
    </row>
    <row r="1748" spans="1:4" ht="15.6" thickTop="1" thickBot="1">
      <c r="A1748" s="7"/>
      <c r="B1748" s="7" t="s">
        <v>16</v>
      </c>
      <c r="C1748" s="7" t="s">
        <v>682</v>
      </c>
      <c r="D1748" t="str">
        <f t="shared" si="36"/>
        <v>ISL</v>
      </c>
    </row>
    <row r="1749" spans="1:4" ht="15.6" thickTop="1" thickBot="1">
      <c r="A1749" s="7"/>
      <c r="B1749" s="7" t="s">
        <v>17</v>
      </c>
      <c r="C1749" s="7" t="s">
        <v>683</v>
      </c>
      <c r="D1749" t="str">
        <f t="shared" si="36"/>
        <v>ISL</v>
      </c>
    </row>
    <row r="1750" spans="1:4" ht="15.6" thickTop="1" thickBot="1">
      <c r="A1750" s="7"/>
      <c r="B1750" s="7" t="s">
        <v>18</v>
      </c>
      <c r="C1750" s="7" t="s">
        <v>683</v>
      </c>
      <c r="D1750" t="str">
        <f t="shared" si="36"/>
        <v>ISL</v>
      </c>
    </row>
    <row r="1751" spans="1:4" ht="15.6" thickTop="1" thickBot="1">
      <c r="A1751" s="7"/>
      <c r="B1751" s="7" t="s">
        <v>19</v>
      </c>
      <c r="C1751" s="7" t="s">
        <v>684</v>
      </c>
      <c r="D1751" t="str">
        <f t="shared" si="36"/>
        <v>ISL</v>
      </c>
    </row>
    <row r="1752" spans="1:4" ht="15.6" thickTop="1" thickBot="1">
      <c r="A1752" s="7"/>
      <c r="B1752" s="7" t="s">
        <v>21</v>
      </c>
      <c r="C1752" s="7" t="s">
        <v>685</v>
      </c>
      <c r="D1752" t="str">
        <f t="shared" si="36"/>
        <v>ISL</v>
      </c>
    </row>
    <row r="1753" spans="1:4" ht="15.6" thickTop="1" thickBot="1">
      <c r="A1753" s="7"/>
      <c r="B1753" s="7" t="s">
        <v>22</v>
      </c>
      <c r="C1753" s="7" t="s">
        <v>686</v>
      </c>
      <c r="D1753" t="str">
        <f t="shared" si="36"/>
        <v>ISL</v>
      </c>
    </row>
    <row r="1754" spans="1:4" ht="15.6" thickTop="1" thickBot="1">
      <c r="A1754" s="7"/>
      <c r="B1754" s="7" t="s">
        <v>23</v>
      </c>
      <c r="C1754" s="7" t="s">
        <v>683</v>
      </c>
      <c r="D1754" t="str">
        <f t="shared" si="36"/>
        <v>ISL</v>
      </c>
    </row>
    <row r="1755" spans="1:4" ht="15.6" thickTop="1" thickBot="1">
      <c r="A1755" s="7"/>
      <c r="B1755" s="7" t="s">
        <v>24</v>
      </c>
      <c r="C1755" s="7">
        <v>4160</v>
      </c>
      <c r="D1755" t="str">
        <f t="shared" si="36"/>
        <v>ISL</v>
      </c>
    </row>
    <row r="1756" spans="1:4" ht="15.6" thickTop="1" thickBot="1">
      <c r="A1756" s="9" t="s">
        <v>687</v>
      </c>
      <c r="B1756" s="10"/>
      <c r="C1756" s="11"/>
      <c r="D1756" t="str">
        <f t="shared" si="36"/>
        <v>IND</v>
      </c>
    </row>
    <row r="1757" spans="1:4" ht="49.2" thickTop="1" thickBot="1">
      <c r="A1757" s="7"/>
      <c r="B1757" s="7" t="s">
        <v>9</v>
      </c>
      <c r="C1757" s="7">
        <v>2017</v>
      </c>
      <c r="D1757" t="str">
        <f t="shared" si="36"/>
        <v>IND</v>
      </c>
    </row>
    <row r="1758" spans="1:4" ht="39.6" thickTop="1" thickBot="1">
      <c r="A1758" s="7"/>
      <c r="B1758" s="7" t="s">
        <v>10</v>
      </c>
      <c r="C1758" s="7">
        <v>2018</v>
      </c>
      <c r="D1758" t="str">
        <f t="shared" si="36"/>
        <v>IND</v>
      </c>
    </row>
    <row r="1759" spans="1:4" ht="30" thickTop="1" thickBot="1">
      <c r="A1759" s="7"/>
      <c r="B1759" s="7" t="s">
        <v>25</v>
      </c>
      <c r="C1759" s="8">
        <v>2973190</v>
      </c>
      <c r="D1759" t="str">
        <f t="shared" si="36"/>
        <v>IND</v>
      </c>
    </row>
    <row r="1760" spans="1:4" ht="68.400000000000006" thickTop="1" thickBot="1">
      <c r="A1760" s="7"/>
      <c r="B1760" s="7" t="s">
        <v>26</v>
      </c>
      <c r="C1760" s="7" t="s">
        <v>688</v>
      </c>
      <c r="D1760" t="str">
        <f t="shared" si="36"/>
        <v>IND</v>
      </c>
    </row>
    <row r="1761" spans="1:4" ht="20.399999999999999" thickTop="1" thickBot="1">
      <c r="A1761" s="7"/>
      <c r="B1761" s="7" t="s">
        <v>28</v>
      </c>
      <c r="C1761" s="7" t="s">
        <v>689</v>
      </c>
      <c r="D1761" t="str">
        <f t="shared" si="36"/>
        <v>IND</v>
      </c>
    </row>
    <row r="1762" spans="1:4" ht="20.399999999999999" thickTop="1" thickBot="1">
      <c r="A1762" s="7"/>
      <c r="B1762" s="7" t="s">
        <v>30</v>
      </c>
      <c r="C1762" s="7" t="s">
        <v>690</v>
      </c>
      <c r="D1762" t="str">
        <f t="shared" si="36"/>
        <v>IND</v>
      </c>
    </row>
    <row r="1763" spans="1:4" ht="20.399999999999999" thickTop="1" thickBot="1">
      <c r="A1763" s="7"/>
      <c r="B1763" s="7" t="s">
        <v>32</v>
      </c>
      <c r="C1763" s="7" t="s">
        <v>33</v>
      </c>
      <c r="D1763" t="str">
        <f t="shared" si="36"/>
        <v>IND</v>
      </c>
    </row>
    <row r="1764" spans="1:4" ht="20.399999999999999" thickTop="1" thickBot="1">
      <c r="A1764" s="7"/>
      <c r="B1764" s="7" t="s">
        <v>1</v>
      </c>
      <c r="C1764" s="7" t="s">
        <v>152</v>
      </c>
      <c r="D1764" t="str">
        <f t="shared" si="36"/>
        <v>IND</v>
      </c>
    </row>
    <row r="1765" spans="1:4" ht="30" thickTop="1" thickBot="1">
      <c r="A1765" s="7"/>
      <c r="B1765" s="7" t="s">
        <v>3</v>
      </c>
      <c r="C1765" s="7" t="s">
        <v>69</v>
      </c>
      <c r="D1765" t="str">
        <f t="shared" si="36"/>
        <v>IND</v>
      </c>
    </row>
    <row r="1766" spans="1:4" ht="20.399999999999999" thickTop="1" thickBot="1">
      <c r="A1766" s="7"/>
      <c r="B1766" s="7" t="s">
        <v>5</v>
      </c>
      <c r="C1766" s="7" t="s">
        <v>153</v>
      </c>
      <c r="D1766" t="str">
        <f t="shared" si="36"/>
        <v>IND</v>
      </c>
    </row>
    <row r="1767" spans="1:4" ht="30" thickTop="1" thickBot="1">
      <c r="A1767" s="7"/>
      <c r="B1767" s="7" t="s">
        <v>7</v>
      </c>
      <c r="C1767" s="7" t="s">
        <v>70</v>
      </c>
      <c r="D1767" t="str">
        <f t="shared" si="36"/>
        <v>IND</v>
      </c>
    </row>
    <row r="1768" spans="1:4" ht="15.6" thickTop="1" thickBot="1">
      <c r="A1768" s="7"/>
      <c r="B1768" s="7" t="s">
        <v>11</v>
      </c>
      <c r="C1768" s="7" t="s">
        <v>691</v>
      </c>
      <c r="D1768" t="str">
        <f t="shared" si="36"/>
        <v>IND</v>
      </c>
    </row>
    <row r="1769" spans="1:4" ht="15.6" thickTop="1" thickBot="1">
      <c r="A1769" s="7"/>
      <c r="B1769" s="7" t="s">
        <v>13</v>
      </c>
      <c r="C1769" s="7" t="s">
        <v>692</v>
      </c>
      <c r="D1769" t="str">
        <f t="shared" si="36"/>
        <v>IND</v>
      </c>
    </row>
    <row r="1770" spans="1:4" ht="15.6" thickTop="1" thickBot="1">
      <c r="A1770" s="7"/>
      <c r="B1770" s="7" t="s">
        <v>15</v>
      </c>
      <c r="C1770" s="7" t="s">
        <v>691</v>
      </c>
      <c r="D1770" t="str">
        <f t="shared" si="36"/>
        <v>IND</v>
      </c>
    </row>
    <row r="1771" spans="1:4" ht="15.6" thickTop="1" thickBot="1">
      <c r="A1771" s="7"/>
      <c r="B1771" s="7" t="s">
        <v>16</v>
      </c>
      <c r="C1771" s="7" t="s">
        <v>692</v>
      </c>
      <c r="D1771" t="str">
        <f t="shared" si="36"/>
        <v>IND</v>
      </c>
    </row>
    <row r="1772" spans="1:4" ht="15.6" thickTop="1" thickBot="1">
      <c r="A1772" s="7"/>
      <c r="B1772" s="7" t="s">
        <v>17</v>
      </c>
      <c r="C1772" s="7" t="s">
        <v>691</v>
      </c>
      <c r="D1772" t="str">
        <f t="shared" si="36"/>
        <v>IND</v>
      </c>
    </row>
    <row r="1773" spans="1:4" ht="15.6" thickTop="1" thickBot="1">
      <c r="A1773" s="7"/>
      <c r="B1773" s="7" t="s">
        <v>18</v>
      </c>
      <c r="C1773" s="7" t="s">
        <v>691</v>
      </c>
      <c r="D1773" t="str">
        <f t="shared" si="36"/>
        <v>IND</v>
      </c>
    </row>
    <row r="1774" spans="1:4" ht="15.6" thickTop="1" thickBot="1">
      <c r="A1774" s="7"/>
      <c r="B1774" s="7" t="s">
        <v>19</v>
      </c>
      <c r="C1774" s="7" t="s">
        <v>693</v>
      </c>
      <c r="D1774" t="str">
        <f t="shared" si="36"/>
        <v>IND</v>
      </c>
    </row>
    <row r="1775" spans="1:4" ht="15.6" thickTop="1" thickBot="1">
      <c r="A1775" s="7"/>
      <c r="B1775" s="7" t="s">
        <v>21</v>
      </c>
      <c r="C1775" s="7" t="s">
        <v>691</v>
      </c>
      <c r="D1775" t="str">
        <f t="shared" si="36"/>
        <v>IND</v>
      </c>
    </row>
    <row r="1776" spans="1:4" ht="15.6" thickTop="1" thickBot="1">
      <c r="A1776" s="7"/>
      <c r="B1776" s="7" t="s">
        <v>22</v>
      </c>
      <c r="C1776" s="7" t="s">
        <v>692</v>
      </c>
      <c r="D1776" t="str">
        <f t="shared" si="36"/>
        <v>IND</v>
      </c>
    </row>
    <row r="1777" spans="1:4" ht="15.6" thickTop="1" thickBot="1">
      <c r="A1777" s="7"/>
      <c r="B1777" s="7" t="s">
        <v>23</v>
      </c>
      <c r="C1777" s="7" t="s">
        <v>691</v>
      </c>
      <c r="D1777" t="str">
        <f t="shared" si="36"/>
        <v>IND</v>
      </c>
    </row>
    <row r="1778" spans="1:4" ht="15.6" thickTop="1" thickBot="1">
      <c r="A1778" s="7"/>
      <c r="B1778" s="7" t="s">
        <v>24</v>
      </c>
      <c r="C1778" s="7">
        <v>3100</v>
      </c>
      <c r="D1778" t="str">
        <f t="shared" si="36"/>
        <v>IND</v>
      </c>
    </row>
    <row r="1779" spans="1:4" ht="20.399999999999999" thickTop="1" thickBot="1">
      <c r="A1779" s="9" t="s">
        <v>694</v>
      </c>
      <c r="B1779" s="10"/>
      <c r="C1779" s="11"/>
      <c r="D1779" t="str">
        <f t="shared" si="36"/>
        <v>IDN</v>
      </c>
    </row>
    <row r="1780" spans="1:4" ht="49.2" thickTop="1" thickBot="1">
      <c r="A1780" s="7"/>
      <c r="B1780" s="7" t="s">
        <v>9</v>
      </c>
      <c r="C1780" s="7">
        <v>2017</v>
      </c>
      <c r="D1780" t="str">
        <f t="shared" si="36"/>
        <v>IDN</v>
      </c>
    </row>
    <row r="1781" spans="1:4" ht="39.6" thickTop="1" thickBot="1">
      <c r="A1781" s="7"/>
      <c r="B1781" s="7" t="s">
        <v>10</v>
      </c>
      <c r="C1781" s="7">
        <v>2018</v>
      </c>
      <c r="D1781" t="str">
        <f t="shared" si="36"/>
        <v>IDN</v>
      </c>
    </row>
    <row r="1782" spans="1:4" ht="30" thickTop="1" thickBot="1">
      <c r="A1782" s="7"/>
      <c r="B1782" s="7" t="s">
        <v>25</v>
      </c>
      <c r="C1782" s="8">
        <v>1811570</v>
      </c>
      <c r="D1782" t="str">
        <f t="shared" si="36"/>
        <v>IDN</v>
      </c>
    </row>
    <row r="1783" spans="1:4" ht="49.2" thickTop="1" thickBot="1">
      <c r="A1783" s="7"/>
      <c r="B1783" s="7" t="s">
        <v>26</v>
      </c>
      <c r="C1783" s="7" t="s">
        <v>695</v>
      </c>
      <c r="D1783" t="str">
        <f t="shared" si="36"/>
        <v>IDN</v>
      </c>
    </row>
    <row r="1784" spans="1:4" ht="20.399999999999999" thickTop="1" thickBot="1">
      <c r="A1784" s="7"/>
      <c r="B1784" s="7" t="s">
        <v>28</v>
      </c>
      <c r="C1784" s="7" t="s">
        <v>696</v>
      </c>
      <c r="D1784" t="str">
        <f t="shared" si="36"/>
        <v>IDN</v>
      </c>
    </row>
    <row r="1785" spans="1:4" ht="20.399999999999999" thickTop="1" thickBot="1">
      <c r="A1785" s="7"/>
      <c r="B1785" s="7" t="s">
        <v>30</v>
      </c>
      <c r="C1785" s="7" t="s">
        <v>697</v>
      </c>
      <c r="D1785" t="str">
        <f t="shared" si="36"/>
        <v>IDN</v>
      </c>
    </row>
    <row r="1786" spans="1:4" ht="20.399999999999999" thickTop="1" thickBot="1">
      <c r="A1786" s="7"/>
      <c r="B1786" s="7" t="s">
        <v>32</v>
      </c>
      <c r="C1786" s="7" t="s">
        <v>33</v>
      </c>
      <c r="D1786" t="str">
        <f t="shared" si="36"/>
        <v>IDN</v>
      </c>
    </row>
    <row r="1787" spans="1:4" ht="20.399999999999999" thickTop="1" thickBot="1">
      <c r="A1787" s="7"/>
      <c r="B1787" s="7" t="s">
        <v>1</v>
      </c>
      <c r="C1787" s="7" t="s">
        <v>152</v>
      </c>
      <c r="D1787" t="str">
        <f t="shared" si="36"/>
        <v>IDN</v>
      </c>
    </row>
    <row r="1788" spans="1:4" ht="30" thickTop="1" thickBot="1">
      <c r="A1788" s="7"/>
      <c r="B1788" s="7" t="s">
        <v>3</v>
      </c>
      <c r="C1788" s="7" t="s">
        <v>69</v>
      </c>
      <c r="D1788" t="str">
        <f t="shared" si="36"/>
        <v>IDN</v>
      </c>
    </row>
    <row r="1789" spans="1:4" ht="20.399999999999999" thickTop="1" thickBot="1">
      <c r="A1789" s="7"/>
      <c r="B1789" s="7" t="s">
        <v>5</v>
      </c>
      <c r="C1789" s="7" t="s">
        <v>153</v>
      </c>
      <c r="D1789" t="str">
        <f t="shared" si="36"/>
        <v>IDN</v>
      </c>
    </row>
    <row r="1790" spans="1:4" ht="30" thickTop="1" thickBot="1">
      <c r="A1790" s="7"/>
      <c r="B1790" s="7" t="s">
        <v>7</v>
      </c>
      <c r="C1790" s="7" t="s">
        <v>70</v>
      </c>
      <c r="D1790" t="str">
        <f t="shared" si="36"/>
        <v>IDN</v>
      </c>
    </row>
    <row r="1791" spans="1:4" ht="15.6" thickTop="1" thickBot="1">
      <c r="A1791" s="7"/>
      <c r="B1791" s="7" t="s">
        <v>11</v>
      </c>
      <c r="C1791" s="7" t="s">
        <v>698</v>
      </c>
      <c r="D1791" t="str">
        <f t="shared" si="36"/>
        <v>IDN</v>
      </c>
    </row>
    <row r="1792" spans="1:4" ht="15.6" thickTop="1" thickBot="1">
      <c r="A1792" s="7"/>
      <c r="B1792" s="7" t="s">
        <v>13</v>
      </c>
      <c r="C1792" s="7" t="s">
        <v>699</v>
      </c>
      <c r="D1792" t="str">
        <f t="shared" si="36"/>
        <v>IDN</v>
      </c>
    </row>
    <row r="1793" spans="1:4" ht="15.6" thickTop="1" thickBot="1">
      <c r="A1793" s="7"/>
      <c r="B1793" s="7" t="s">
        <v>15</v>
      </c>
      <c r="C1793" s="7" t="s">
        <v>700</v>
      </c>
      <c r="D1793" t="str">
        <f t="shared" si="36"/>
        <v>IDN</v>
      </c>
    </row>
    <row r="1794" spans="1:4" ht="15.6" thickTop="1" thickBot="1">
      <c r="A1794" s="7"/>
      <c r="B1794" s="7" t="s">
        <v>22</v>
      </c>
      <c r="C1794" s="7" t="s">
        <v>699</v>
      </c>
      <c r="D1794" t="str">
        <f t="shared" ref="D1794:D1857" si="37">IF(ISNUMBER(FIND(":", A1794)), LEFT(A1794, FIND(":", A1794) - 1), D1793)</f>
        <v>IDN</v>
      </c>
    </row>
    <row r="1795" spans="1:4" ht="15.6" thickTop="1" thickBot="1">
      <c r="A1795" s="7"/>
      <c r="B1795" s="7" t="s">
        <v>23</v>
      </c>
      <c r="C1795" s="7" t="s">
        <v>701</v>
      </c>
      <c r="D1795" t="str">
        <f t="shared" si="37"/>
        <v>IDN</v>
      </c>
    </row>
    <row r="1796" spans="1:4" ht="15.6" thickTop="1" thickBot="1">
      <c r="A1796" s="7"/>
      <c r="B1796" s="7" t="s">
        <v>24</v>
      </c>
      <c r="C1796" s="7">
        <v>3110</v>
      </c>
      <c r="D1796" t="str">
        <f t="shared" si="37"/>
        <v>IDN</v>
      </c>
    </row>
    <row r="1797" spans="1:4" ht="15.6" thickTop="1" thickBot="1">
      <c r="A1797" s="7"/>
      <c r="B1797" s="7" t="s">
        <v>18</v>
      </c>
      <c r="C1797" s="7" t="s">
        <v>702</v>
      </c>
      <c r="D1797" t="str">
        <f t="shared" si="37"/>
        <v>IDN</v>
      </c>
    </row>
    <row r="1798" spans="1:4" ht="15.6" thickTop="1" thickBot="1">
      <c r="A1798" s="7"/>
      <c r="B1798" s="7" t="s">
        <v>19</v>
      </c>
      <c r="C1798" s="7" t="s">
        <v>703</v>
      </c>
      <c r="D1798" t="str">
        <f t="shared" si="37"/>
        <v>IDN</v>
      </c>
    </row>
    <row r="1799" spans="1:4" ht="15.6" thickTop="1" thickBot="1">
      <c r="A1799" s="7"/>
      <c r="B1799" s="7" t="s">
        <v>21</v>
      </c>
      <c r="C1799" s="7" t="s">
        <v>704</v>
      </c>
      <c r="D1799" t="str">
        <f t="shared" si="37"/>
        <v>IDN</v>
      </c>
    </row>
    <row r="1800" spans="1:4" ht="15.6" thickTop="1" thickBot="1">
      <c r="A1800" s="7"/>
      <c r="B1800" s="7" t="s">
        <v>16</v>
      </c>
      <c r="C1800" s="7" t="s">
        <v>699</v>
      </c>
      <c r="D1800" t="str">
        <f t="shared" si="37"/>
        <v>IDN</v>
      </c>
    </row>
    <row r="1801" spans="1:4" ht="15.6" thickTop="1" thickBot="1">
      <c r="A1801" s="7"/>
      <c r="B1801" s="7" t="s">
        <v>17</v>
      </c>
      <c r="C1801" s="7" t="s">
        <v>701</v>
      </c>
      <c r="D1801" t="str">
        <f t="shared" si="37"/>
        <v>IDN</v>
      </c>
    </row>
    <row r="1802" spans="1:4" ht="30" thickTop="1" thickBot="1">
      <c r="A1802" s="9" t="s">
        <v>705</v>
      </c>
      <c r="B1802" s="10"/>
      <c r="C1802" s="11"/>
      <c r="D1802" t="str">
        <f t="shared" si="37"/>
        <v>IRN</v>
      </c>
    </row>
    <row r="1803" spans="1:4" ht="49.2" thickTop="1" thickBot="1">
      <c r="A1803" s="7"/>
      <c r="B1803" s="7" t="s">
        <v>9</v>
      </c>
      <c r="C1803" s="7">
        <v>2017</v>
      </c>
      <c r="D1803" t="str">
        <f t="shared" si="37"/>
        <v>IRN</v>
      </c>
    </row>
    <row r="1804" spans="1:4" ht="39.6" thickTop="1" thickBot="1">
      <c r="A1804" s="7"/>
      <c r="B1804" s="7" t="s">
        <v>10</v>
      </c>
      <c r="C1804" s="7">
        <v>2018</v>
      </c>
      <c r="D1804" t="str">
        <f t="shared" si="37"/>
        <v>IRN</v>
      </c>
    </row>
    <row r="1805" spans="1:4" ht="30" thickTop="1" thickBot="1">
      <c r="A1805" s="7"/>
      <c r="B1805" s="7" t="s">
        <v>25</v>
      </c>
      <c r="C1805" s="8">
        <v>1628550</v>
      </c>
      <c r="D1805" t="str">
        <f t="shared" si="37"/>
        <v>IRN</v>
      </c>
    </row>
    <row r="1806" spans="1:4" ht="20.399999999999999" thickTop="1" thickBot="1">
      <c r="A1806" s="7"/>
      <c r="B1806" s="7" t="s">
        <v>26</v>
      </c>
      <c r="C1806" s="7" t="s">
        <v>706</v>
      </c>
      <c r="D1806" t="str">
        <f t="shared" si="37"/>
        <v>IRN</v>
      </c>
    </row>
    <row r="1807" spans="1:4" ht="30" thickTop="1" thickBot="1">
      <c r="A1807" s="7"/>
      <c r="B1807" s="7" t="s">
        <v>28</v>
      </c>
      <c r="C1807" s="7" t="s">
        <v>707</v>
      </c>
      <c r="D1807" t="str">
        <f t="shared" si="37"/>
        <v>IRN</v>
      </c>
    </row>
    <row r="1808" spans="1:4" ht="30" thickTop="1" thickBot="1">
      <c r="A1808" s="7"/>
      <c r="B1808" s="7" t="s">
        <v>30</v>
      </c>
      <c r="C1808" s="7" t="s">
        <v>708</v>
      </c>
      <c r="D1808" t="str">
        <f t="shared" si="37"/>
        <v>IRN</v>
      </c>
    </row>
    <row r="1809" spans="1:4" ht="20.399999999999999" thickTop="1" thickBot="1">
      <c r="A1809" s="7"/>
      <c r="B1809" s="7" t="s">
        <v>32</v>
      </c>
      <c r="C1809" s="7" t="s">
        <v>33</v>
      </c>
      <c r="D1809" t="str">
        <f t="shared" si="37"/>
        <v>IRN</v>
      </c>
    </row>
    <row r="1810" spans="1:4" ht="30" thickTop="1" thickBot="1">
      <c r="A1810" s="7"/>
      <c r="B1810" s="7" t="s">
        <v>1</v>
      </c>
      <c r="C1810" s="7" t="s">
        <v>2</v>
      </c>
      <c r="D1810" t="str">
        <f t="shared" si="37"/>
        <v>IRN</v>
      </c>
    </row>
    <row r="1811" spans="1:4" ht="30" thickTop="1" thickBot="1">
      <c r="A1811" s="7"/>
      <c r="B1811" s="7" t="s">
        <v>3</v>
      </c>
      <c r="C1811" s="7" t="s">
        <v>36</v>
      </c>
      <c r="D1811" t="str">
        <f t="shared" si="37"/>
        <v>IRN</v>
      </c>
    </row>
    <row r="1812" spans="1:4" ht="20.399999999999999" thickTop="1" thickBot="1">
      <c r="A1812" s="7"/>
      <c r="B1812" s="7" t="s">
        <v>5</v>
      </c>
      <c r="C1812" s="7" t="s">
        <v>6</v>
      </c>
      <c r="D1812" t="str">
        <f t="shared" si="37"/>
        <v>IRN</v>
      </c>
    </row>
    <row r="1813" spans="1:4" ht="30" thickTop="1" thickBot="1">
      <c r="A1813" s="7"/>
      <c r="B1813" s="7" t="s">
        <v>7</v>
      </c>
      <c r="C1813" s="7" t="s">
        <v>38</v>
      </c>
      <c r="D1813" t="str">
        <f t="shared" si="37"/>
        <v>IRN</v>
      </c>
    </row>
    <row r="1814" spans="1:4" ht="15.6" thickTop="1" thickBot="1">
      <c r="A1814" s="7"/>
      <c r="B1814" s="7" t="s">
        <v>11</v>
      </c>
      <c r="C1814" s="7" t="s">
        <v>709</v>
      </c>
      <c r="D1814" t="str">
        <f t="shared" si="37"/>
        <v>IRN</v>
      </c>
    </row>
    <row r="1815" spans="1:4" ht="15.6" thickTop="1" thickBot="1">
      <c r="A1815" s="7"/>
      <c r="B1815" s="7" t="s">
        <v>13</v>
      </c>
      <c r="C1815" s="7" t="s">
        <v>709</v>
      </c>
      <c r="D1815" t="str">
        <f t="shared" si="37"/>
        <v>IRN</v>
      </c>
    </row>
    <row r="1816" spans="1:4" ht="15.6" thickTop="1" thickBot="1">
      <c r="A1816" s="7"/>
      <c r="B1816" s="7" t="s">
        <v>15</v>
      </c>
      <c r="C1816" s="7" t="s">
        <v>710</v>
      </c>
      <c r="D1816" t="str">
        <f t="shared" si="37"/>
        <v>IRN</v>
      </c>
    </row>
    <row r="1817" spans="1:4" ht="15.6" thickTop="1" thickBot="1">
      <c r="A1817" s="7"/>
      <c r="B1817" s="7" t="s">
        <v>22</v>
      </c>
      <c r="C1817" s="7" t="s">
        <v>709</v>
      </c>
      <c r="D1817" t="str">
        <f t="shared" si="37"/>
        <v>IRN</v>
      </c>
    </row>
    <row r="1818" spans="1:4" ht="15.6" thickTop="1" thickBot="1">
      <c r="A1818" s="7"/>
      <c r="B1818" s="7" t="s">
        <v>23</v>
      </c>
      <c r="C1818" s="7" t="s">
        <v>711</v>
      </c>
      <c r="D1818" t="str">
        <f t="shared" si="37"/>
        <v>IRN</v>
      </c>
    </row>
    <row r="1819" spans="1:4" ht="15.6" thickTop="1" thickBot="1">
      <c r="A1819" s="7"/>
      <c r="B1819" s="7" t="s">
        <v>24</v>
      </c>
      <c r="C1819" s="7">
        <v>3130</v>
      </c>
      <c r="D1819" t="str">
        <f t="shared" si="37"/>
        <v>IRN</v>
      </c>
    </row>
    <row r="1820" spans="1:4" ht="15.6" thickTop="1" thickBot="1">
      <c r="A1820" s="7"/>
      <c r="B1820" s="7" t="s">
        <v>18</v>
      </c>
      <c r="C1820" s="7" t="s">
        <v>711</v>
      </c>
      <c r="D1820" t="str">
        <f t="shared" si="37"/>
        <v>IRN</v>
      </c>
    </row>
    <row r="1821" spans="1:4" ht="15.6" thickTop="1" thickBot="1">
      <c r="A1821" s="7"/>
      <c r="B1821" s="7" t="s">
        <v>19</v>
      </c>
      <c r="C1821" s="7" t="s">
        <v>712</v>
      </c>
      <c r="D1821" t="str">
        <f t="shared" si="37"/>
        <v>IRN</v>
      </c>
    </row>
    <row r="1822" spans="1:4" ht="15.6" thickTop="1" thickBot="1">
      <c r="A1822" s="7"/>
      <c r="B1822" s="7" t="s">
        <v>21</v>
      </c>
      <c r="C1822" s="7" t="s">
        <v>713</v>
      </c>
      <c r="D1822" t="str">
        <f t="shared" si="37"/>
        <v>IRN</v>
      </c>
    </row>
    <row r="1823" spans="1:4" ht="15.6" thickTop="1" thickBot="1">
      <c r="A1823" s="7"/>
      <c r="B1823" s="7" t="s">
        <v>16</v>
      </c>
      <c r="C1823" s="7" t="s">
        <v>709</v>
      </c>
      <c r="D1823" t="str">
        <f t="shared" si="37"/>
        <v>IRN</v>
      </c>
    </row>
    <row r="1824" spans="1:4" ht="15.6" thickTop="1" thickBot="1">
      <c r="A1824" s="7"/>
      <c r="B1824" s="7" t="s">
        <v>17</v>
      </c>
      <c r="C1824" s="7" t="s">
        <v>711</v>
      </c>
      <c r="D1824" t="str">
        <f t="shared" si="37"/>
        <v>IRN</v>
      </c>
    </row>
    <row r="1825" spans="1:4" ht="15.6" thickTop="1" thickBot="1">
      <c r="A1825" s="9" t="s">
        <v>714</v>
      </c>
      <c r="B1825" s="10"/>
      <c r="C1825" s="11"/>
      <c r="D1825" t="str">
        <f t="shared" si="37"/>
        <v>IRQ</v>
      </c>
    </row>
    <row r="1826" spans="1:4" ht="49.2" thickTop="1" thickBot="1">
      <c r="A1826" s="7"/>
      <c r="B1826" s="7" t="s">
        <v>9</v>
      </c>
      <c r="C1826" s="7">
        <v>2017</v>
      </c>
      <c r="D1826" t="str">
        <f t="shared" si="37"/>
        <v>IRQ</v>
      </c>
    </row>
    <row r="1827" spans="1:4" ht="39.6" thickTop="1" thickBot="1">
      <c r="A1827" s="7"/>
      <c r="B1827" s="7" t="s">
        <v>10</v>
      </c>
      <c r="C1827" s="7">
        <v>2018</v>
      </c>
      <c r="D1827" t="str">
        <f t="shared" si="37"/>
        <v>IRQ</v>
      </c>
    </row>
    <row r="1828" spans="1:4" ht="30" thickTop="1" thickBot="1">
      <c r="A1828" s="7"/>
      <c r="B1828" s="7" t="s">
        <v>25</v>
      </c>
      <c r="C1828" s="8">
        <v>437370</v>
      </c>
      <c r="D1828" t="str">
        <f t="shared" si="37"/>
        <v>IRQ</v>
      </c>
    </row>
    <row r="1829" spans="1:4" ht="49.2" thickTop="1" thickBot="1">
      <c r="A1829" s="7"/>
      <c r="B1829" s="7" t="s">
        <v>26</v>
      </c>
      <c r="C1829" s="7" t="s">
        <v>715</v>
      </c>
      <c r="D1829" t="str">
        <f t="shared" si="37"/>
        <v>IRQ</v>
      </c>
    </row>
    <row r="1830" spans="1:4" ht="20.399999999999999" thickTop="1" thickBot="1">
      <c r="A1830" s="7"/>
      <c r="B1830" s="7" t="s">
        <v>28</v>
      </c>
      <c r="C1830" s="7" t="s">
        <v>716</v>
      </c>
      <c r="D1830" t="str">
        <f t="shared" si="37"/>
        <v>IRQ</v>
      </c>
    </row>
    <row r="1831" spans="1:4" ht="20.399999999999999" thickTop="1" thickBot="1">
      <c r="A1831" s="7"/>
      <c r="B1831" s="7" t="s">
        <v>30</v>
      </c>
      <c r="C1831" s="7" t="s">
        <v>716</v>
      </c>
      <c r="D1831" t="str">
        <f t="shared" si="37"/>
        <v>IRQ</v>
      </c>
    </row>
    <row r="1832" spans="1:4" ht="20.399999999999999" thickTop="1" thickBot="1">
      <c r="A1832" s="7"/>
      <c r="B1832" s="7" t="s">
        <v>32</v>
      </c>
      <c r="C1832" s="7" t="s">
        <v>33</v>
      </c>
      <c r="D1832" t="str">
        <f t="shared" si="37"/>
        <v>IRQ</v>
      </c>
    </row>
    <row r="1833" spans="1:4" ht="30" thickTop="1" thickBot="1">
      <c r="A1833" s="7"/>
      <c r="B1833" s="7" t="s">
        <v>1</v>
      </c>
      <c r="C1833" s="7" t="s">
        <v>2</v>
      </c>
      <c r="D1833" t="str">
        <f t="shared" si="37"/>
        <v>IRQ</v>
      </c>
    </row>
    <row r="1834" spans="1:4" ht="30" thickTop="1" thickBot="1">
      <c r="A1834" s="7"/>
      <c r="B1834" s="7" t="s">
        <v>3</v>
      </c>
      <c r="C1834" s="7" t="s">
        <v>36</v>
      </c>
      <c r="D1834" t="str">
        <f t="shared" si="37"/>
        <v>IRQ</v>
      </c>
    </row>
    <row r="1835" spans="1:4" ht="20.399999999999999" thickTop="1" thickBot="1">
      <c r="A1835" s="7"/>
      <c r="B1835" s="7" t="s">
        <v>5</v>
      </c>
      <c r="C1835" s="7" t="s">
        <v>6</v>
      </c>
      <c r="D1835" t="str">
        <f t="shared" si="37"/>
        <v>IRQ</v>
      </c>
    </row>
    <row r="1836" spans="1:4" ht="30" thickTop="1" thickBot="1">
      <c r="A1836" s="7"/>
      <c r="B1836" s="7" t="s">
        <v>7</v>
      </c>
      <c r="C1836" s="7" t="s">
        <v>38</v>
      </c>
      <c r="D1836" t="str">
        <f t="shared" si="37"/>
        <v>IRQ</v>
      </c>
    </row>
    <row r="1837" spans="1:4" ht="15.6" thickTop="1" thickBot="1">
      <c r="A1837" s="7"/>
      <c r="B1837" s="7" t="s">
        <v>11</v>
      </c>
      <c r="C1837" s="7" t="s">
        <v>717</v>
      </c>
      <c r="D1837" t="str">
        <f t="shared" si="37"/>
        <v>IRQ</v>
      </c>
    </row>
    <row r="1838" spans="1:4" ht="15.6" thickTop="1" thickBot="1">
      <c r="A1838" s="7"/>
      <c r="B1838" s="7" t="s">
        <v>13</v>
      </c>
      <c r="C1838" s="7" t="s">
        <v>718</v>
      </c>
      <c r="D1838" t="str">
        <f t="shared" si="37"/>
        <v>IRQ</v>
      </c>
    </row>
    <row r="1839" spans="1:4" ht="15.6" thickTop="1" thickBot="1">
      <c r="A1839" s="7"/>
      <c r="B1839" s="7" t="s">
        <v>15</v>
      </c>
      <c r="C1839" s="7" t="s">
        <v>717</v>
      </c>
      <c r="D1839" t="str">
        <f t="shared" si="37"/>
        <v>IRQ</v>
      </c>
    </row>
    <row r="1840" spans="1:4" ht="15.6" thickTop="1" thickBot="1">
      <c r="A1840" s="7"/>
      <c r="B1840" s="7" t="s">
        <v>16</v>
      </c>
      <c r="C1840" s="7" t="s">
        <v>719</v>
      </c>
      <c r="D1840" t="str">
        <f t="shared" si="37"/>
        <v>IRQ</v>
      </c>
    </row>
    <row r="1841" spans="1:4" ht="15.6" thickTop="1" thickBot="1">
      <c r="A1841" s="7"/>
      <c r="B1841" s="7" t="s">
        <v>17</v>
      </c>
      <c r="C1841" s="7" t="s">
        <v>717</v>
      </c>
      <c r="D1841" t="str">
        <f t="shared" si="37"/>
        <v>IRQ</v>
      </c>
    </row>
    <row r="1842" spans="1:4" ht="15.6" thickTop="1" thickBot="1">
      <c r="A1842" s="7"/>
      <c r="B1842" s="7" t="s">
        <v>18</v>
      </c>
      <c r="C1842" s="7" t="s">
        <v>717</v>
      </c>
      <c r="D1842" t="str">
        <f t="shared" si="37"/>
        <v>IRQ</v>
      </c>
    </row>
    <row r="1843" spans="1:4" ht="15.6" thickTop="1" thickBot="1">
      <c r="A1843" s="7"/>
      <c r="B1843" s="7" t="s">
        <v>19</v>
      </c>
      <c r="C1843" s="7" t="s">
        <v>720</v>
      </c>
      <c r="D1843" t="str">
        <f t="shared" si="37"/>
        <v>IRQ</v>
      </c>
    </row>
    <row r="1844" spans="1:4" ht="15.6" thickTop="1" thickBot="1">
      <c r="A1844" s="7"/>
      <c r="B1844" s="7" t="s">
        <v>21</v>
      </c>
      <c r="C1844" s="7" t="s">
        <v>717</v>
      </c>
      <c r="D1844" t="str">
        <f t="shared" si="37"/>
        <v>IRQ</v>
      </c>
    </row>
    <row r="1845" spans="1:4" ht="15.6" thickTop="1" thickBot="1">
      <c r="A1845" s="7"/>
      <c r="B1845" s="7" t="s">
        <v>22</v>
      </c>
      <c r="C1845" s="7" t="s">
        <v>719</v>
      </c>
      <c r="D1845" t="str">
        <f t="shared" si="37"/>
        <v>IRQ</v>
      </c>
    </row>
    <row r="1846" spans="1:4" ht="15.6" thickTop="1" thickBot="1">
      <c r="A1846" s="7"/>
      <c r="B1846" s="7" t="s">
        <v>23</v>
      </c>
      <c r="C1846" s="7" t="s">
        <v>717</v>
      </c>
      <c r="D1846" t="str">
        <f t="shared" si="37"/>
        <v>IRQ</v>
      </c>
    </row>
    <row r="1847" spans="1:4" ht="15.6" thickTop="1" thickBot="1">
      <c r="A1847" s="7"/>
      <c r="B1847" s="7" t="s">
        <v>24</v>
      </c>
      <c r="C1847" s="7">
        <v>3140</v>
      </c>
      <c r="D1847" t="str">
        <f t="shared" si="37"/>
        <v>IRQ</v>
      </c>
    </row>
    <row r="1848" spans="1:4" ht="15.6" thickTop="1" thickBot="1">
      <c r="A1848" s="9" t="s">
        <v>721</v>
      </c>
      <c r="B1848" s="10"/>
      <c r="C1848" s="11"/>
      <c r="D1848" t="str">
        <f t="shared" si="37"/>
        <v>IRL</v>
      </c>
    </row>
    <row r="1849" spans="1:4" ht="49.2" thickTop="1" thickBot="1">
      <c r="A1849" s="7"/>
      <c r="B1849" s="7" t="s">
        <v>9</v>
      </c>
      <c r="C1849" s="7">
        <v>2017</v>
      </c>
      <c r="D1849" t="str">
        <f t="shared" si="37"/>
        <v>IRL</v>
      </c>
    </row>
    <row r="1850" spans="1:4" ht="39.6" thickTop="1" thickBot="1">
      <c r="A1850" s="7"/>
      <c r="B1850" s="7" t="s">
        <v>10</v>
      </c>
      <c r="C1850" s="7">
        <v>2018</v>
      </c>
      <c r="D1850" t="str">
        <f t="shared" si="37"/>
        <v>IRL</v>
      </c>
    </row>
    <row r="1851" spans="1:4" ht="30" thickTop="1" thickBot="1">
      <c r="A1851" s="7"/>
      <c r="B1851" s="7" t="s">
        <v>25</v>
      </c>
      <c r="C1851" s="8">
        <v>68890</v>
      </c>
      <c r="D1851" t="str">
        <f t="shared" si="37"/>
        <v>IRL</v>
      </c>
    </row>
    <row r="1852" spans="1:4" ht="20.399999999999999" thickTop="1" thickBot="1">
      <c r="A1852" s="7"/>
      <c r="B1852" s="7" t="s">
        <v>26</v>
      </c>
      <c r="C1852" s="7" t="s">
        <v>722</v>
      </c>
      <c r="D1852" t="str">
        <f t="shared" si="37"/>
        <v>IRL</v>
      </c>
    </row>
    <row r="1853" spans="1:4" ht="20.399999999999999" thickTop="1" thickBot="1">
      <c r="A1853" s="7"/>
      <c r="B1853" s="7" t="s">
        <v>28</v>
      </c>
      <c r="C1853" s="7" t="s">
        <v>723</v>
      </c>
      <c r="D1853" t="str">
        <f t="shared" si="37"/>
        <v>IRL</v>
      </c>
    </row>
    <row r="1854" spans="1:4" ht="20.399999999999999" thickTop="1" thickBot="1">
      <c r="A1854" s="7"/>
      <c r="B1854" s="7" t="s">
        <v>30</v>
      </c>
      <c r="C1854" s="7" t="s">
        <v>724</v>
      </c>
      <c r="D1854" t="str">
        <f t="shared" si="37"/>
        <v>IRL</v>
      </c>
    </row>
    <row r="1855" spans="1:4" ht="20.399999999999999" thickTop="1" thickBot="1">
      <c r="A1855" s="7"/>
      <c r="B1855" s="7" t="s">
        <v>32</v>
      </c>
      <c r="C1855" s="7" t="s">
        <v>33</v>
      </c>
      <c r="D1855" t="str">
        <f t="shared" si="37"/>
        <v>IRL</v>
      </c>
    </row>
    <row r="1856" spans="1:4" ht="20.399999999999999" thickTop="1" thickBot="1">
      <c r="A1856" s="7"/>
      <c r="B1856" s="7" t="s">
        <v>1</v>
      </c>
      <c r="C1856" s="7" t="s">
        <v>35</v>
      </c>
      <c r="D1856" t="str">
        <f t="shared" si="37"/>
        <v>IRL</v>
      </c>
    </row>
    <row r="1857" spans="1:4" ht="30" thickTop="1" thickBot="1">
      <c r="A1857" s="7"/>
      <c r="B1857" s="7" t="s">
        <v>3</v>
      </c>
      <c r="C1857" s="7" t="s">
        <v>59</v>
      </c>
      <c r="D1857" t="str">
        <f t="shared" si="37"/>
        <v>IRL</v>
      </c>
    </row>
    <row r="1858" spans="1:4" ht="20.399999999999999" thickTop="1" thickBot="1">
      <c r="A1858" s="7"/>
      <c r="B1858" s="7" t="s">
        <v>5</v>
      </c>
      <c r="C1858" s="7" t="s">
        <v>37</v>
      </c>
      <c r="D1858" t="str">
        <f t="shared" ref="D1858:D1921" si="38">IF(ISNUMBER(FIND(":", A1858)), LEFT(A1858, FIND(":", A1858) - 1), D1857)</f>
        <v>IRL</v>
      </c>
    </row>
    <row r="1859" spans="1:4" ht="30" thickTop="1" thickBot="1">
      <c r="A1859" s="7"/>
      <c r="B1859" s="7" t="s">
        <v>7</v>
      </c>
      <c r="C1859" s="7" t="s">
        <v>60</v>
      </c>
      <c r="D1859" t="str">
        <f t="shared" si="38"/>
        <v>IRL</v>
      </c>
    </row>
    <row r="1860" spans="1:4" ht="15.6" thickTop="1" thickBot="1">
      <c r="A1860" s="7"/>
      <c r="B1860" s="7" t="s">
        <v>11</v>
      </c>
      <c r="C1860" s="7" t="s">
        <v>725</v>
      </c>
      <c r="D1860" t="str">
        <f t="shared" si="38"/>
        <v>IRL</v>
      </c>
    </row>
    <row r="1861" spans="1:4" ht="15.6" thickTop="1" thickBot="1">
      <c r="A1861" s="7"/>
      <c r="B1861" s="7" t="s">
        <v>13</v>
      </c>
      <c r="C1861" s="7" t="s">
        <v>726</v>
      </c>
      <c r="D1861" t="str">
        <f t="shared" si="38"/>
        <v>IRL</v>
      </c>
    </row>
    <row r="1862" spans="1:4" ht="15.6" thickTop="1" thickBot="1">
      <c r="A1862" s="7"/>
      <c r="B1862" s="7" t="s">
        <v>15</v>
      </c>
      <c r="C1862" s="7" t="s">
        <v>725</v>
      </c>
      <c r="D1862" t="str">
        <f t="shared" si="38"/>
        <v>IRL</v>
      </c>
    </row>
    <row r="1863" spans="1:4" ht="15.6" thickTop="1" thickBot="1">
      <c r="A1863" s="7"/>
      <c r="B1863" s="7" t="s">
        <v>16</v>
      </c>
      <c r="C1863" s="7" t="s">
        <v>727</v>
      </c>
      <c r="D1863" t="str">
        <f t="shared" si="38"/>
        <v>IRL</v>
      </c>
    </row>
    <row r="1864" spans="1:4" ht="15.6" thickTop="1" thickBot="1">
      <c r="A1864" s="7"/>
      <c r="B1864" s="7" t="s">
        <v>17</v>
      </c>
      <c r="C1864" s="7" t="s">
        <v>725</v>
      </c>
      <c r="D1864" t="str">
        <f t="shared" si="38"/>
        <v>IRL</v>
      </c>
    </row>
    <row r="1865" spans="1:4" ht="15.6" thickTop="1" thickBot="1">
      <c r="A1865" s="7"/>
      <c r="B1865" s="7" t="s">
        <v>18</v>
      </c>
      <c r="C1865" s="7" t="s">
        <v>725</v>
      </c>
      <c r="D1865" t="str">
        <f t="shared" si="38"/>
        <v>IRL</v>
      </c>
    </row>
    <row r="1866" spans="1:4" ht="15.6" thickTop="1" thickBot="1">
      <c r="A1866" s="7"/>
      <c r="B1866" s="7" t="s">
        <v>19</v>
      </c>
      <c r="C1866" s="7" t="s">
        <v>728</v>
      </c>
      <c r="D1866" t="str">
        <f t="shared" si="38"/>
        <v>IRL</v>
      </c>
    </row>
    <row r="1867" spans="1:4" ht="15.6" thickTop="1" thickBot="1">
      <c r="A1867" s="7"/>
      <c r="B1867" s="7" t="s">
        <v>21</v>
      </c>
      <c r="C1867" s="7" t="s">
        <v>729</v>
      </c>
      <c r="D1867" t="str">
        <f t="shared" si="38"/>
        <v>IRL</v>
      </c>
    </row>
    <row r="1868" spans="1:4" ht="15.6" thickTop="1" thickBot="1">
      <c r="A1868" s="7"/>
      <c r="B1868" s="7" t="s">
        <v>22</v>
      </c>
      <c r="C1868" s="7" t="s">
        <v>727</v>
      </c>
      <c r="D1868" t="str">
        <f t="shared" si="38"/>
        <v>IRL</v>
      </c>
    </row>
    <row r="1869" spans="1:4" ht="15.6" thickTop="1" thickBot="1">
      <c r="A1869" s="7"/>
      <c r="B1869" s="7" t="s">
        <v>23</v>
      </c>
      <c r="C1869" s="7" t="s">
        <v>725</v>
      </c>
      <c r="D1869" t="str">
        <f t="shared" si="38"/>
        <v>IRL</v>
      </c>
    </row>
    <row r="1870" spans="1:4" ht="15.6" thickTop="1" thickBot="1">
      <c r="A1870" s="7"/>
      <c r="B1870" s="7" t="s">
        <v>24</v>
      </c>
      <c r="C1870" s="7">
        <v>4170</v>
      </c>
      <c r="D1870" t="str">
        <f t="shared" si="38"/>
        <v>IRL</v>
      </c>
    </row>
    <row r="1871" spans="1:4" ht="15.6" thickTop="1" thickBot="1">
      <c r="A1871" s="9" t="s">
        <v>730</v>
      </c>
      <c r="B1871" s="10"/>
      <c r="C1871" s="11"/>
      <c r="D1871" t="str">
        <f t="shared" si="38"/>
        <v>ISR</v>
      </c>
    </row>
    <row r="1872" spans="1:4" ht="49.2" thickTop="1" thickBot="1">
      <c r="A1872" s="7"/>
      <c r="B1872" s="7" t="s">
        <v>9</v>
      </c>
      <c r="C1872" s="7">
        <v>2017</v>
      </c>
      <c r="D1872" t="str">
        <f t="shared" si="38"/>
        <v>ISR</v>
      </c>
    </row>
    <row r="1873" spans="1:4" ht="39.6" thickTop="1" thickBot="1">
      <c r="A1873" s="7"/>
      <c r="B1873" s="7" t="s">
        <v>10</v>
      </c>
      <c r="C1873" s="7">
        <v>2018</v>
      </c>
      <c r="D1873" t="str">
        <f t="shared" si="38"/>
        <v>ISR</v>
      </c>
    </row>
    <row r="1874" spans="1:4" ht="30" thickTop="1" thickBot="1">
      <c r="A1874" s="7"/>
      <c r="B1874" s="7" t="s">
        <v>25</v>
      </c>
      <c r="C1874" s="8">
        <v>21640</v>
      </c>
      <c r="D1874" t="str">
        <f t="shared" si="38"/>
        <v>ISR</v>
      </c>
    </row>
    <row r="1875" spans="1:4" ht="20.399999999999999" thickTop="1" thickBot="1">
      <c r="A1875" s="7"/>
      <c r="B1875" s="7" t="s">
        <v>26</v>
      </c>
      <c r="C1875" s="7" t="s">
        <v>731</v>
      </c>
      <c r="D1875" t="str">
        <f t="shared" si="38"/>
        <v>ISR</v>
      </c>
    </row>
    <row r="1876" spans="1:4" ht="20.399999999999999" thickTop="1" thickBot="1">
      <c r="A1876" s="7"/>
      <c r="B1876" s="7" t="s">
        <v>28</v>
      </c>
      <c r="C1876" s="7" t="s">
        <v>732</v>
      </c>
      <c r="D1876" t="str">
        <f t="shared" si="38"/>
        <v>ISR</v>
      </c>
    </row>
    <row r="1877" spans="1:4" ht="20.399999999999999" thickTop="1" thickBot="1">
      <c r="A1877" s="7"/>
      <c r="B1877" s="7" t="s">
        <v>30</v>
      </c>
      <c r="C1877" s="7" t="s">
        <v>733</v>
      </c>
      <c r="D1877" t="str">
        <f t="shared" si="38"/>
        <v>ISR</v>
      </c>
    </row>
    <row r="1878" spans="1:4" ht="20.399999999999999" thickTop="1" thickBot="1">
      <c r="A1878" s="7"/>
      <c r="B1878" s="7" t="s">
        <v>32</v>
      </c>
      <c r="C1878" s="7" t="s">
        <v>33</v>
      </c>
      <c r="D1878" t="str">
        <f t="shared" si="38"/>
        <v>ISR</v>
      </c>
    </row>
    <row r="1879" spans="1:4" ht="20.399999999999999" thickTop="1" thickBot="1">
      <c r="A1879" s="7"/>
      <c r="B1879" s="7" t="s">
        <v>1</v>
      </c>
      <c r="C1879" s="7" t="s">
        <v>35</v>
      </c>
      <c r="D1879" t="str">
        <f t="shared" si="38"/>
        <v>ISR</v>
      </c>
    </row>
    <row r="1880" spans="1:4" ht="30" thickTop="1" thickBot="1">
      <c r="A1880" s="7"/>
      <c r="B1880" s="7" t="s">
        <v>3</v>
      </c>
      <c r="C1880" s="7" t="s">
        <v>59</v>
      </c>
      <c r="D1880" t="str">
        <f t="shared" si="38"/>
        <v>ISR</v>
      </c>
    </row>
    <row r="1881" spans="1:4" ht="20.399999999999999" thickTop="1" thickBot="1">
      <c r="A1881" s="7"/>
      <c r="B1881" s="7" t="s">
        <v>5</v>
      </c>
      <c r="C1881" s="7" t="s">
        <v>37</v>
      </c>
      <c r="D1881" t="str">
        <f t="shared" si="38"/>
        <v>ISR</v>
      </c>
    </row>
    <row r="1882" spans="1:4" ht="30" thickTop="1" thickBot="1">
      <c r="A1882" s="7"/>
      <c r="B1882" s="7" t="s">
        <v>7</v>
      </c>
      <c r="C1882" s="7" t="s">
        <v>60</v>
      </c>
      <c r="D1882" t="str">
        <f t="shared" si="38"/>
        <v>ISR</v>
      </c>
    </row>
    <row r="1883" spans="1:4" ht="15.6" thickTop="1" thickBot="1">
      <c r="A1883" s="7"/>
      <c r="B1883" s="7" t="s">
        <v>11</v>
      </c>
      <c r="C1883" s="7" t="s">
        <v>686</v>
      </c>
      <c r="D1883" t="str">
        <f t="shared" si="38"/>
        <v>ISR</v>
      </c>
    </row>
    <row r="1884" spans="1:4" ht="15.6" thickTop="1" thickBot="1">
      <c r="A1884" s="7"/>
      <c r="B1884" s="7" t="s">
        <v>13</v>
      </c>
      <c r="C1884" s="7" t="s">
        <v>682</v>
      </c>
      <c r="D1884" t="str">
        <f t="shared" si="38"/>
        <v>ISR</v>
      </c>
    </row>
    <row r="1885" spans="1:4" ht="15.6" thickTop="1" thickBot="1">
      <c r="A1885" s="7"/>
      <c r="B1885" s="7" t="s">
        <v>15</v>
      </c>
      <c r="C1885" s="7" t="s">
        <v>734</v>
      </c>
      <c r="D1885" t="str">
        <f t="shared" si="38"/>
        <v>ISR</v>
      </c>
    </row>
    <row r="1886" spans="1:4" ht="15.6" thickTop="1" thickBot="1">
      <c r="A1886" s="7"/>
      <c r="B1886" s="7" t="s">
        <v>16</v>
      </c>
      <c r="C1886" s="7" t="s">
        <v>686</v>
      </c>
      <c r="D1886" t="str">
        <f t="shared" si="38"/>
        <v>ISR</v>
      </c>
    </row>
    <row r="1887" spans="1:4" ht="15.6" thickTop="1" thickBot="1">
      <c r="A1887" s="7"/>
      <c r="B1887" s="7" t="s">
        <v>17</v>
      </c>
      <c r="C1887" s="7" t="s">
        <v>734</v>
      </c>
      <c r="D1887" t="str">
        <f t="shared" si="38"/>
        <v>ISR</v>
      </c>
    </row>
    <row r="1888" spans="1:4" ht="15.6" thickTop="1" thickBot="1">
      <c r="A1888" s="7"/>
      <c r="B1888" s="7" t="s">
        <v>18</v>
      </c>
      <c r="C1888" s="7" t="s">
        <v>734</v>
      </c>
      <c r="D1888" t="str">
        <f t="shared" si="38"/>
        <v>ISR</v>
      </c>
    </row>
    <row r="1889" spans="1:4" ht="15.6" thickTop="1" thickBot="1">
      <c r="A1889" s="7"/>
      <c r="B1889" s="7" t="s">
        <v>19</v>
      </c>
      <c r="C1889" s="7" t="s">
        <v>735</v>
      </c>
      <c r="D1889" t="str">
        <f t="shared" si="38"/>
        <v>ISR</v>
      </c>
    </row>
    <row r="1890" spans="1:4" ht="15.6" thickTop="1" thickBot="1">
      <c r="A1890" s="7"/>
      <c r="B1890" s="7" t="s">
        <v>21</v>
      </c>
      <c r="C1890" s="7" t="s">
        <v>734</v>
      </c>
      <c r="D1890" t="str">
        <f t="shared" si="38"/>
        <v>ISR</v>
      </c>
    </row>
    <row r="1891" spans="1:4" ht="15.6" thickTop="1" thickBot="1">
      <c r="A1891" s="7"/>
      <c r="B1891" s="7" t="s">
        <v>22</v>
      </c>
      <c r="C1891" s="7" t="s">
        <v>682</v>
      </c>
      <c r="D1891" t="str">
        <f t="shared" si="38"/>
        <v>ISR</v>
      </c>
    </row>
    <row r="1892" spans="1:4" ht="15.6" thickTop="1" thickBot="1">
      <c r="A1892" s="7"/>
      <c r="B1892" s="7" t="s">
        <v>23</v>
      </c>
      <c r="C1892" s="7" t="s">
        <v>734</v>
      </c>
      <c r="D1892" t="str">
        <f t="shared" si="38"/>
        <v>ISR</v>
      </c>
    </row>
    <row r="1893" spans="1:4" ht="15.6" thickTop="1" thickBot="1">
      <c r="A1893" s="7"/>
      <c r="B1893" s="7" t="s">
        <v>24</v>
      </c>
      <c r="C1893" s="7">
        <v>3150</v>
      </c>
      <c r="D1893" t="str">
        <f t="shared" si="38"/>
        <v>ISR</v>
      </c>
    </row>
    <row r="1894" spans="1:4" ht="15.6" thickTop="1" thickBot="1">
      <c r="A1894" s="9" t="s">
        <v>736</v>
      </c>
      <c r="B1894" s="10"/>
      <c r="C1894" s="11"/>
      <c r="D1894" t="str">
        <f t="shared" si="38"/>
        <v>ITA</v>
      </c>
    </row>
    <row r="1895" spans="1:4" ht="49.2" thickTop="1" thickBot="1">
      <c r="A1895" s="7"/>
      <c r="B1895" s="7" t="s">
        <v>9</v>
      </c>
      <c r="C1895" s="7">
        <v>2017</v>
      </c>
      <c r="D1895" t="str">
        <f t="shared" si="38"/>
        <v>ITA</v>
      </c>
    </row>
    <row r="1896" spans="1:4" ht="39.6" thickTop="1" thickBot="1">
      <c r="A1896" s="7"/>
      <c r="B1896" s="7" t="s">
        <v>10</v>
      </c>
      <c r="C1896" s="7">
        <v>2018</v>
      </c>
      <c r="D1896" t="str">
        <f t="shared" si="38"/>
        <v>ITA</v>
      </c>
    </row>
    <row r="1897" spans="1:4" ht="30" thickTop="1" thickBot="1">
      <c r="A1897" s="7"/>
      <c r="B1897" s="7" t="s">
        <v>25</v>
      </c>
      <c r="C1897" s="8">
        <v>294140</v>
      </c>
      <c r="D1897" t="str">
        <f t="shared" si="38"/>
        <v>ITA</v>
      </c>
    </row>
    <row r="1898" spans="1:4" ht="20.399999999999999" thickTop="1" thickBot="1">
      <c r="A1898" s="7"/>
      <c r="B1898" s="7" t="s">
        <v>26</v>
      </c>
      <c r="C1898" s="7" t="s">
        <v>737</v>
      </c>
      <c r="D1898" t="str">
        <f t="shared" si="38"/>
        <v>ITA</v>
      </c>
    </row>
    <row r="1899" spans="1:4" ht="20.399999999999999" thickTop="1" thickBot="1">
      <c r="A1899" s="7"/>
      <c r="B1899" s="7" t="s">
        <v>28</v>
      </c>
      <c r="C1899" s="7" t="s">
        <v>738</v>
      </c>
      <c r="D1899" t="str">
        <f t="shared" si="38"/>
        <v>ITA</v>
      </c>
    </row>
    <row r="1900" spans="1:4" ht="20.399999999999999" thickTop="1" thickBot="1">
      <c r="A1900" s="7"/>
      <c r="B1900" s="7" t="s">
        <v>30</v>
      </c>
      <c r="C1900" s="7" t="s">
        <v>739</v>
      </c>
      <c r="D1900" t="str">
        <f t="shared" si="38"/>
        <v>ITA</v>
      </c>
    </row>
    <row r="1901" spans="1:4" ht="20.399999999999999" thickTop="1" thickBot="1">
      <c r="A1901" s="7"/>
      <c r="B1901" s="7" t="s">
        <v>32</v>
      </c>
      <c r="C1901" s="7" t="s">
        <v>33</v>
      </c>
      <c r="D1901" t="str">
        <f t="shared" si="38"/>
        <v>ITA</v>
      </c>
    </row>
    <row r="1902" spans="1:4" ht="20.399999999999999" thickTop="1" thickBot="1">
      <c r="A1902" s="7"/>
      <c r="B1902" s="7" t="s">
        <v>1</v>
      </c>
      <c r="C1902" s="7" t="s">
        <v>35</v>
      </c>
      <c r="D1902" t="str">
        <f t="shared" si="38"/>
        <v>ITA</v>
      </c>
    </row>
    <row r="1903" spans="1:4" ht="30" thickTop="1" thickBot="1">
      <c r="A1903" s="7"/>
      <c r="B1903" s="7" t="s">
        <v>3</v>
      </c>
      <c r="C1903" s="7" t="s">
        <v>59</v>
      </c>
      <c r="D1903" t="str">
        <f t="shared" si="38"/>
        <v>ITA</v>
      </c>
    </row>
    <row r="1904" spans="1:4" ht="20.399999999999999" thickTop="1" thickBot="1">
      <c r="A1904" s="7"/>
      <c r="B1904" s="7" t="s">
        <v>5</v>
      </c>
      <c r="C1904" s="7" t="s">
        <v>37</v>
      </c>
      <c r="D1904" t="str">
        <f t="shared" si="38"/>
        <v>ITA</v>
      </c>
    </row>
    <row r="1905" spans="1:4" ht="30" thickTop="1" thickBot="1">
      <c r="A1905" s="7"/>
      <c r="B1905" s="7" t="s">
        <v>7</v>
      </c>
      <c r="C1905" s="7" t="s">
        <v>60</v>
      </c>
      <c r="D1905" t="str">
        <f t="shared" si="38"/>
        <v>ITA</v>
      </c>
    </row>
    <row r="1906" spans="1:4" ht="15.6" thickTop="1" thickBot="1">
      <c r="A1906" s="7"/>
      <c r="B1906" s="7" t="s">
        <v>11</v>
      </c>
      <c r="C1906" s="7" t="s">
        <v>740</v>
      </c>
      <c r="D1906" t="str">
        <f t="shared" si="38"/>
        <v>ITA</v>
      </c>
    </row>
    <row r="1907" spans="1:4" ht="15.6" thickTop="1" thickBot="1">
      <c r="A1907" s="7"/>
      <c r="B1907" s="7" t="s">
        <v>13</v>
      </c>
      <c r="C1907" s="7" t="s">
        <v>741</v>
      </c>
      <c r="D1907" t="str">
        <f t="shared" si="38"/>
        <v>ITA</v>
      </c>
    </row>
    <row r="1908" spans="1:4" ht="15.6" thickTop="1" thickBot="1">
      <c r="A1908" s="7"/>
      <c r="B1908" s="7" t="s">
        <v>15</v>
      </c>
      <c r="C1908" s="7" t="s">
        <v>742</v>
      </c>
      <c r="D1908" t="str">
        <f t="shared" si="38"/>
        <v>ITA</v>
      </c>
    </row>
    <row r="1909" spans="1:4" ht="15.6" thickTop="1" thickBot="1">
      <c r="A1909" s="7"/>
      <c r="B1909" s="7" t="s">
        <v>16</v>
      </c>
      <c r="C1909" s="7" t="s">
        <v>741</v>
      </c>
      <c r="D1909" t="str">
        <f t="shared" si="38"/>
        <v>ITA</v>
      </c>
    </row>
    <row r="1910" spans="1:4" ht="15.6" thickTop="1" thickBot="1">
      <c r="A1910" s="7"/>
      <c r="B1910" s="7" t="s">
        <v>17</v>
      </c>
      <c r="C1910" s="7" t="s">
        <v>742</v>
      </c>
      <c r="D1910" t="str">
        <f t="shared" si="38"/>
        <v>ITA</v>
      </c>
    </row>
    <row r="1911" spans="1:4" ht="15.6" thickTop="1" thickBot="1">
      <c r="A1911" s="7"/>
      <c r="B1911" s="7" t="s">
        <v>18</v>
      </c>
      <c r="C1911" s="7" t="s">
        <v>740</v>
      </c>
      <c r="D1911" t="str">
        <f t="shared" si="38"/>
        <v>ITA</v>
      </c>
    </row>
    <row r="1912" spans="1:4" ht="15.6" thickTop="1" thickBot="1">
      <c r="A1912" s="7"/>
      <c r="B1912" s="7" t="s">
        <v>19</v>
      </c>
      <c r="C1912" s="7" t="s">
        <v>743</v>
      </c>
      <c r="D1912" t="str">
        <f t="shared" si="38"/>
        <v>ITA</v>
      </c>
    </row>
    <row r="1913" spans="1:4" ht="15.6" thickTop="1" thickBot="1">
      <c r="A1913" s="7"/>
      <c r="B1913" s="7" t="s">
        <v>21</v>
      </c>
      <c r="C1913" s="7" t="s">
        <v>742</v>
      </c>
      <c r="D1913" t="str">
        <f t="shared" si="38"/>
        <v>ITA</v>
      </c>
    </row>
    <row r="1914" spans="1:4" ht="15.6" thickTop="1" thickBot="1">
      <c r="A1914" s="7"/>
      <c r="B1914" s="7" t="s">
        <v>22</v>
      </c>
      <c r="C1914" s="7" t="s">
        <v>744</v>
      </c>
      <c r="D1914" t="str">
        <f t="shared" si="38"/>
        <v>ITA</v>
      </c>
    </row>
    <row r="1915" spans="1:4" ht="15.6" thickTop="1" thickBot="1">
      <c r="A1915" s="7"/>
      <c r="B1915" s="7" t="s">
        <v>23</v>
      </c>
      <c r="C1915" s="7" t="s">
        <v>742</v>
      </c>
      <c r="D1915" t="str">
        <f t="shared" si="38"/>
        <v>ITA</v>
      </c>
    </row>
    <row r="1916" spans="1:4" ht="15.6" thickTop="1" thickBot="1">
      <c r="A1916" s="7"/>
      <c r="B1916" s="7" t="s">
        <v>24</v>
      </c>
      <c r="C1916" s="7">
        <v>4180</v>
      </c>
      <c r="D1916" t="str">
        <f t="shared" si="38"/>
        <v>ITA</v>
      </c>
    </row>
    <row r="1917" spans="1:4" ht="20.399999999999999" thickTop="1" thickBot="1">
      <c r="A1917" s="9" t="s">
        <v>745</v>
      </c>
      <c r="B1917" s="10"/>
      <c r="C1917" s="11"/>
      <c r="D1917" t="str">
        <f t="shared" si="38"/>
        <v>JAM</v>
      </c>
    </row>
    <row r="1918" spans="1:4" ht="49.2" thickTop="1" thickBot="1">
      <c r="A1918" s="7"/>
      <c r="B1918" s="7" t="s">
        <v>9</v>
      </c>
      <c r="C1918" s="7">
        <v>2017</v>
      </c>
      <c r="D1918" t="str">
        <f t="shared" si="38"/>
        <v>JAM</v>
      </c>
    </row>
    <row r="1919" spans="1:4" ht="39.6" thickTop="1" thickBot="1">
      <c r="A1919" s="7"/>
      <c r="B1919" s="7" t="s">
        <v>10</v>
      </c>
      <c r="C1919" s="7">
        <v>2018</v>
      </c>
      <c r="D1919" t="str">
        <f t="shared" si="38"/>
        <v>JAM</v>
      </c>
    </row>
    <row r="1920" spans="1:4" ht="30" thickTop="1" thickBot="1">
      <c r="A1920" s="7"/>
      <c r="B1920" s="7" t="s">
        <v>25</v>
      </c>
      <c r="C1920" s="8">
        <v>10830</v>
      </c>
      <c r="D1920" t="str">
        <f t="shared" si="38"/>
        <v>JAM</v>
      </c>
    </row>
    <row r="1921" spans="1:4" ht="30" thickTop="1" thickBot="1">
      <c r="A1921" s="7"/>
      <c r="B1921" s="7" t="s">
        <v>26</v>
      </c>
      <c r="C1921" s="7" t="s">
        <v>746</v>
      </c>
      <c r="D1921" t="str">
        <f t="shared" si="38"/>
        <v>JAM</v>
      </c>
    </row>
    <row r="1922" spans="1:4" ht="20.399999999999999" thickTop="1" thickBot="1">
      <c r="A1922" s="7"/>
      <c r="B1922" s="7" t="s">
        <v>28</v>
      </c>
      <c r="C1922" s="7" t="s">
        <v>747</v>
      </c>
      <c r="D1922" t="str">
        <f t="shared" ref="D1922:D1985" si="39">IF(ISNUMBER(FIND(":", A1922)), LEFT(A1922, FIND(":", A1922) - 1), D1921)</f>
        <v>JAM</v>
      </c>
    </row>
    <row r="1923" spans="1:4" ht="20.399999999999999" thickTop="1" thickBot="1">
      <c r="A1923" s="7"/>
      <c r="B1923" s="7" t="s">
        <v>30</v>
      </c>
      <c r="C1923" s="7" t="s">
        <v>748</v>
      </c>
      <c r="D1923" t="str">
        <f t="shared" si="39"/>
        <v>JAM</v>
      </c>
    </row>
    <row r="1924" spans="1:4" ht="20.399999999999999" thickTop="1" thickBot="1">
      <c r="A1924" s="7"/>
      <c r="B1924" s="7" t="s">
        <v>32</v>
      </c>
      <c r="C1924" s="7" t="s">
        <v>33</v>
      </c>
      <c r="D1924" t="str">
        <f t="shared" si="39"/>
        <v>JAM</v>
      </c>
    </row>
    <row r="1925" spans="1:4" ht="20.399999999999999" thickTop="1" thickBot="1">
      <c r="A1925" s="7"/>
      <c r="B1925" s="7" t="s">
        <v>1</v>
      </c>
      <c r="C1925" s="7" t="s">
        <v>79</v>
      </c>
      <c r="D1925" t="str">
        <f t="shared" si="39"/>
        <v>JAM</v>
      </c>
    </row>
    <row r="1926" spans="1:4" ht="30" thickTop="1" thickBot="1">
      <c r="A1926" s="7"/>
      <c r="B1926" s="7" t="s">
        <v>3</v>
      </c>
      <c r="C1926" s="7" t="s">
        <v>36</v>
      </c>
      <c r="D1926" t="str">
        <f t="shared" si="39"/>
        <v>JAM</v>
      </c>
    </row>
    <row r="1927" spans="1:4" ht="20.399999999999999" thickTop="1" thickBot="1">
      <c r="A1927" s="7"/>
      <c r="B1927" s="7" t="s">
        <v>5</v>
      </c>
      <c r="C1927" s="7" t="s">
        <v>80</v>
      </c>
      <c r="D1927" t="str">
        <f t="shared" si="39"/>
        <v>JAM</v>
      </c>
    </row>
    <row r="1928" spans="1:4" ht="30" thickTop="1" thickBot="1">
      <c r="A1928" s="7"/>
      <c r="B1928" s="7" t="s">
        <v>7</v>
      </c>
      <c r="C1928" s="7" t="s">
        <v>38</v>
      </c>
      <c r="D1928" t="str">
        <f t="shared" si="39"/>
        <v>JAM</v>
      </c>
    </row>
    <row r="1929" spans="1:4" ht="15.6" thickTop="1" thickBot="1">
      <c r="A1929" s="7"/>
      <c r="B1929" s="7" t="s">
        <v>11</v>
      </c>
      <c r="C1929" s="7" t="s">
        <v>749</v>
      </c>
      <c r="D1929" t="str">
        <f t="shared" si="39"/>
        <v>JAM</v>
      </c>
    </row>
    <row r="1930" spans="1:4" ht="15.6" thickTop="1" thickBot="1">
      <c r="A1930" s="7"/>
      <c r="B1930" s="7" t="s">
        <v>13</v>
      </c>
      <c r="C1930" s="7" t="s">
        <v>750</v>
      </c>
      <c r="D1930" t="str">
        <f t="shared" si="39"/>
        <v>JAM</v>
      </c>
    </row>
    <row r="1931" spans="1:4" ht="15.6" thickTop="1" thickBot="1">
      <c r="A1931" s="7"/>
      <c r="B1931" s="7" t="s">
        <v>23</v>
      </c>
      <c r="C1931" s="7" t="s">
        <v>751</v>
      </c>
      <c r="D1931" t="str">
        <f t="shared" si="39"/>
        <v>JAM</v>
      </c>
    </row>
    <row r="1932" spans="1:4" ht="15.6" thickTop="1" thickBot="1">
      <c r="A1932" s="7"/>
      <c r="B1932" s="7" t="s">
        <v>24</v>
      </c>
      <c r="C1932" s="7">
        <v>2290</v>
      </c>
      <c r="D1932" t="str">
        <f t="shared" si="39"/>
        <v>JAM</v>
      </c>
    </row>
    <row r="1933" spans="1:4" ht="15.6" thickTop="1" thickBot="1">
      <c r="A1933" s="7"/>
      <c r="B1933" s="7" t="s">
        <v>21</v>
      </c>
      <c r="C1933" s="7" t="s">
        <v>751</v>
      </c>
      <c r="D1933" t="str">
        <f t="shared" si="39"/>
        <v>JAM</v>
      </c>
    </row>
    <row r="1934" spans="1:4" ht="15.6" thickTop="1" thickBot="1">
      <c r="A1934" s="7"/>
      <c r="B1934" s="7" t="s">
        <v>22</v>
      </c>
      <c r="C1934" s="7" t="s">
        <v>750</v>
      </c>
      <c r="D1934" t="str">
        <f t="shared" si="39"/>
        <v>JAM</v>
      </c>
    </row>
    <row r="1935" spans="1:4" ht="15.6" thickTop="1" thickBot="1">
      <c r="A1935" s="7"/>
      <c r="B1935" s="7" t="s">
        <v>18</v>
      </c>
      <c r="C1935" s="7" t="s">
        <v>752</v>
      </c>
      <c r="D1935" t="str">
        <f t="shared" si="39"/>
        <v>JAM</v>
      </c>
    </row>
    <row r="1936" spans="1:4" ht="15.6" thickTop="1" thickBot="1">
      <c r="A1936" s="7"/>
      <c r="B1936" s="7" t="s">
        <v>19</v>
      </c>
      <c r="C1936" s="7" t="s">
        <v>753</v>
      </c>
      <c r="D1936" t="str">
        <f t="shared" si="39"/>
        <v>JAM</v>
      </c>
    </row>
    <row r="1937" spans="1:4" ht="15.6" thickTop="1" thickBot="1">
      <c r="A1937" s="7"/>
      <c r="B1937" s="7" t="s">
        <v>17</v>
      </c>
      <c r="C1937" s="7" t="s">
        <v>751</v>
      </c>
      <c r="D1937" t="str">
        <f t="shared" si="39"/>
        <v>JAM</v>
      </c>
    </row>
    <row r="1938" spans="1:4" ht="15.6" thickTop="1" thickBot="1">
      <c r="A1938" s="7"/>
      <c r="B1938" s="7" t="s">
        <v>15</v>
      </c>
      <c r="C1938" s="7" t="s">
        <v>751</v>
      </c>
      <c r="D1938" t="str">
        <f t="shared" si="39"/>
        <v>JAM</v>
      </c>
    </row>
    <row r="1939" spans="1:4" ht="15.6" thickTop="1" thickBot="1">
      <c r="A1939" s="7"/>
      <c r="B1939" s="7" t="s">
        <v>16</v>
      </c>
      <c r="C1939" s="7" t="s">
        <v>750</v>
      </c>
      <c r="D1939" t="str">
        <f t="shared" si="39"/>
        <v>JAM</v>
      </c>
    </row>
    <row r="1940" spans="1:4" ht="15.6" thickTop="1" thickBot="1">
      <c r="A1940" s="9" t="s">
        <v>754</v>
      </c>
      <c r="B1940" s="10"/>
      <c r="C1940" s="11"/>
      <c r="D1940" t="str">
        <f t="shared" si="39"/>
        <v>JPN</v>
      </c>
    </row>
    <row r="1941" spans="1:4" ht="49.2" thickTop="1" thickBot="1">
      <c r="A1941" s="7"/>
      <c r="B1941" s="7" t="s">
        <v>9</v>
      </c>
      <c r="C1941" s="7">
        <v>2017</v>
      </c>
      <c r="D1941" t="str">
        <f t="shared" si="39"/>
        <v>JPN</v>
      </c>
    </row>
    <row r="1942" spans="1:4" ht="39.6" thickTop="1" thickBot="1">
      <c r="A1942" s="7"/>
      <c r="B1942" s="7" t="s">
        <v>10</v>
      </c>
      <c r="C1942" s="7">
        <v>2018</v>
      </c>
      <c r="D1942" t="str">
        <f t="shared" si="39"/>
        <v>JPN</v>
      </c>
    </row>
    <row r="1943" spans="1:4" ht="30" thickTop="1" thickBot="1">
      <c r="A1943" s="7"/>
      <c r="B1943" s="7" t="s">
        <v>25</v>
      </c>
      <c r="C1943" s="8">
        <v>364500</v>
      </c>
      <c r="D1943" t="str">
        <f t="shared" si="39"/>
        <v>JPN</v>
      </c>
    </row>
    <row r="1944" spans="1:4" ht="20.399999999999999" thickTop="1" thickBot="1">
      <c r="A1944" s="7"/>
      <c r="B1944" s="7" t="s">
        <v>26</v>
      </c>
      <c r="C1944" s="7" t="s">
        <v>755</v>
      </c>
      <c r="D1944" t="str">
        <f t="shared" si="39"/>
        <v>JPN</v>
      </c>
    </row>
    <row r="1945" spans="1:4" ht="20.399999999999999" thickTop="1" thickBot="1">
      <c r="A1945" s="7"/>
      <c r="B1945" s="7" t="s">
        <v>28</v>
      </c>
      <c r="C1945" s="7" t="s">
        <v>756</v>
      </c>
      <c r="D1945" t="str">
        <f t="shared" si="39"/>
        <v>JPN</v>
      </c>
    </row>
    <row r="1946" spans="1:4" ht="20.399999999999999" thickTop="1" thickBot="1">
      <c r="A1946" s="7"/>
      <c r="B1946" s="7" t="s">
        <v>30</v>
      </c>
      <c r="C1946" s="7" t="s">
        <v>757</v>
      </c>
      <c r="D1946" t="str">
        <f t="shared" si="39"/>
        <v>JPN</v>
      </c>
    </row>
    <row r="1947" spans="1:4" ht="20.399999999999999" thickTop="1" thickBot="1">
      <c r="A1947" s="7"/>
      <c r="B1947" s="7" t="s">
        <v>32</v>
      </c>
      <c r="C1947" s="7" t="s">
        <v>33</v>
      </c>
      <c r="D1947" t="str">
        <f t="shared" si="39"/>
        <v>JPN</v>
      </c>
    </row>
    <row r="1948" spans="1:4" ht="20.399999999999999" thickTop="1" thickBot="1">
      <c r="A1948" s="7"/>
      <c r="B1948" s="7" t="s">
        <v>1</v>
      </c>
      <c r="C1948" s="7" t="s">
        <v>107</v>
      </c>
      <c r="D1948" t="str">
        <f t="shared" si="39"/>
        <v>JPN</v>
      </c>
    </row>
    <row r="1949" spans="1:4" ht="30" thickTop="1" thickBot="1">
      <c r="A1949" s="7"/>
      <c r="B1949" s="7" t="s">
        <v>3</v>
      </c>
      <c r="C1949" s="7" t="s">
        <v>59</v>
      </c>
      <c r="D1949" t="str">
        <f t="shared" si="39"/>
        <v>JPN</v>
      </c>
    </row>
    <row r="1950" spans="1:4" ht="20.399999999999999" thickTop="1" thickBot="1">
      <c r="A1950" s="7"/>
      <c r="B1950" s="7" t="s">
        <v>5</v>
      </c>
      <c r="C1950" s="7" t="s">
        <v>108</v>
      </c>
      <c r="D1950" t="str">
        <f t="shared" si="39"/>
        <v>JPN</v>
      </c>
    </row>
    <row r="1951" spans="1:4" ht="30" thickTop="1" thickBot="1">
      <c r="A1951" s="7"/>
      <c r="B1951" s="7" t="s">
        <v>7</v>
      </c>
      <c r="C1951" s="7" t="s">
        <v>60</v>
      </c>
      <c r="D1951" t="str">
        <f t="shared" si="39"/>
        <v>JPN</v>
      </c>
    </row>
    <row r="1952" spans="1:4" ht="15.6" thickTop="1" thickBot="1">
      <c r="A1952" s="7"/>
      <c r="B1952" s="7" t="s">
        <v>11</v>
      </c>
      <c r="C1952" s="7" t="s">
        <v>758</v>
      </c>
      <c r="D1952" t="str">
        <f t="shared" si="39"/>
        <v>JPN</v>
      </c>
    </row>
    <row r="1953" spans="1:4" ht="15.6" thickTop="1" thickBot="1">
      <c r="A1953" s="7"/>
      <c r="B1953" s="7" t="s">
        <v>13</v>
      </c>
      <c r="C1953" s="7" t="s">
        <v>749</v>
      </c>
      <c r="D1953" t="str">
        <f t="shared" si="39"/>
        <v>JPN</v>
      </c>
    </row>
    <row r="1954" spans="1:4" ht="15.6" thickTop="1" thickBot="1">
      <c r="A1954" s="7"/>
      <c r="B1954" s="7" t="s">
        <v>15</v>
      </c>
      <c r="C1954" s="7" t="s">
        <v>759</v>
      </c>
      <c r="D1954" t="str">
        <f t="shared" si="39"/>
        <v>JPN</v>
      </c>
    </row>
    <row r="1955" spans="1:4" ht="15.6" thickTop="1" thickBot="1">
      <c r="A1955" s="7"/>
      <c r="B1955" s="7" t="s">
        <v>16</v>
      </c>
      <c r="C1955" s="7" t="s">
        <v>760</v>
      </c>
      <c r="D1955" t="str">
        <f t="shared" si="39"/>
        <v>JPN</v>
      </c>
    </row>
    <row r="1956" spans="1:4" ht="15.6" thickTop="1" thickBot="1">
      <c r="A1956" s="7"/>
      <c r="B1956" s="7" t="s">
        <v>17</v>
      </c>
      <c r="C1956" s="7" t="s">
        <v>759</v>
      </c>
      <c r="D1956" t="str">
        <f t="shared" si="39"/>
        <v>JPN</v>
      </c>
    </row>
    <row r="1957" spans="1:4" ht="15.6" thickTop="1" thickBot="1">
      <c r="A1957" s="7"/>
      <c r="B1957" s="7" t="s">
        <v>18</v>
      </c>
      <c r="C1957" s="7" t="s">
        <v>758</v>
      </c>
      <c r="D1957" t="str">
        <f t="shared" si="39"/>
        <v>JPN</v>
      </c>
    </row>
    <row r="1958" spans="1:4" ht="15.6" thickTop="1" thickBot="1">
      <c r="A1958" s="7"/>
      <c r="B1958" s="7" t="s">
        <v>19</v>
      </c>
      <c r="C1958" s="7" t="s">
        <v>761</v>
      </c>
      <c r="D1958" t="str">
        <f t="shared" si="39"/>
        <v>JPN</v>
      </c>
    </row>
    <row r="1959" spans="1:4" ht="15.6" thickTop="1" thickBot="1">
      <c r="A1959" s="7"/>
      <c r="B1959" s="7" t="s">
        <v>21</v>
      </c>
      <c r="C1959" s="7" t="s">
        <v>759</v>
      </c>
      <c r="D1959" t="str">
        <f t="shared" si="39"/>
        <v>JPN</v>
      </c>
    </row>
    <row r="1960" spans="1:4" ht="15.6" thickTop="1" thickBot="1">
      <c r="A1960" s="7"/>
      <c r="B1960" s="7" t="s">
        <v>22</v>
      </c>
      <c r="C1960" s="7" t="s">
        <v>760</v>
      </c>
      <c r="D1960" t="str">
        <f t="shared" si="39"/>
        <v>JPN</v>
      </c>
    </row>
    <row r="1961" spans="1:4" ht="15.6" thickTop="1" thickBot="1">
      <c r="A1961" s="7"/>
      <c r="B1961" s="7" t="s">
        <v>23</v>
      </c>
      <c r="C1961" s="7" t="s">
        <v>759</v>
      </c>
      <c r="D1961" t="str">
        <f t="shared" si="39"/>
        <v>JPN</v>
      </c>
    </row>
    <row r="1962" spans="1:4" ht="15.6" thickTop="1" thickBot="1">
      <c r="A1962" s="7"/>
      <c r="B1962" s="7" t="s">
        <v>24</v>
      </c>
      <c r="C1962" s="7">
        <v>3160</v>
      </c>
      <c r="D1962" t="str">
        <f t="shared" si="39"/>
        <v>JPN</v>
      </c>
    </row>
    <row r="1963" spans="1:4" ht="15.6" thickTop="1" thickBot="1">
      <c r="A1963" s="9" t="s">
        <v>762</v>
      </c>
      <c r="B1963" s="10"/>
      <c r="C1963" s="11"/>
      <c r="D1963" t="str">
        <f t="shared" si="39"/>
        <v>JOR</v>
      </c>
    </row>
    <row r="1964" spans="1:4" ht="49.2" thickTop="1" thickBot="1">
      <c r="A1964" s="7"/>
      <c r="B1964" s="7" t="s">
        <v>9</v>
      </c>
      <c r="C1964" s="7">
        <v>2017</v>
      </c>
      <c r="D1964" t="str">
        <f t="shared" si="39"/>
        <v>JOR</v>
      </c>
    </row>
    <row r="1965" spans="1:4" ht="39.6" thickTop="1" thickBot="1">
      <c r="A1965" s="7"/>
      <c r="B1965" s="7" t="s">
        <v>10</v>
      </c>
      <c r="C1965" s="7">
        <v>2018</v>
      </c>
      <c r="D1965" t="str">
        <f t="shared" si="39"/>
        <v>JOR</v>
      </c>
    </row>
    <row r="1966" spans="1:4" ht="30" thickTop="1" thickBot="1">
      <c r="A1966" s="7"/>
      <c r="B1966" s="7" t="s">
        <v>25</v>
      </c>
      <c r="C1966" s="8">
        <v>88240</v>
      </c>
      <c r="D1966" t="str">
        <f t="shared" si="39"/>
        <v>JOR</v>
      </c>
    </row>
    <row r="1967" spans="1:4" ht="20.399999999999999" thickTop="1" thickBot="1">
      <c r="A1967" s="7"/>
      <c r="B1967" s="7" t="s">
        <v>26</v>
      </c>
      <c r="C1967" s="7" t="s">
        <v>486</v>
      </c>
      <c r="D1967" t="str">
        <f t="shared" si="39"/>
        <v>JOR</v>
      </c>
    </row>
    <row r="1968" spans="1:4" ht="20.399999999999999" thickTop="1" thickBot="1">
      <c r="A1968" s="7"/>
      <c r="B1968" s="7" t="s">
        <v>28</v>
      </c>
      <c r="C1968" s="7" t="s">
        <v>763</v>
      </c>
      <c r="D1968" t="str">
        <f t="shared" si="39"/>
        <v>JOR</v>
      </c>
    </row>
    <row r="1969" spans="1:4" ht="20.399999999999999" thickTop="1" thickBot="1">
      <c r="A1969" s="7"/>
      <c r="B1969" s="7" t="s">
        <v>30</v>
      </c>
      <c r="C1969" s="7" t="s">
        <v>764</v>
      </c>
      <c r="D1969" t="str">
        <f t="shared" si="39"/>
        <v>JOR</v>
      </c>
    </row>
    <row r="1970" spans="1:4" ht="20.399999999999999" thickTop="1" thickBot="1">
      <c r="A1970" s="7"/>
      <c r="B1970" s="7" t="s">
        <v>32</v>
      </c>
      <c r="C1970" s="7" t="s">
        <v>33</v>
      </c>
      <c r="D1970" t="str">
        <f t="shared" si="39"/>
        <v>JOR</v>
      </c>
    </row>
    <row r="1971" spans="1:4" ht="30" thickTop="1" thickBot="1">
      <c r="A1971" s="7"/>
      <c r="B1971" s="7" t="s">
        <v>1</v>
      </c>
      <c r="C1971" s="7" t="s">
        <v>2</v>
      </c>
      <c r="D1971" t="str">
        <f t="shared" si="39"/>
        <v>JOR</v>
      </c>
    </row>
    <row r="1972" spans="1:4" ht="30" thickTop="1" thickBot="1">
      <c r="A1972" s="7"/>
      <c r="B1972" s="7" t="s">
        <v>3</v>
      </c>
      <c r="C1972" s="7" t="s">
        <v>36</v>
      </c>
      <c r="D1972" t="str">
        <f t="shared" si="39"/>
        <v>JOR</v>
      </c>
    </row>
    <row r="1973" spans="1:4" ht="20.399999999999999" thickTop="1" thickBot="1">
      <c r="A1973" s="7"/>
      <c r="B1973" s="7" t="s">
        <v>5</v>
      </c>
      <c r="C1973" s="7" t="s">
        <v>6</v>
      </c>
      <c r="D1973" t="str">
        <f t="shared" si="39"/>
        <v>JOR</v>
      </c>
    </row>
    <row r="1974" spans="1:4" ht="30" thickTop="1" thickBot="1">
      <c r="A1974" s="7"/>
      <c r="B1974" s="7" t="s">
        <v>7</v>
      </c>
      <c r="C1974" s="7" t="s">
        <v>38</v>
      </c>
      <c r="D1974" t="str">
        <f t="shared" si="39"/>
        <v>JOR</v>
      </c>
    </row>
    <row r="1975" spans="1:4" ht="15.6" thickTop="1" thickBot="1">
      <c r="A1975" s="7"/>
      <c r="B1975" s="7" t="s">
        <v>11</v>
      </c>
      <c r="C1975" s="7" t="s">
        <v>765</v>
      </c>
      <c r="D1975" t="str">
        <f t="shared" si="39"/>
        <v>JOR</v>
      </c>
    </row>
    <row r="1976" spans="1:4" ht="15.6" thickTop="1" thickBot="1">
      <c r="A1976" s="7"/>
      <c r="B1976" s="7" t="s">
        <v>13</v>
      </c>
      <c r="C1976" s="7" t="s">
        <v>766</v>
      </c>
      <c r="D1976" t="str">
        <f t="shared" si="39"/>
        <v>JOR</v>
      </c>
    </row>
    <row r="1977" spans="1:4" ht="15.6" thickTop="1" thickBot="1">
      <c r="A1977" s="7"/>
      <c r="B1977" s="7" t="s">
        <v>15</v>
      </c>
      <c r="C1977" s="7" t="s">
        <v>767</v>
      </c>
      <c r="D1977" t="str">
        <f t="shared" si="39"/>
        <v>JOR</v>
      </c>
    </row>
    <row r="1978" spans="1:4" ht="15.6" thickTop="1" thickBot="1">
      <c r="A1978" s="7"/>
      <c r="B1978" s="7" t="s">
        <v>16</v>
      </c>
      <c r="C1978" s="7" t="s">
        <v>766</v>
      </c>
      <c r="D1978" t="str">
        <f t="shared" si="39"/>
        <v>JOR</v>
      </c>
    </row>
    <row r="1979" spans="1:4" ht="15.6" thickTop="1" thickBot="1">
      <c r="A1979" s="7"/>
      <c r="B1979" s="7" t="s">
        <v>17</v>
      </c>
      <c r="C1979" s="7" t="s">
        <v>767</v>
      </c>
      <c r="D1979" t="str">
        <f t="shared" si="39"/>
        <v>JOR</v>
      </c>
    </row>
    <row r="1980" spans="1:4" ht="15.6" thickTop="1" thickBot="1">
      <c r="A1980" s="7"/>
      <c r="B1980" s="7" t="s">
        <v>18</v>
      </c>
      <c r="C1980" s="7" t="s">
        <v>767</v>
      </c>
      <c r="D1980" t="str">
        <f t="shared" si="39"/>
        <v>JOR</v>
      </c>
    </row>
    <row r="1981" spans="1:4" ht="15.6" thickTop="1" thickBot="1">
      <c r="A1981" s="7"/>
      <c r="B1981" s="7" t="s">
        <v>19</v>
      </c>
      <c r="C1981" s="7" t="s">
        <v>768</v>
      </c>
      <c r="D1981" t="str">
        <f t="shared" si="39"/>
        <v>JOR</v>
      </c>
    </row>
    <row r="1982" spans="1:4" ht="15.6" thickTop="1" thickBot="1">
      <c r="A1982" s="7"/>
      <c r="B1982" s="7" t="s">
        <v>21</v>
      </c>
      <c r="C1982" s="7" t="s">
        <v>767</v>
      </c>
      <c r="D1982" t="str">
        <f t="shared" si="39"/>
        <v>JOR</v>
      </c>
    </row>
    <row r="1983" spans="1:4" ht="15.6" thickTop="1" thickBot="1">
      <c r="A1983" s="7"/>
      <c r="B1983" s="7" t="s">
        <v>22</v>
      </c>
      <c r="C1983" s="7" t="s">
        <v>769</v>
      </c>
      <c r="D1983" t="str">
        <f t="shared" si="39"/>
        <v>JOR</v>
      </c>
    </row>
    <row r="1984" spans="1:4" ht="15.6" thickTop="1" thickBot="1">
      <c r="A1984" s="7"/>
      <c r="B1984" s="7" t="s">
        <v>23</v>
      </c>
      <c r="C1984" s="7" t="s">
        <v>767</v>
      </c>
      <c r="D1984" t="str">
        <f t="shared" si="39"/>
        <v>JOR</v>
      </c>
    </row>
    <row r="1985" spans="1:4" ht="15.6" thickTop="1" thickBot="1">
      <c r="A1985" s="7"/>
      <c r="B1985" s="7" t="s">
        <v>24</v>
      </c>
      <c r="C1985" s="7">
        <v>3170</v>
      </c>
      <c r="D1985" t="str">
        <f t="shared" si="39"/>
        <v>JOR</v>
      </c>
    </row>
    <row r="1986" spans="1:4" ht="20.399999999999999" thickTop="1" thickBot="1">
      <c r="A1986" s="9" t="s">
        <v>770</v>
      </c>
      <c r="B1986" s="10"/>
      <c r="C1986" s="11"/>
      <c r="D1986" t="str">
        <f t="shared" ref="D1986:D2049" si="40">IF(ISNUMBER(FIND(":", A1986)), LEFT(A1986, FIND(":", A1986) - 1), D1985)</f>
        <v>KAZ</v>
      </c>
    </row>
    <row r="1987" spans="1:4" ht="49.2" thickTop="1" thickBot="1">
      <c r="A1987" s="7"/>
      <c r="B1987" s="7" t="s">
        <v>9</v>
      </c>
      <c r="C1987" s="7">
        <v>2017</v>
      </c>
      <c r="D1987" t="str">
        <f t="shared" si="40"/>
        <v>KAZ</v>
      </c>
    </row>
    <row r="1988" spans="1:4" ht="39.6" thickTop="1" thickBot="1">
      <c r="A1988" s="7"/>
      <c r="B1988" s="7" t="s">
        <v>10</v>
      </c>
      <c r="C1988" s="7">
        <v>2018</v>
      </c>
      <c r="D1988" t="str">
        <f t="shared" si="40"/>
        <v>KAZ</v>
      </c>
    </row>
    <row r="1989" spans="1:4" ht="30" thickTop="1" thickBot="1">
      <c r="A1989" s="7"/>
      <c r="B1989" s="7" t="s">
        <v>25</v>
      </c>
      <c r="C1989" s="8">
        <v>2699700</v>
      </c>
      <c r="D1989" t="str">
        <f t="shared" si="40"/>
        <v>KAZ</v>
      </c>
    </row>
    <row r="1990" spans="1:4" ht="20.399999999999999" thickTop="1" thickBot="1">
      <c r="A1990" s="7"/>
      <c r="B1990" s="7" t="s">
        <v>26</v>
      </c>
      <c r="C1990" s="7" t="s">
        <v>771</v>
      </c>
      <c r="D1990" t="str">
        <f t="shared" si="40"/>
        <v>KAZ</v>
      </c>
    </row>
    <row r="1991" spans="1:4" ht="20.399999999999999" thickTop="1" thickBot="1">
      <c r="A1991" s="7"/>
      <c r="B1991" s="7" t="s">
        <v>28</v>
      </c>
      <c r="C1991" s="7" t="s">
        <v>772</v>
      </c>
      <c r="D1991" t="str">
        <f t="shared" si="40"/>
        <v>KAZ</v>
      </c>
    </row>
    <row r="1992" spans="1:4" ht="20.399999999999999" thickTop="1" thickBot="1">
      <c r="A1992" s="7"/>
      <c r="B1992" s="7" t="s">
        <v>30</v>
      </c>
      <c r="C1992" s="7" t="s">
        <v>773</v>
      </c>
      <c r="D1992" t="str">
        <f t="shared" si="40"/>
        <v>KAZ</v>
      </c>
    </row>
    <row r="1993" spans="1:4" ht="20.399999999999999" thickTop="1" thickBot="1">
      <c r="A1993" s="7"/>
      <c r="B1993" s="7" t="s">
        <v>32</v>
      </c>
      <c r="C1993" s="7" t="s">
        <v>33</v>
      </c>
      <c r="D1993" t="str">
        <f t="shared" si="40"/>
        <v>KAZ</v>
      </c>
    </row>
    <row r="1994" spans="1:4" ht="20.399999999999999" thickTop="1" thickBot="1">
      <c r="A1994" s="7"/>
      <c r="B1994" s="7" t="s">
        <v>1</v>
      </c>
      <c r="C1994" s="7" t="s">
        <v>35</v>
      </c>
      <c r="D1994" t="str">
        <f t="shared" si="40"/>
        <v>KAZ</v>
      </c>
    </row>
    <row r="1995" spans="1:4" ht="30" thickTop="1" thickBot="1">
      <c r="A1995" s="7"/>
      <c r="B1995" s="7" t="s">
        <v>3</v>
      </c>
      <c r="C1995" s="7" t="s">
        <v>36</v>
      </c>
      <c r="D1995" t="str">
        <f t="shared" si="40"/>
        <v>KAZ</v>
      </c>
    </row>
    <row r="1996" spans="1:4" ht="20.399999999999999" thickTop="1" thickBot="1">
      <c r="A1996" s="7"/>
      <c r="B1996" s="7" t="s">
        <v>5</v>
      </c>
      <c r="C1996" s="7" t="s">
        <v>37</v>
      </c>
      <c r="D1996" t="str">
        <f t="shared" si="40"/>
        <v>KAZ</v>
      </c>
    </row>
    <row r="1997" spans="1:4" ht="30" thickTop="1" thickBot="1">
      <c r="A1997" s="7"/>
      <c r="B1997" s="7" t="s">
        <v>7</v>
      </c>
      <c r="C1997" s="7" t="s">
        <v>38</v>
      </c>
      <c r="D1997" t="str">
        <f t="shared" si="40"/>
        <v>KAZ</v>
      </c>
    </row>
    <row r="1998" spans="1:4" ht="15.6" thickTop="1" thickBot="1">
      <c r="A1998" s="7"/>
      <c r="B1998" s="7" t="s">
        <v>11</v>
      </c>
      <c r="C1998" s="7" t="s">
        <v>774</v>
      </c>
      <c r="D1998" t="str">
        <f t="shared" si="40"/>
        <v>KAZ</v>
      </c>
    </row>
    <row r="1999" spans="1:4" ht="15.6" thickTop="1" thickBot="1">
      <c r="A1999" s="7"/>
      <c r="B1999" s="7" t="s">
        <v>24</v>
      </c>
      <c r="C1999" s="7">
        <v>4182</v>
      </c>
      <c r="D1999" t="str">
        <f t="shared" si="40"/>
        <v>KAZ</v>
      </c>
    </row>
    <row r="2000" spans="1:4" ht="15.6" thickTop="1" thickBot="1">
      <c r="A2000" s="7"/>
      <c r="B2000" s="7" t="s">
        <v>23</v>
      </c>
      <c r="C2000" s="7" t="s">
        <v>775</v>
      </c>
      <c r="D2000" t="str">
        <f t="shared" si="40"/>
        <v>KAZ</v>
      </c>
    </row>
    <row r="2001" spans="1:4" ht="15.6" thickTop="1" thickBot="1">
      <c r="A2001" s="7"/>
      <c r="B2001" s="7" t="s">
        <v>22</v>
      </c>
      <c r="C2001" s="7" t="s">
        <v>774</v>
      </c>
      <c r="D2001" t="str">
        <f t="shared" si="40"/>
        <v>KAZ</v>
      </c>
    </row>
    <row r="2002" spans="1:4" ht="15.6" thickTop="1" thickBot="1">
      <c r="A2002" s="7"/>
      <c r="B2002" s="7" t="s">
        <v>19</v>
      </c>
      <c r="C2002" s="7" t="s">
        <v>776</v>
      </c>
      <c r="D2002" t="str">
        <f t="shared" si="40"/>
        <v>KAZ</v>
      </c>
    </row>
    <row r="2003" spans="1:4" ht="15.6" thickTop="1" thickBot="1">
      <c r="A2003" s="7"/>
      <c r="B2003" s="7" t="s">
        <v>21</v>
      </c>
      <c r="C2003" s="7" t="s">
        <v>775</v>
      </c>
      <c r="D2003" t="str">
        <f t="shared" si="40"/>
        <v>KAZ</v>
      </c>
    </row>
    <row r="2004" spans="1:4" ht="15.6" thickTop="1" thickBot="1">
      <c r="A2004" s="7"/>
      <c r="B2004" s="7" t="s">
        <v>18</v>
      </c>
      <c r="C2004" s="7" t="s">
        <v>775</v>
      </c>
      <c r="D2004" t="str">
        <f t="shared" si="40"/>
        <v>KAZ</v>
      </c>
    </row>
    <row r="2005" spans="1:4" ht="15.6" thickTop="1" thickBot="1">
      <c r="A2005" s="7"/>
      <c r="B2005" s="7" t="s">
        <v>17</v>
      </c>
      <c r="C2005" s="7" t="s">
        <v>775</v>
      </c>
      <c r="D2005" t="str">
        <f t="shared" si="40"/>
        <v>KAZ</v>
      </c>
    </row>
    <row r="2006" spans="1:4" ht="15.6" thickTop="1" thickBot="1">
      <c r="A2006" s="7"/>
      <c r="B2006" s="7" t="s">
        <v>16</v>
      </c>
      <c r="C2006" s="7" t="s">
        <v>774</v>
      </c>
      <c r="D2006" t="str">
        <f t="shared" si="40"/>
        <v>KAZ</v>
      </c>
    </row>
    <row r="2007" spans="1:4" ht="15.6" thickTop="1" thickBot="1">
      <c r="A2007" s="7"/>
      <c r="B2007" s="7" t="s">
        <v>13</v>
      </c>
      <c r="C2007" s="7" t="s">
        <v>774</v>
      </c>
      <c r="D2007" t="str">
        <f t="shared" si="40"/>
        <v>KAZ</v>
      </c>
    </row>
    <row r="2008" spans="1:4" ht="15.6" thickTop="1" thickBot="1">
      <c r="A2008" s="7"/>
      <c r="B2008" s="7" t="s">
        <v>15</v>
      </c>
      <c r="C2008" s="7" t="s">
        <v>775</v>
      </c>
      <c r="D2008" t="str">
        <f t="shared" si="40"/>
        <v>KAZ</v>
      </c>
    </row>
    <row r="2009" spans="1:4" ht="15.6" thickTop="1" thickBot="1">
      <c r="A2009" s="9" t="s">
        <v>777</v>
      </c>
      <c r="B2009" s="10"/>
      <c r="C2009" s="11"/>
      <c r="D2009" t="str">
        <f t="shared" si="40"/>
        <v>KEN</v>
      </c>
    </row>
    <row r="2010" spans="1:4" ht="49.2" thickTop="1" thickBot="1">
      <c r="A2010" s="7"/>
      <c r="B2010" s="7" t="s">
        <v>9</v>
      </c>
      <c r="C2010" s="7">
        <v>2017</v>
      </c>
      <c r="D2010" t="str">
        <f t="shared" si="40"/>
        <v>KEN</v>
      </c>
    </row>
    <row r="2011" spans="1:4" ht="39.6" thickTop="1" thickBot="1">
      <c r="A2011" s="7"/>
      <c r="B2011" s="7" t="s">
        <v>10</v>
      </c>
      <c r="C2011" s="7">
        <v>2018</v>
      </c>
      <c r="D2011" t="str">
        <f t="shared" si="40"/>
        <v>KEN</v>
      </c>
    </row>
    <row r="2012" spans="1:4" ht="30" thickTop="1" thickBot="1">
      <c r="A2012" s="7"/>
      <c r="B2012" s="7" t="s">
        <v>25</v>
      </c>
      <c r="C2012" s="8">
        <v>569140</v>
      </c>
      <c r="D2012" t="str">
        <f t="shared" si="40"/>
        <v>KEN</v>
      </c>
    </row>
    <row r="2013" spans="1:4" ht="49.2" thickTop="1" thickBot="1">
      <c r="A2013" s="7"/>
      <c r="B2013" s="7" t="s">
        <v>26</v>
      </c>
      <c r="C2013" s="7" t="s">
        <v>778</v>
      </c>
      <c r="D2013" t="str">
        <f t="shared" si="40"/>
        <v>KEN</v>
      </c>
    </row>
    <row r="2014" spans="1:4" ht="20.399999999999999" thickTop="1" thickBot="1">
      <c r="A2014" s="7"/>
      <c r="B2014" s="7" t="s">
        <v>28</v>
      </c>
      <c r="C2014" s="7" t="s">
        <v>779</v>
      </c>
      <c r="D2014" t="str">
        <f t="shared" si="40"/>
        <v>KEN</v>
      </c>
    </row>
    <row r="2015" spans="1:4" ht="20.399999999999999" thickTop="1" thickBot="1">
      <c r="A2015" s="7"/>
      <c r="B2015" s="7" t="s">
        <v>30</v>
      </c>
      <c r="C2015" s="7" t="s">
        <v>779</v>
      </c>
      <c r="D2015" t="str">
        <f t="shared" si="40"/>
        <v>KEN</v>
      </c>
    </row>
    <row r="2016" spans="1:4" ht="20.399999999999999" thickTop="1" thickBot="1">
      <c r="A2016" s="7"/>
      <c r="B2016" s="7" t="s">
        <v>32</v>
      </c>
      <c r="C2016" s="7" t="s">
        <v>33</v>
      </c>
      <c r="D2016" t="str">
        <f t="shared" si="40"/>
        <v>KEN</v>
      </c>
    </row>
    <row r="2017" spans="1:4" ht="20.399999999999999" thickTop="1" thickBot="1">
      <c r="A2017" s="7"/>
      <c r="B2017" s="7" t="s">
        <v>1</v>
      </c>
      <c r="C2017" s="7" t="s">
        <v>50</v>
      </c>
      <c r="D2017" t="str">
        <f t="shared" si="40"/>
        <v>KEN</v>
      </c>
    </row>
    <row r="2018" spans="1:4" ht="30" thickTop="1" thickBot="1">
      <c r="A2018" s="7"/>
      <c r="B2018" s="7" t="s">
        <v>3</v>
      </c>
      <c r="C2018" s="7" t="s">
        <v>69</v>
      </c>
      <c r="D2018" t="str">
        <f t="shared" si="40"/>
        <v>KEN</v>
      </c>
    </row>
    <row r="2019" spans="1:4" ht="20.399999999999999" thickTop="1" thickBot="1">
      <c r="A2019" s="7"/>
      <c r="B2019" s="7" t="s">
        <v>5</v>
      </c>
      <c r="C2019" s="7" t="s">
        <v>51</v>
      </c>
      <c r="D2019" t="str">
        <f t="shared" si="40"/>
        <v>KEN</v>
      </c>
    </row>
    <row r="2020" spans="1:4" ht="30" thickTop="1" thickBot="1">
      <c r="A2020" s="7"/>
      <c r="B2020" s="7" t="s">
        <v>7</v>
      </c>
      <c r="C2020" s="7" t="s">
        <v>70</v>
      </c>
      <c r="D2020" t="str">
        <f t="shared" si="40"/>
        <v>KEN</v>
      </c>
    </row>
    <row r="2021" spans="1:4" ht="15.6" thickTop="1" thickBot="1">
      <c r="A2021" s="7"/>
      <c r="B2021" s="7" t="s">
        <v>11</v>
      </c>
      <c r="C2021" s="7" t="s">
        <v>780</v>
      </c>
      <c r="D2021" t="str">
        <f t="shared" si="40"/>
        <v>KEN</v>
      </c>
    </row>
    <row r="2022" spans="1:4" ht="15.6" thickTop="1" thickBot="1">
      <c r="A2022" s="7"/>
      <c r="B2022" s="7" t="s">
        <v>13</v>
      </c>
      <c r="C2022" s="7" t="s">
        <v>781</v>
      </c>
      <c r="D2022" t="str">
        <f t="shared" si="40"/>
        <v>KEN</v>
      </c>
    </row>
    <row r="2023" spans="1:4" ht="15.6" thickTop="1" thickBot="1">
      <c r="A2023" s="7"/>
      <c r="B2023" s="7" t="s">
        <v>15</v>
      </c>
      <c r="C2023" s="7" t="s">
        <v>782</v>
      </c>
      <c r="D2023" t="str">
        <f t="shared" si="40"/>
        <v>KEN</v>
      </c>
    </row>
    <row r="2024" spans="1:4" ht="15.6" thickTop="1" thickBot="1">
      <c r="A2024" s="7"/>
      <c r="B2024" s="7" t="s">
        <v>16</v>
      </c>
      <c r="C2024" s="7" t="s">
        <v>781</v>
      </c>
      <c r="D2024" t="str">
        <f t="shared" si="40"/>
        <v>KEN</v>
      </c>
    </row>
    <row r="2025" spans="1:4" ht="15.6" thickTop="1" thickBot="1">
      <c r="A2025" s="7"/>
      <c r="B2025" s="7" t="s">
        <v>17</v>
      </c>
      <c r="C2025" s="7" t="s">
        <v>782</v>
      </c>
      <c r="D2025" t="str">
        <f t="shared" si="40"/>
        <v>KEN</v>
      </c>
    </row>
    <row r="2026" spans="1:4" ht="15.6" thickTop="1" thickBot="1">
      <c r="A2026" s="7"/>
      <c r="B2026" s="7" t="s">
        <v>18</v>
      </c>
      <c r="C2026" s="7" t="s">
        <v>782</v>
      </c>
      <c r="D2026" t="str">
        <f t="shared" si="40"/>
        <v>KEN</v>
      </c>
    </row>
    <row r="2027" spans="1:4" ht="15.6" thickTop="1" thickBot="1">
      <c r="A2027" s="7"/>
      <c r="B2027" s="7" t="s">
        <v>19</v>
      </c>
      <c r="C2027" s="7" t="s">
        <v>783</v>
      </c>
      <c r="D2027" t="str">
        <f t="shared" si="40"/>
        <v>KEN</v>
      </c>
    </row>
    <row r="2028" spans="1:4" ht="15.6" thickTop="1" thickBot="1">
      <c r="A2028" s="7"/>
      <c r="B2028" s="7" t="s">
        <v>21</v>
      </c>
      <c r="C2028" s="7" t="s">
        <v>782</v>
      </c>
      <c r="D2028" t="str">
        <f t="shared" si="40"/>
        <v>KEN</v>
      </c>
    </row>
    <row r="2029" spans="1:4" ht="15.6" thickTop="1" thickBot="1">
      <c r="A2029" s="7"/>
      <c r="B2029" s="7" t="s">
        <v>22</v>
      </c>
      <c r="C2029" s="7" t="s">
        <v>430</v>
      </c>
      <c r="D2029" t="str">
        <f t="shared" si="40"/>
        <v>KEN</v>
      </c>
    </row>
    <row r="2030" spans="1:4" ht="15.6" thickTop="1" thickBot="1">
      <c r="A2030" s="7"/>
      <c r="B2030" s="7" t="s">
        <v>23</v>
      </c>
      <c r="C2030" s="7" t="s">
        <v>782</v>
      </c>
      <c r="D2030" t="str">
        <f t="shared" si="40"/>
        <v>KEN</v>
      </c>
    </row>
    <row r="2031" spans="1:4" ht="15.6" thickTop="1" thickBot="1">
      <c r="A2031" s="7"/>
      <c r="B2031" s="7" t="s">
        <v>24</v>
      </c>
      <c r="C2031" s="7">
        <v>1220</v>
      </c>
      <c r="D2031" t="str">
        <f t="shared" si="40"/>
        <v>KEN</v>
      </c>
    </row>
    <row r="2032" spans="1:4" ht="15.6" thickTop="1" thickBot="1">
      <c r="A2032" s="9" t="s">
        <v>784</v>
      </c>
      <c r="B2032" s="10"/>
      <c r="C2032" s="11"/>
      <c r="D2032" t="str">
        <f t="shared" si="40"/>
        <v>KIR</v>
      </c>
    </row>
    <row r="2033" spans="1:4" ht="49.2" thickTop="1" thickBot="1">
      <c r="A2033" s="7"/>
      <c r="B2033" s="7" t="s">
        <v>9</v>
      </c>
      <c r="C2033" s="7">
        <v>2017</v>
      </c>
      <c r="D2033" t="str">
        <f t="shared" si="40"/>
        <v>KIR</v>
      </c>
    </row>
    <row r="2034" spans="1:4" ht="39.6" thickTop="1" thickBot="1">
      <c r="A2034" s="7"/>
      <c r="B2034" s="7" t="s">
        <v>10</v>
      </c>
      <c r="C2034" s="7">
        <v>2018</v>
      </c>
      <c r="D2034" t="str">
        <f t="shared" si="40"/>
        <v>KIR</v>
      </c>
    </row>
    <row r="2035" spans="1:4" ht="30" thickTop="1" thickBot="1">
      <c r="A2035" s="7"/>
      <c r="B2035" s="7" t="s">
        <v>25</v>
      </c>
      <c r="C2035" s="7">
        <v>810</v>
      </c>
      <c r="D2035" t="str">
        <f t="shared" si="40"/>
        <v>KIR</v>
      </c>
    </row>
    <row r="2036" spans="1:4" ht="20.399999999999999" thickTop="1" thickBot="1">
      <c r="A2036" s="7"/>
      <c r="B2036" s="7" t="s">
        <v>26</v>
      </c>
      <c r="C2036" s="7" t="s">
        <v>785</v>
      </c>
      <c r="D2036" t="str">
        <f t="shared" si="40"/>
        <v>KIR</v>
      </c>
    </row>
    <row r="2037" spans="1:4" ht="20.399999999999999" thickTop="1" thickBot="1">
      <c r="A2037" s="7"/>
      <c r="B2037" s="7" t="s">
        <v>28</v>
      </c>
      <c r="C2037" s="7" t="s">
        <v>786</v>
      </c>
      <c r="D2037" t="str">
        <f t="shared" si="40"/>
        <v>KIR</v>
      </c>
    </row>
    <row r="2038" spans="1:4" ht="20.399999999999999" thickTop="1" thickBot="1">
      <c r="A2038" s="7"/>
      <c r="B2038" s="7" t="s">
        <v>30</v>
      </c>
      <c r="C2038" s="7" t="s">
        <v>786</v>
      </c>
      <c r="D2038" t="str">
        <f t="shared" si="40"/>
        <v>KIR</v>
      </c>
    </row>
    <row r="2039" spans="1:4" ht="20.399999999999999" thickTop="1" thickBot="1">
      <c r="A2039" s="7"/>
      <c r="B2039" s="7" t="s">
        <v>32</v>
      </c>
      <c r="C2039" s="7" t="s">
        <v>33</v>
      </c>
      <c r="D2039" t="str">
        <f t="shared" si="40"/>
        <v>KIR</v>
      </c>
    </row>
    <row r="2040" spans="1:4" ht="20.399999999999999" thickTop="1" thickBot="1">
      <c r="A2040" s="7"/>
      <c r="B2040" s="7" t="s">
        <v>1</v>
      </c>
      <c r="C2040" s="7" t="s">
        <v>107</v>
      </c>
      <c r="D2040" t="str">
        <f t="shared" si="40"/>
        <v>KIR</v>
      </c>
    </row>
    <row r="2041" spans="1:4" ht="30" thickTop="1" thickBot="1">
      <c r="A2041" s="7"/>
      <c r="B2041" s="7" t="s">
        <v>3</v>
      </c>
      <c r="C2041" s="7" t="s">
        <v>69</v>
      </c>
      <c r="D2041" t="str">
        <f t="shared" si="40"/>
        <v>KIR</v>
      </c>
    </row>
    <row r="2042" spans="1:4" ht="20.399999999999999" thickTop="1" thickBot="1">
      <c r="A2042" s="7"/>
      <c r="B2042" s="7" t="s">
        <v>5</v>
      </c>
      <c r="C2042" s="7" t="s">
        <v>108</v>
      </c>
      <c r="D2042" t="str">
        <f t="shared" si="40"/>
        <v>KIR</v>
      </c>
    </row>
    <row r="2043" spans="1:4" ht="30" thickTop="1" thickBot="1">
      <c r="A2043" s="7"/>
      <c r="B2043" s="7" t="s">
        <v>7</v>
      </c>
      <c r="C2043" s="7" t="s">
        <v>70</v>
      </c>
      <c r="D2043" t="str">
        <f t="shared" si="40"/>
        <v>KIR</v>
      </c>
    </row>
    <row r="2044" spans="1:4" ht="15.6" thickTop="1" thickBot="1">
      <c r="A2044" s="7"/>
      <c r="B2044" s="7" t="s">
        <v>13</v>
      </c>
      <c r="C2044" s="7" t="s">
        <v>432</v>
      </c>
      <c r="D2044" t="str">
        <f t="shared" si="40"/>
        <v>KIR</v>
      </c>
    </row>
    <row r="2045" spans="1:4" ht="15.6" thickTop="1" thickBot="1">
      <c r="A2045" s="7"/>
      <c r="B2045" s="7" t="s">
        <v>23</v>
      </c>
      <c r="C2045" s="7" t="s">
        <v>787</v>
      </c>
      <c r="D2045" t="str">
        <f t="shared" si="40"/>
        <v>KIR</v>
      </c>
    </row>
    <row r="2046" spans="1:4" ht="15.6" thickTop="1" thickBot="1">
      <c r="A2046" s="7"/>
      <c r="B2046" s="7" t="s">
        <v>24</v>
      </c>
      <c r="C2046" s="7">
        <v>5105</v>
      </c>
      <c r="D2046" t="str">
        <f t="shared" si="40"/>
        <v>KIR</v>
      </c>
    </row>
    <row r="2047" spans="1:4" ht="15.6" thickTop="1" thickBot="1">
      <c r="A2047" s="7"/>
      <c r="B2047" s="7" t="s">
        <v>21</v>
      </c>
      <c r="C2047" s="7" t="s">
        <v>787</v>
      </c>
      <c r="D2047" t="str">
        <f t="shared" si="40"/>
        <v>KIR</v>
      </c>
    </row>
    <row r="2048" spans="1:4" ht="15.6" thickTop="1" thickBot="1">
      <c r="A2048" s="7"/>
      <c r="B2048" s="7" t="s">
        <v>22</v>
      </c>
      <c r="C2048" s="7" t="s">
        <v>788</v>
      </c>
      <c r="D2048" t="str">
        <f t="shared" si="40"/>
        <v>KIR</v>
      </c>
    </row>
    <row r="2049" spans="1:4" ht="15.6" thickTop="1" thickBot="1">
      <c r="A2049" s="7"/>
      <c r="B2049" s="7" t="s">
        <v>18</v>
      </c>
      <c r="C2049" s="7" t="s">
        <v>787</v>
      </c>
      <c r="D2049" t="str">
        <f t="shared" si="40"/>
        <v>KIR</v>
      </c>
    </row>
    <row r="2050" spans="1:4" ht="15.6" thickTop="1" thickBot="1">
      <c r="A2050" s="7"/>
      <c r="B2050" s="7" t="s">
        <v>19</v>
      </c>
      <c r="C2050" s="7" t="s">
        <v>789</v>
      </c>
      <c r="D2050" t="str">
        <f t="shared" ref="D2050:D2113" si="41">IF(ISNUMBER(FIND(":", A2050)), LEFT(A2050, FIND(":", A2050) - 1), D2049)</f>
        <v>KIR</v>
      </c>
    </row>
    <row r="2051" spans="1:4" ht="15.6" thickTop="1" thickBot="1">
      <c r="A2051" s="7"/>
      <c r="B2051" s="7" t="s">
        <v>17</v>
      </c>
      <c r="C2051" s="7" t="s">
        <v>787</v>
      </c>
      <c r="D2051" t="str">
        <f t="shared" si="41"/>
        <v>KIR</v>
      </c>
    </row>
    <row r="2052" spans="1:4" ht="15.6" thickTop="1" thickBot="1">
      <c r="A2052" s="7"/>
      <c r="B2052" s="7" t="s">
        <v>15</v>
      </c>
      <c r="C2052" s="7" t="s">
        <v>787</v>
      </c>
      <c r="D2052" t="str">
        <f t="shared" si="41"/>
        <v>KIR</v>
      </c>
    </row>
    <row r="2053" spans="1:4" ht="15.6" thickTop="1" thickBot="1">
      <c r="A2053" s="7"/>
      <c r="B2053" s="7" t="s">
        <v>16</v>
      </c>
      <c r="C2053" s="7" t="s">
        <v>790</v>
      </c>
      <c r="D2053" t="str">
        <f t="shared" si="41"/>
        <v>KIR</v>
      </c>
    </row>
    <row r="2054" spans="1:4" ht="15.6" thickTop="1" thickBot="1">
      <c r="A2054" s="9" t="s">
        <v>791</v>
      </c>
      <c r="B2054" s="10"/>
      <c r="C2054" s="11"/>
      <c r="D2054" t="str">
        <f t="shared" si="41"/>
        <v>KWT</v>
      </c>
    </row>
    <row r="2055" spans="1:4" ht="49.2" thickTop="1" thickBot="1">
      <c r="A2055" s="7"/>
      <c r="B2055" s="7" t="s">
        <v>9</v>
      </c>
      <c r="C2055" s="7">
        <v>2017</v>
      </c>
      <c r="D2055" t="str">
        <f t="shared" si="41"/>
        <v>KWT</v>
      </c>
    </row>
    <row r="2056" spans="1:4" ht="39.6" thickTop="1" thickBot="1">
      <c r="A2056" s="7"/>
      <c r="B2056" s="7" t="s">
        <v>10</v>
      </c>
      <c r="C2056" s="7">
        <v>2018</v>
      </c>
      <c r="D2056" t="str">
        <f t="shared" si="41"/>
        <v>KWT</v>
      </c>
    </row>
    <row r="2057" spans="1:4" ht="30" thickTop="1" thickBot="1">
      <c r="A2057" s="7"/>
      <c r="B2057" s="7" t="s">
        <v>25</v>
      </c>
      <c r="C2057" s="8">
        <v>17820</v>
      </c>
      <c r="D2057" t="str">
        <f t="shared" si="41"/>
        <v>KWT</v>
      </c>
    </row>
    <row r="2058" spans="1:4" ht="20.399999999999999" thickTop="1" thickBot="1">
      <c r="A2058" s="7"/>
      <c r="B2058" s="7" t="s">
        <v>26</v>
      </c>
      <c r="C2058" s="7" t="s">
        <v>486</v>
      </c>
      <c r="D2058" t="str">
        <f t="shared" si="41"/>
        <v>KWT</v>
      </c>
    </row>
    <row r="2059" spans="1:4" ht="20.399999999999999" thickTop="1" thickBot="1">
      <c r="A2059" s="7"/>
      <c r="B2059" s="7" t="s">
        <v>28</v>
      </c>
      <c r="C2059" s="7" t="s">
        <v>792</v>
      </c>
      <c r="D2059" t="str">
        <f t="shared" si="41"/>
        <v>KWT</v>
      </c>
    </row>
    <row r="2060" spans="1:4" ht="20.399999999999999" thickTop="1" thickBot="1">
      <c r="A2060" s="7"/>
      <c r="B2060" s="7" t="s">
        <v>30</v>
      </c>
      <c r="C2060" s="7" t="s">
        <v>793</v>
      </c>
      <c r="D2060" t="str">
        <f t="shared" si="41"/>
        <v>KWT</v>
      </c>
    </row>
    <row r="2061" spans="1:4" ht="20.399999999999999" thickTop="1" thickBot="1">
      <c r="A2061" s="7"/>
      <c r="B2061" s="7" t="s">
        <v>32</v>
      </c>
      <c r="C2061" s="7" t="s">
        <v>33</v>
      </c>
      <c r="D2061" t="str">
        <f t="shared" si="41"/>
        <v>KWT</v>
      </c>
    </row>
    <row r="2062" spans="1:4" ht="30" thickTop="1" thickBot="1">
      <c r="A2062" s="7"/>
      <c r="B2062" s="7" t="s">
        <v>1</v>
      </c>
      <c r="C2062" s="7" t="s">
        <v>2</v>
      </c>
      <c r="D2062" t="str">
        <f t="shared" si="41"/>
        <v>KWT</v>
      </c>
    </row>
    <row r="2063" spans="1:4" ht="30" thickTop="1" thickBot="1">
      <c r="A2063" s="7"/>
      <c r="B2063" s="7" t="s">
        <v>3</v>
      </c>
      <c r="C2063" s="7" t="s">
        <v>59</v>
      </c>
      <c r="D2063" t="str">
        <f t="shared" si="41"/>
        <v>KWT</v>
      </c>
    </row>
    <row r="2064" spans="1:4" ht="20.399999999999999" thickTop="1" thickBot="1">
      <c r="A2064" s="7"/>
      <c r="B2064" s="7" t="s">
        <v>5</v>
      </c>
      <c r="C2064" s="7" t="s">
        <v>6</v>
      </c>
      <c r="D2064" t="str">
        <f t="shared" si="41"/>
        <v>KWT</v>
      </c>
    </row>
    <row r="2065" spans="1:4" ht="30" thickTop="1" thickBot="1">
      <c r="A2065" s="7"/>
      <c r="B2065" s="7" t="s">
        <v>7</v>
      </c>
      <c r="C2065" s="7" t="s">
        <v>60</v>
      </c>
      <c r="D2065" t="str">
        <f t="shared" si="41"/>
        <v>KWT</v>
      </c>
    </row>
    <row r="2066" spans="1:4" ht="15.6" thickTop="1" thickBot="1">
      <c r="A2066" s="7"/>
      <c r="B2066" s="7" t="s">
        <v>11</v>
      </c>
      <c r="C2066" s="7" t="s">
        <v>794</v>
      </c>
      <c r="D2066" t="str">
        <f t="shared" si="41"/>
        <v>KWT</v>
      </c>
    </row>
    <row r="2067" spans="1:4" ht="15.6" thickTop="1" thickBot="1">
      <c r="A2067" s="7"/>
      <c r="B2067" s="7" t="s">
        <v>13</v>
      </c>
      <c r="C2067" s="7" t="s">
        <v>376</v>
      </c>
      <c r="D2067" t="str">
        <f t="shared" si="41"/>
        <v>KWT</v>
      </c>
    </row>
    <row r="2068" spans="1:4" ht="15.6" thickTop="1" thickBot="1">
      <c r="A2068" s="7"/>
      <c r="B2068" s="7" t="s">
        <v>15</v>
      </c>
      <c r="C2068" s="7" t="s">
        <v>795</v>
      </c>
      <c r="D2068" t="str">
        <f t="shared" si="41"/>
        <v>KWT</v>
      </c>
    </row>
    <row r="2069" spans="1:4" ht="15.6" thickTop="1" thickBot="1">
      <c r="A2069" s="7"/>
      <c r="B2069" s="7" t="s">
        <v>22</v>
      </c>
      <c r="C2069" s="7" t="s">
        <v>796</v>
      </c>
      <c r="D2069" t="str">
        <f t="shared" si="41"/>
        <v>KWT</v>
      </c>
    </row>
    <row r="2070" spans="1:4" ht="15.6" thickTop="1" thickBot="1">
      <c r="A2070" s="7"/>
      <c r="B2070" s="7" t="s">
        <v>23</v>
      </c>
      <c r="C2070" s="7" t="s">
        <v>794</v>
      </c>
      <c r="D2070" t="str">
        <f t="shared" si="41"/>
        <v>KWT</v>
      </c>
    </row>
    <row r="2071" spans="1:4" ht="15.6" thickTop="1" thickBot="1">
      <c r="A2071" s="7"/>
      <c r="B2071" s="7" t="s">
        <v>24</v>
      </c>
      <c r="C2071" s="7">
        <v>3190</v>
      </c>
      <c r="D2071" t="str">
        <f t="shared" si="41"/>
        <v>KWT</v>
      </c>
    </row>
    <row r="2072" spans="1:4" ht="15.6" thickTop="1" thickBot="1">
      <c r="A2072" s="7"/>
      <c r="B2072" s="7" t="s">
        <v>18</v>
      </c>
      <c r="C2072" s="7" t="s">
        <v>794</v>
      </c>
      <c r="D2072" t="str">
        <f t="shared" si="41"/>
        <v>KWT</v>
      </c>
    </row>
    <row r="2073" spans="1:4" ht="15.6" thickTop="1" thickBot="1">
      <c r="A2073" s="7"/>
      <c r="B2073" s="7" t="s">
        <v>19</v>
      </c>
      <c r="C2073" s="7" t="s">
        <v>797</v>
      </c>
      <c r="D2073" t="str">
        <f t="shared" si="41"/>
        <v>KWT</v>
      </c>
    </row>
    <row r="2074" spans="1:4" ht="15.6" thickTop="1" thickBot="1">
      <c r="A2074" s="7"/>
      <c r="B2074" s="7" t="s">
        <v>21</v>
      </c>
      <c r="C2074" s="7" t="s">
        <v>795</v>
      </c>
      <c r="D2074" t="str">
        <f t="shared" si="41"/>
        <v>KWT</v>
      </c>
    </row>
    <row r="2075" spans="1:4" ht="15.6" thickTop="1" thickBot="1">
      <c r="A2075" s="7"/>
      <c r="B2075" s="7" t="s">
        <v>16</v>
      </c>
      <c r="C2075" s="7" t="s">
        <v>796</v>
      </c>
      <c r="D2075" t="str">
        <f t="shared" si="41"/>
        <v>KWT</v>
      </c>
    </row>
    <row r="2076" spans="1:4" ht="15.6" thickTop="1" thickBot="1">
      <c r="A2076" s="7"/>
      <c r="B2076" s="7" t="s">
        <v>17</v>
      </c>
      <c r="C2076" s="7" t="s">
        <v>794</v>
      </c>
      <c r="D2076" t="str">
        <f t="shared" si="41"/>
        <v>KWT</v>
      </c>
    </row>
    <row r="2077" spans="1:4" ht="20.399999999999999" thickTop="1" thickBot="1">
      <c r="A2077" s="9" t="s">
        <v>798</v>
      </c>
      <c r="B2077" s="10"/>
      <c r="C2077" s="11"/>
      <c r="D2077" t="str">
        <f t="shared" si="41"/>
        <v>KGZ</v>
      </c>
    </row>
    <row r="2078" spans="1:4" ht="49.2" thickTop="1" thickBot="1">
      <c r="A2078" s="7"/>
      <c r="B2078" s="7" t="s">
        <v>9</v>
      </c>
      <c r="C2078" s="7">
        <v>2017</v>
      </c>
      <c r="D2078" t="str">
        <f t="shared" si="41"/>
        <v>KGZ</v>
      </c>
    </row>
    <row r="2079" spans="1:4" ht="39.6" thickTop="1" thickBot="1">
      <c r="A2079" s="7"/>
      <c r="B2079" s="7" t="s">
        <v>10</v>
      </c>
      <c r="C2079" s="7">
        <v>2018</v>
      </c>
      <c r="D2079" t="str">
        <f t="shared" si="41"/>
        <v>KGZ</v>
      </c>
    </row>
    <row r="2080" spans="1:4" ht="30" thickTop="1" thickBot="1">
      <c r="A2080" s="7"/>
      <c r="B2080" s="7" t="s">
        <v>25</v>
      </c>
      <c r="C2080" s="8">
        <v>191800</v>
      </c>
      <c r="D2080" t="str">
        <f t="shared" si="41"/>
        <v>KGZ</v>
      </c>
    </row>
    <row r="2081" spans="1:4" ht="39.6" thickTop="1" thickBot="1">
      <c r="A2081" s="7"/>
      <c r="B2081" s="7" t="s">
        <v>26</v>
      </c>
      <c r="C2081" s="7" t="s">
        <v>799</v>
      </c>
      <c r="D2081" t="str">
        <f t="shared" si="41"/>
        <v>KGZ</v>
      </c>
    </row>
    <row r="2082" spans="1:4" ht="20.399999999999999" thickTop="1" thickBot="1">
      <c r="A2082" s="7"/>
      <c r="B2082" s="7" t="s">
        <v>28</v>
      </c>
      <c r="C2082" s="7" t="s">
        <v>800</v>
      </c>
      <c r="D2082" t="str">
        <f t="shared" si="41"/>
        <v>KGZ</v>
      </c>
    </row>
    <row r="2083" spans="1:4" ht="20.399999999999999" thickTop="1" thickBot="1">
      <c r="A2083" s="7"/>
      <c r="B2083" s="7" t="s">
        <v>30</v>
      </c>
      <c r="C2083" s="7" t="s">
        <v>801</v>
      </c>
      <c r="D2083" t="str">
        <f t="shared" si="41"/>
        <v>KGZ</v>
      </c>
    </row>
    <row r="2084" spans="1:4" ht="20.399999999999999" thickTop="1" thickBot="1">
      <c r="A2084" s="7"/>
      <c r="B2084" s="7" t="s">
        <v>32</v>
      </c>
      <c r="C2084" s="7" t="s">
        <v>33</v>
      </c>
      <c r="D2084" t="str">
        <f t="shared" si="41"/>
        <v>KGZ</v>
      </c>
    </row>
    <row r="2085" spans="1:4" ht="20.399999999999999" thickTop="1" thickBot="1">
      <c r="A2085" s="7"/>
      <c r="B2085" s="7" t="s">
        <v>1</v>
      </c>
      <c r="C2085" s="7" t="s">
        <v>35</v>
      </c>
      <c r="D2085" t="str">
        <f t="shared" si="41"/>
        <v>KGZ</v>
      </c>
    </row>
    <row r="2086" spans="1:4" ht="30" thickTop="1" thickBot="1">
      <c r="A2086" s="7"/>
      <c r="B2086" s="7" t="s">
        <v>3</v>
      </c>
      <c r="C2086" s="7" t="s">
        <v>69</v>
      </c>
      <c r="D2086" t="str">
        <f t="shared" si="41"/>
        <v>KGZ</v>
      </c>
    </row>
    <row r="2087" spans="1:4" ht="20.399999999999999" thickTop="1" thickBot="1">
      <c r="A2087" s="7"/>
      <c r="B2087" s="7" t="s">
        <v>5</v>
      </c>
      <c r="C2087" s="7" t="s">
        <v>37</v>
      </c>
      <c r="D2087" t="str">
        <f t="shared" si="41"/>
        <v>KGZ</v>
      </c>
    </row>
    <row r="2088" spans="1:4" ht="30" thickTop="1" thickBot="1">
      <c r="A2088" s="7"/>
      <c r="B2088" s="7" t="s">
        <v>7</v>
      </c>
      <c r="C2088" s="7" t="s">
        <v>70</v>
      </c>
      <c r="D2088" t="str">
        <f t="shared" si="41"/>
        <v>KGZ</v>
      </c>
    </row>
    <row r="2089" spans="1:4" ht="15.6" thickTop="1" thickBot="1">
      <c r="A2089" s="7"/>
      <c r="B2089" s="7" t="s">
        <v>11</v>
      </c>
      <c r="C2089" s="7" t="s">
        <v>802</v>
      </c>
      <c r="D2089" t="str">
        <f t="shared" si="41"/>
        <v>KGZ</v>
      </c>
    </row>
    <row r="2090" spans="1:4" ht="15.6" thickTop="1" thickBot="1">
      <c r="A2090" s="7"/>
      <c r="B2090" s="7" t="s">
        <v>13</v>
      </c>
      <c r="C2090" s="7" t="s">
        <v>803</v>
      </c>
      <c r="D2090" t="str">
        <f t="shared" si="41"/>
        <v>KGZ</v>
      </c>
    </row>
    <row r="2091" spans="1:4" ht="15.6" thickTop="1" thickBot="1">
      <c r="A2091" s="7"/>
      <c r="B2091" s="7" t="s">
        <v>23</v>
      </c>
      <c r="C2091" s="7" t="s">
        <v>804</v>
      </c>
      <c r="D2091" t="str">
        <f t="shared" si="41"/>
        <v>KGZ</v>
      </c>
    </row>
    <row r="2092" spans="1:4" ht="15.6" thickTop="1" thickBot="1">
      <c r="A2092" s="7"/>
      <c r="B2092" s="7" t="s">
        <v>24</v>
      </c>
      <c r="C2092" s="7">
        <v>4184</v>
      </c>
      <c r="D2092" t="str">
        <f t="shared" si="41"/>
        <v>KGZ</v>
      </c>
    </row>
    <row r="2093" spans="1:4" ht="15.6" thickTop="1" thickBot="1">
      <c r="A2093" s="7"/>
      <c r="B2093" s="7" t="s">
        <v>21</v>
      </c>
      <c r="C2093" s="7" t="s">
        <v>804</v>
      </c>
      <c r="D2093" t="str">
        <f t="shared" si="41"/>
        <v>KGZ</v>
      </c>
    </row>
    <row r="2094" spans="1:4" ht="15.6" thickTop="1" thickBot="1">
      <c r="A2094" s="7"/>
      <c r="B2094" s="7" t="s">
        <v>22</v>
      </c>
      <c r="C2094" s="7" t="s">
        <v>803</v>
      </c>
      <c r="D2094" t="str">
        <f t="shared" si="41"/>
        <v>KGZ</v>
      </c>
    </row>
    <row r="2095" spans="1:4" ht="15.6" thickTop="1" thickBot="1">
      <c r="A2095" s="7"/>
      <c r="B2095" s="7" t="s">
        <v>18</v>
      </c>
      <c r="C2095" s="7" t="s">
        <v>804</v>
      </c>
      <c r="D2095" t="str">
        <f t="shared" si="41"/>
        <v>KGZ</v>
      </c>
    </row>
    <row r="2096" spans="1:4" ht="15.6" thickTop="1" thickBot="1">
      <c r="A2096" s="7"/>
      <c r="B2096" s="7" t="s">
        <v>19</v>
      </c>
      <c r="C2096" s="7" t="s">
        <v>805</v>
      </c>
      <c r="D2096" t="str">
        <f t="shared" si="41"/>
        <v>KGZ</v>
      </c>
    </row>
    <row r="2097" spans="1:4" ht="15.6" thickTop="1" thickBot="1">
      <c r="A2097" s="7"/>
      <c r="B2097" s="7" t="s">
        <v>17</v>
      </c>
      <c r="C2097" s="7" t="s">
        <v>804</v>
      </c>
      <c r="D2097" t="str">
        <f t="shared" si="41"/>
        <v>KGZ</v>
      </c>
    </row>
    <row r="2098" spans="1:4" ht="15.6" thickTop="1" thickBot="1">
      <c r="A2098" s="7"/>
      <c r="B2098" s="7" t="s">
        <v>15</v>
      </c>
      <c r="C2098" s="7" t="s">
        <v>804</v>
      </c>
      <c r="D2098" t="str">
        <f t="shared" si="41"/>
        <v>KGZ</v>
      </c>
    </row>
    <row r="2099" spans="1:4" ht="15.6" thickTop="1" thickBot="1">
      <c r="A2099" s="7"/>
      <c r="B2099" s="7" t="s">
        <v>16</v>
      </c>
      <c r="C2099" s="7" t="s">
        <v>803</v>
      </c>
      <c r="D2099" t="str">
        <f t="shared" si="41"/>
        <v>KGZ</v>
      </c>
    </row>
    <row r="2100" spans="1:4" ht="39.6" thickTop="1" thickBot="1">
      <c r="A2100" s="9" t="s">
        <v>806</v>
      </c>
      <c r="B2100" s="10"/>
      <c r="C2100" s="11"/>
      <c r="D2100" t="str">
        <f t="shared" si="41"/>
        <v>LAO</v>
      </c>
    </row>
    <row r="2101" spans="1:4" ht="49.2" thickTop="1" thickBot="1">
      <c r="A2101" s="7"/>
      <c r="B2101" s="7" t="s">
        <v>9</v>
      </c>
      <c r="C2101" s="7">
        <v>2017</v>
      </c>
      <c r="D2101" t="str">
        <f t="shared" si="41"/>
        <v>LAO</v>
      </c>
    </row>
    <row r="2102" spans="1:4" ht="39.6" thickTop="1" thickBot="1">
      <c r="A2102" s="7"/>
      <c r="B2102" s="7" t="s">
        <v>10</v>
      </c>
      <c r="C2102" s="7">
        <v>2018</v>
      </c>
      <c r="D2102" t="str">
        <f t="shared" si="41"/>
        <v>LAO</v>
      </c>
    </row>
    <row r="2103" spans="1:4" ht="30" thickTop="1" thickBot="1">
      <c r="A2103" s="7"/>
      <c r="B2103" s="7" t="s">
        <v>25</v>
      </c>
      <c r="C2103" s="8">
        <v>230800</v>
      </c>
      <c r="D2103" t="str">
        <f t="shared" si="41"/>
        <v>LAO</v>
      </c>
    </row>
    <row r="2104" spans="1:4" ht="49.2" thickTop="1" thickBot="1">
      <c r="A2104" s="7"/>
      <c r="B2104" s="7" t="s">
        <v>26</v>
      </c>
      <c r="C2104" s="7" t="s">
        <v>807</v>
      </c>
      <c r="D2104" t="str">
        <f t="shared" si="41"/>
        <v>LAO</v>
      </c>
    </row>
    <row r="2105" spans="1:4" ht="30" thickTop="1" thickBot="1">
      <c r="A2105" s="7"/>
      <c r="B2105" s="7" t="s">
        <v>28</v>
      </c>
      <c r="C2105" s="7" t="s">
        <v>808</v>
      </c>
      <c r="D2105" t="str">
        <f t="shared" si="41"/>
        <v>LAO</v>
      </c>
    </row>
    <row r="2106" spans="1:4" ht="39.6" thickTop="1" thickBot="1">
      <c r="A2106" s="7"/>
      <c r="B2106" s="7" t="s">
        <v>30</v>
      </c>
      <c r="C2106" s="7" t="s">
        <v>809</v>
      </c>
      <c r="D2106" t="str">
        <f t="shared" si="41"/>
        <v>LAO</v>
      </c>
    </row>
    <row r="2107" spans="1:4" ht="20.399999999999999" thickTop="1" thickBot="1">
      <c r="A2107" s="7"/>
      <c r="B2107" s="7" t="s">
        <v>32</v>
      </c>
      <c r="C2107" s="7" t="s">
        <v>33</v>
      </c>
      <c r="D2107" t="str">
        <f t="shared" si="41"/>
        <v>LAO</v>
      </c>
    </row>
    <row r="2108" spans="1:4" ht="20.399999999999999" thickTop="1" thickBot="1">
      <c r="A2108" s="7"/>
      <c r="B2108" s="7" t="s">
        <v>1</v>
      </c>
      <c r="C2108" s="7" t="s">
        <v>107</v>
      </c>
      <c r="D2108" t="str">
        <f t="shared" si="41"/>
        <v>LAO</v>
      </c>
    </row>
    <row r="2109" spans="1:4" ht="30" thickTop="1" thickBot="1">
      <c r="A2109" s="7"/>
      <c r="B2109" s="7" t="s">
        <v>3</v>
      </c>
      <c r="C2109" s="7" t="s">
        <v>69</v>
      </c>
      <c r="D2109" t="str">
        <f t="shared" si="41"/>
        <v>LAO</v>
      </c>
    </row>
    <row r="2110" spans="1:4" ht="20.399999999999999" thickTop="1" thickBot="1">
      <c r="A2110" s="7"/>
      <c r="B2110" s="7" t="s">
        <v>5</v>
      </c>
      <c r="C2110" s="7" t="s">
        <v>108</v>
      </c>
      <c r="D2110" t="str">
        <f t="shared" si="41"/>
        <v>LAO</v>
      </c>
    </row>
    <row r="2111" spans="1:4" ht="30" thickTop="1" thickBot="1">
      <c r="A2111" s="7"/>
      <c r="B2111" s="7" t="s">
        <v>7</v>
      </c>
      <c r="C2111" s="7" t="s">
        <v>70</v>
      </c>
      <c r="D2111" t="str">
        <f t="shared" si="41"/>
        <v>LAO</v>
      </c>
    </row>
    <row r="2112" spans="1:4" ht="15.6" thickTop="1" thickBot="1">
      <c r="A2112" s="7"/>
      <c r="B2112" s="7" t="s">
        <v>11</v>
      </c>
      <c r="C2112" s="7" t="s">
        <v>810</v>
      </c>
      <c r="D2112" t="str">
        <f t="shared" si="41"/>
        <v>LAO</v>
      </c>
    </row>
    <row r="2113" spans="1:4" ht="15.6" thickTop="1" thickBot="1">
      <c r="A2113" s="7"/>
      <c r="B2113" s="7" t="s">
        <v>13</v>
      </c>
      <c r="C2113" s="7" t="s">
        <v>811</v>
      </c>
      <c r="D2113" t="str">
        <f t="shared" si="41"/>
        <v>LAO</v>
      </c>
    </row>
    <row r="2114" spans="1:4" ht="15.6" thickTop="1" thickBot="1">
      <c r="A2114" s="7"/>
      <c r="B2114" s="7" t="s">
        <v>15</v>
      </c>
      <c r="C2114" s="7" t="s">
        <v>810</v>
      </c>
      <c r="D2114" t="str">
        <f t="shared" ref="D2114:D2177" si="42">IF(ISNUMBER(FIND(":", A2114)), LEFT(A2114, FIND(":", A2114) - 1), D2113)</f>
        <v>LAO</v>
      </c>
    </row>
    <row r="2115" spans="1:4" ht="15.6" thickTop="1" thickBot="1">
      <c r="A2115" s="7"/>
      <c r="B2115" s="7" t="s">
        <v>22</v>
      </c>
      <c r="C2115" s="7" t="s">
        <v>811</v>
      </c>
      <c r="D2115" t="str">
        <f t="shared" si="42"/>
        <v>LAO</v>
      </c>
    </row>
    <row r="2116" spans="1:4" ht="15.6" thickTop="1" thickBot="1">
      <c r="A2116" s="7"/>
      <c r="B2116" s="7" t="s">
        <v>23</v>
      </c>
      <c r="C2116" s="7" t="s">
        <v>810</v>
      </c>
      <c r="D2116" t="str">
        <f t="shared" si="42"/>
        <v>LAO</v>
      </c>
    </row>
    <row r="2117" spans="1:4" ht="15.6" thickTop="1" thickBot="1">
      <c r="A2117" s="7"/>
      <c r="B2117" s="7" t="s">
        <v>24</v>
      </c>
      <c r="C2117" s="7">
        <v>3200</v>
      </c>
      <c r="D2117" t="str">
        <f t="shared" si="42"/>
        <v>LAO</v>
      </c>
    </row>
    <row r="2118" spans="1:4" ht="15.6" thickTop="1" thickBot="1">
      <c r="A2118" s="7"/>
      <c r="B2118" s="7" t="s">
        <v>18</v>
      </c>
      <c r="C2118" s="7" t="s">
        <v>810</v>
      </c>
      <c r="D2118" t="str">
        <f t="shared" si="42"/>
        <v>LAO</v>
      </c>
    </row>
    <row r="2119" spans="1:4" ht="15.6" thickTop="1" thickBot="1">
      <c r="A2119" s="7"/>
      <c r="B2119" s="7" t="s">
        <v>19</v>
      </c>
      <c r="C2119" s="7" t="s">
        <v>812</v>
      </c>
      <c r="D2119" t="str">
        <f t="shared" si="42"/>
        <v>LAO</v>
      </c>
    </row>
    <row r="2120" spans="1:4" ht="15.6" thickTop="1" thickBot="1">
      <c r="A2120" s="7"/>
      <c r="B2120" s="7" t="s">
        <v>21</v>
      </c>
      <c r="C2120" s="7" t="s">
        <v>810</v>
      </c>
      <c r="D2120" t="str">
        <f t="shared" si="42"/>
        <v>LAO</v>
      </c>
    </row>
    <row r="2121" spans="1:4" ht="15.6" thickTop="1" thickBot="1">
      <c r="A2121" s="7"/>
      <c r="B2121" s="7" t="s">
        <v>16</v>
      </c>
      <c r="C2121" s="7" t="s">
        <v>811</v>
      </c>
      <c r="D2121" t="str">
        <f t="shared" si="42"/>
        <v>LAO</v>
      </c>
    </row>
    <row r="2122" spans="1:4" ht="15.6" thickTop="1" thickBot="1">
      <c r="A2122" s="7"/>
      <c r="B2122" s="7" t="s">
        <v>17</v>
      </c>
      <c r="C2122" s="7" t="s">
        <v>810</v>
      </c>
      <c r="D2122" t="str">
        <f t="shared" si="42"/>
        <v>LAO</v>
      </c>
    </row>
    <row r="2123" spans="1:4" ht="15.6" thickTop="1" thickBot="1">
      <c r="A2123" s="9" t="s">
        <v>813</v>
      </c>
      <c r="B2123" s="10"/>
      <c r="C2123" s="11"/>
      <c r="D2123" t="str">
        <f t="shared" si="42"/>
        <v>LVA</v>
      </c>
    </row>
    <row r="2124" spans="1:4" ht="49.2" thickTop="1" thickBot="1">
      <c r="A2124" s="7"/>
      <c r="B2124" s="7" t="s">
        <v>9</v>
      </c>
      <c r="C2124" s="7">
        <v>2017</v>
      </c>
      <c r="D2124" t="str">
        <f t="shared" si="42"/>
        <v>LVA</v>
      </c>
    </row>
    <row r="2125" spans="1:4" ht="39.6" thickTop="1" thickBot="1">
      <c r="A2125" s="7"/>
      <c r="B2125" s="7" t="s">
        <v>10</v>
      </c>
      <c r="C2125" s="7">
        <v>2018</v>
      </c>
      <c r="D2125" t="str">
        <f t="shared" si="42"/>
        <v>LVA</v>
      </c>
    </row>
    <row r="2126" spans="1:4" ht="30" thickTop="1" thickBot="1">
      <c r="A2126" s="7"/>
      <c r="B2126" s="7" t="s">
        <v>25</v>
      </c>
      <c r="C2126" s="8">
        <v>62196</v>
      </c>
      <c r="D2126" t="str">
        <f t="shared" si="42"/>
        <v>LVA</v>
      </c>
    </row>
    <row r="2127" spans="1:4" ht="30" thickTop="1" thickBot="1">
      <c r="A2127" s="7"/>
      <c r="B2127" s="7" t="s">
        <v>26</v>
      </c>
      <c r="C2127" s="7" t="s">
        <v>814</v>
      </c>
      <c r="D2127" t="str">
        <f t="shared" si="42"/>
        <v>LVA</v>
      </c>
    </row>
    <row r="2128" spans="1:4" ht="20.399999999999999" thickTop="1" thickBot="1">
      <c r="A2128" s="7"/>
      <c r="B2128" s="7" t="s">
        <v>28</v>
      </c>
      <c r="C2128" s="7" t="s">
        <v>815</v>
      </c>
      <c r="D2128" t="str">
        <f t="shared" si="42"/>
        <v>LVA</v>
      </c>
    </row>
    <row r="2129" spans="1:4" ht="20.399999999999999" thickTop="1" thickBot="1">
      <c r="A2129" s="7"/>
      <c r="B2129" s="7" t="s">
        <v>30</v>
      </c>
      <c r="C2129" s="7" t="s">
        <v>816</v>
      </c>
      <c r="D2129" t="str">
        <f t="shared" si="42"/>
        <v>LVA</v>
      </c>
    </row>
    <row r="2130" spans="1:4" ht="20.399999999999999" thickTop="1" thickBot="1">
      <c r="A2130" s="7"/>
      <c r="B2130" s="7" t="s">
        <v>32</v>
      </c>
      <c r="C2130" s="7" t="s">
        <v>33</v>
      </c>
      <c r="D2130" t="str">
        <f t="shared" si="42"/>
        <v>LVA</v>
      </c>
    </row>
    <row r="2131" spans="1:4" ht="20.399999999999999" thickTop="1" thickBot="1">
      <c r="A2131" s="7"/>
      <c r="B2131" s="7" t="s">
        <v>1</v>
      </c>
      <c r="C2131" s="7" t="s">
        <v>35</v>
      </c>
      <c r="D2131" t="str">
        <f t="shared" si="42"/>
        <v>LVA</v>
      </c>
    </row>
    <row r="2132" spans="1:4" ht="30" thickTop="1" thickBot="1">
      <c r="A2132" s="7"/>
      <c r="B2132" s="7" t="s">
        <v>3</v>
      </c>
      <c r="C2132" s="7" t="s">
        <v>59</v>
      </c>
      <c r="D2132" t="str">
        <f t="shared" si="42"/>
        <v>LVA</v>
      </c>
    </row>
    <row r="2133" spans="1:4" ht="20.399999999999999" thickTop="1" thickBot="1">
      <c r="A2133" s="7"/>
      <c r="B2133" s="7" t="s">
        <v>5</v>
      </c>
      <c r="C2133" s="7" t="s">
        <v>37</v>
      </c>
      <c r="D2133" t="str">
        <f t="shared" si="42"/>
        <v>LVA</v>
      </c>
    </row>
    <row r="2134" spans="1:4" ht="30" thickTop="1" thickBot="1">
      <c r="A2134" s="7"/>
      <c r="B2134" s="7" t="s">
        <v>7</v>
      </c>
      <c r="C2134" s="7" t="s">
        <v>60</v>
      </c>
      <c r="D2134" t="str">
        <f t="shared" si="42"/>
        <v>LVA</v>
      </c>
    </row>
    <row r="2135" spans="1:4" ht="15.6" thickTop="1" thickBot="1">
      <c r="A2135" s="7"/>
      <c r="B2135" s="7" t="s">
        <v>11</v>
      </c>
      <c r="C2135" s="7" t="s">
        <v>817</v>
      </c>
      <c r="D2135" t="str">
        <f t="shared" si="42"/>
        <v>LVA</v>
      </c>
    </row>
    <row r="2136" spans="1:4" ht="15.6" thickTop="1" thickBot="1">
      <c r="A2136" s="7"/>
      <c r="B2136" s="7" t="s">
        <v>13</v>
      </c>
      <c r="C2136" s="7" t="s">
        <v>818</v>
      </c>
      <c r="D2136" t="str">
        <f t="shared" si="42"/>
        <v>LVA</v>
      </c>
    </row>
    <row r="2137" spans="1:4" ht="15.6" thickTop="1" thickBot="1">
      <c r="A2137" s="7"/>
      <c r="B2137" s="7" t="s">
        <v>15</v>
      </c>
      <c r="C2137" s="7" t="s">
        <v>819</v>
      </c>
      <c r="D2137" t="str">
        <f t="shared" si="42"/>
        <v>LVA</v>
      </c>
    </row>
    <row r="2138" spans="1:4" ht="15.6" thickTop="1" thickBot="1">
      <c r="A2138" s="7"/>
      <c r="B2138" s="7" t="s">
        <v>16</v>
      </c>
      <c r="C2138" s="7" t="s">
        <v>817</v>
      </c>
      <c r="D2138" t="str">
        <f t="shared" si="42"/>
        <v>LVA</v>
      </c>
    </row>
    <row r="2139" spans="1:4" ht="15.6" thickTop="1" thickBot="1">
      <c r="A2139" s="7"/>
      <c r="B2139" s="7" t="s">
        <v>17</v>
      </c>
      <c r="C2139" s="7" t="s">
        <v>820</v>
      </c>
      <c r="D2139" t="str">
        <f t="shared" si="42"/>
        <v>LVA</v>
      </c>
    </row>
    <row r="2140" spans="1:4" ht="15.6" thickTop="1" thickBot="1">
      <c r="A2140" s="7"/>
      <c r="B2140" s="7" t="s">
        <v>18</v>
      </c>
      <c r="C2140" s="7" t="s">
        <v>820</v>
      </c>
      <c r="D2140" t="str">
        <f t="shared" si="42"/>
        <v>LVA</v>
      </c>
    </row>
    <row r="2141" spans="1:4" ht="15.6" thickTop="1" thickBot="1">
      <c r="A2141" s="7"/>
      <c r="B2141" s="7" t="s">
        <v>19</v>
      </c>
      <c r="C2141" s="7" t="s">
        <v>821</v>
      </c>
      <c r="D2141" t="str">
        <f t="shared" si="42"/>
        <v>LVA</v>
      </c>
    </row>
    <row r="2142" spans="1:4" ht="15.6" thickTop="1" thickBot="1">
      <c r="A2142" s="7"/>
      <c r="B2142" s="7" t="s">
        <v>21</v>
      </c>
      <c r="C2142" s="7" t="s">
        <v>820</v>
      </c>
      <c r="D2142" t="str">
        <f t="shared" si="42"/>
        <v>LVA</v>
      </c>
    </row>
    <row r="2143" spans="1:4" ht="15.6" thickTop="1" thickBot="1">
      <c r="A2143" s="7"/>
      <c r="B2143" s="7" t="s">
        <v>22</v>
      </c>
      <c r="C2143" s="7" t="s">
        <v>817</v>
      </c>
      <c r="D2143" t="str">
        <f t="shared" si="42"/>
        <v>LVA</v>
      </c>
    </row>
    <row r="2144" spans="1:4" ht="15.6" thickTop="1" thickBot="1">
      <c r="A2144" s="7"/>
      <c r="B2144" s="7" t="s">
        <v>23</v>
      </c>
      <c r="C2144" s="7" t="s">
        <v>820</v>
      </c>
      <c r="D2144" t="str">
        <f t="shared" si="42"/>
        <v>LVA</v>
      </c>
    </row>
    <row r="2145" spans="1:4" ht="15.6" thickTop="1" thickBot="1">
      <c r="A2145" s="7"/>
      <c r="B2145" s="7" t="s">
        <v>24</v>
      </c>
      <c r="C2145" s="7">
        <v>4186</v>
      </c>
      <c r="D2145" t="str">
        <f t="shared" si="42"/>
        <v>LVA</v>
      </c>
    </row>
    <row r="2146" spans="1:4" ht="20.399999999999999" thickTop="1" thickBot="1">
      <c r="A2146" s="9" t="s">
        <v>822</v>
      </c>
      <c r="B2146" s="10"/>
      <c r="C2146" s="11"/>
      <c r="D2146" t="str">
        <f t="shared" si="42"/>
        <v>LBN</v>
      </c>
    </row>
    <row r="2147" spans="1:4" ht="49.2" thickTop="1" thickBot="1">
      <c r="A2147" s="7"/>
      <c r="B2147" s="7" t="s">
        <v>9</v>
      </c>
      <c r="C2147" s="7">
        <v>2017</v>
      </c>
      <c r="D2147" t="str">
        <f t="shared" si="42"/>
        <v>LBN</v>
      </c>
    </row>
    <row r="2148" spans="1:4" ht="39.6" thickTop="1" thickBot="1">
      <c r="A2148" s="7"/>
      <c r="B2148" s="7" t="s">
        <v>10</v>
      </c>
      <c r="C2148" s="7">
        <v>2018</v>
      </c>
      <c r="D2148" t="str">
        <f t="shared" si="42"/>
        <v>LBN</v>
      </c>
    </row>
    <row r="2149" spans="1:4" ht="30" thickTop="1" thickBot="1">
      <c r="A2149" s="7"/>
      <c r="B2149" s="7" t="s">
        <v>25</v>
      </c>
      <c r="C2149" s="8">
        <v>10230</v>
      </c>
      <c r="D2149" t="str">
        <f t="shared" si="42"/>
        <v>LBN</v>
      </c>
    </row>
    <row r="2150" spans="1:4" ht="39.6" thickTop="1" thickBot="1">
      <c r="A2150" s="7"/>
      <c r="B2150" s="7" t="s">
        <v>26</v>
      </c>
      <c r="C2150" s="7" t="s">
        <v>823</v>
      </c>
      <c r="D2150" t="str">
        <f t="shared" si="42"/>
        <v>LBN</v>
      </c>
    </row>
    <row r="2151" spans="1:4" ht="20.399999999999999" thickTop="1" thickBot="1">
      <c r="A2151" s="7"/>
      <c r="B2151" s="7" t="s">
        <v>28</v>
      </c>
      <c r="C2151" s="7" t="s">
        <v>824</v>
      </c>
      <c r="D2151" t="str">
        <f t="shared" si="42"/>
        <v>LBN</v>
      </c>
    </row>
    <row r="2152" spans="1:4" ht="20.399999999999999" thickTop="1" thickBot="1">
      <c r="A2152" s="7"/>
      <c r="B2152" s="7" t="s">
        <v>30</v>
      </c>
      <c r="C2152" s="7" t="s">
        <v>825</v>
      </c>
      <c r="D2152" t="str">
        <f t="shared" si="42"/>
        <v>LBN</v>
      </c>
    </row>
    <row r="2153" spans="1:4" ht="20.399999999999999" thickTop="1" thickBot="1">
      <c r="A2153" s="7"/>
      <c r="B2153" s="7" t="s">
        <v>32</v>
      </c>
      <c r="C2153" s="7" t="s">
        <v>33</v>
      </c>
      <c r="D2153" t="str">
        <f t="shared" si="42"/>
        <v>LBN</v>
      </c>
    </row>
    <row r="2154" spans="1:4" ht="30" thickTop="1" thickBot="1">
      <c r="A2154" s="7"/>
      <c r="B2154" s="7" t="s">
        <v>1</v>
      </c>
      <c r="C2154" s="7" t="s">
        <v>2</v>
      </c>
      <c r="D2154" t="str">
        <f t="shared" si="42"/>
        <v>LBN</v>
      </c>
    </row>
    <row r="2155" spans="1:4" ht="30" thickTop="1" thickBot="1">
      <c r="A2155" s="7"/>
      <c r="B2155" s="7" t="s">
        <v>3</v>
      </c>
      <c r="C2155" s="7" t="s">
        <v>36</v>
      </c>
      <c r="D2155" t="str">
        <f t="shared" si="42"/>
        <v>LBN</v>
      </c>
    </row>
    <row r="2156" spans="1:4" ht="20.399999999999999" thickTop="1" thickBot="1">
      <c r="A2156" s="7"/>
      <c r="B2156" s="7" t="s">
        <v>5</v>
      </c>
      <c r="C2156" s="7" t="s">
        <v>6</v>
      </c>
      <c r="D2156" t="str">
        <f t="shared" si="42"/>
        <v>LBN</v>
      </c>
    </row>
    <row r="2157" spans="1:4" ht="30" thickTop="1" thickBot="1">
      <c r="A2157" s="7"/>
      <c r="B2157" s="7" t="s">
        <v>7</v>
      </c>
      <c r="C2157" s="7" t="s">
        <v>38</v>
      </c>
      <c r="D2157" t="str">
        <f t="shared" si="42"/>
        <v>LBN</v>
      </c>
    </row>
    <row r="2158" spans="1:4" ht="15.6" thickTop="1" thickBot="1">
      <c r="A2158" s="7"/>
      <c r="B2158" s="7" t="s">
        <v>11</v>
      </c>
      <c r="C2158" s="7" t="s">
        <v>826</v>
      </c>
      <c r="D2158" t="str">
        <f t="shared" si="42"/>
        <v>LBN</v>
      </c>
    </row>
    <row r="2159" spans="1:4" ht="15.6" thickTop="1" thickBot="1">
      <c r="A2159" s="7"/>
      <c r="B2159" s="7" t="s">
        <v>13</v>
      </c>
      <c r="C2159" s="7" t="s">
        <v>827</v>
      </c>
      <c r="D2159" t="str">
        <f t="shared" si="42"/>
        <v>LBN</v>
      </c>
    </row>
    <row r="2160" spans="1:4" ht="15.6" thickTop="1" thickBot="1">
      <c r="A2160" s="7"/>
      <c r="B2160" s="7" t="s">
        <v>15</v>
      </c>
      <c r="C2160" s="7" t="s">
        <v>828</v>
      </c>
      <c r="D2160" t="str">
        <f t="shared" si="42"/>
        <v>LBN</v>
      </c>
    </row>
    <row r="2161" spans="1:4" ht="15.6" thickTop="1" thickBot="1">
      <c r="A2161" s="7"/>
      <c r="B2161" s="7" t="s">
        <v>16</v>
      </c>
      <c r="C2161" s="7" t="s">
        <v>829</v>
      </c>
      <c r="D2161" t="str">
        <f t="shared" si="42"/>
        <v>LBN</v>
      </c>
    </row>
    <row r="2162" spans="1:4" ht="15.6" thickTop="1" thickBot="1">
      <c r="A2162" s="7"/>
      <c r="B2162" s="7" t="s">
        <v>17</v>
      </c>
      <c r="C2162" s="7" t="s">
        <v>830</v>
      </c>
      <c r="D2162" t="str">
        <f t="shared" si="42"/>
        <v>LBN</v>
      </c>
    </row>
    <row r="2163" spans="1:4" ht="15.6" thickTop="1" thickBot="1">
      <c r="A2163" s="7"/>
      <c r="B2163" s="7" t="s">
        <v>18</v>
      </c>
      <c r="C2163" s="7" t="s">
        <v>830</v>
      </c>
      <c r="D2163" t="str">
        <f t="shared" si="42"/>
        <v>LBN</v>
      </c>
    </row>
    <row r="2164" spans="1:4" ht="15.6" thickTop="1" thickBot="1">
      <c r="A2164" s="7"/>
      <c r="B2164" s="7" t="s">
        <v>19</v>
      </c>
      <c r="C2164" s="7" t="s">
        <v>831</v>
      </c>
      <c r="D2164" t="str">
        <f t="shared" si="42"/>
        <v>LBN</v>
      </c>
    </row>
    <row r="2165" spans="1:4" ht="15.6" thickTop="1" thickBot="1">
      <c r="A2165" s="7"/>
      <c r="B2165" s="7" t="s">
        <v>21</v>
      </c>
      <c r="C2165" s="7" t="s">
        <v>832</v>
      </c>
      <c r="D2165" t="str">
        <f t="shared" si="42"/>
        <v>LBN</v>
      </c>
    </row>
    <row r="2166" spans="1:4" ht="15.6" thickTop="1" thickBot="1">
      <c r="A2166" s="7"/>
      <c r="B2166" s="7" t="s">
        <v>22</v>
      </c>
      <c r="C2166" s="7" t="s">
        <v>829</v>
      </c>
      <c r="D2166" t="str">
        <f t="shared" si="42"/>
        <v>LBN</v>
      </c>
    </row>
    <row r="2167" spans="1:4" ht="15.6" thickTop="1" thickBot="1">
      <c r="A2167" s="7"/>
      <c r="B2167" s="7" t="s">
        <v>23</v>
      </c>
      <c r="C2167" s="7" t="s">
        <v>830</v>
      </c>
      <c r="D2167" t="str">
        <f t="shared" si="42"/>
        <v>LBN</v>
      </c>
    </row>
    <row r="2168" spans="1:4" ht="15.6" thickTop="1" thickBot="1">
      <c r="A2168" s="7"/>
      <c r="B2168" s="7" t="s">
        <v>24</v>
      </c>
      <c r="C2168" s="7">
        <v>3210</v>
      </c>
      <c r="D2168" t="str">
        <f t="shared" si="42"/>
        <v>LBN</v>
      </c>
    </row>
    <row r="2169" spans="1:4" ht="20.399999999999999" thickTop="1" thickBot="1">
      <c r="A2169" s="9" t="s">
        <v>833</v>
      </c>
      <c r="B2169" s="10"/>
      <c r="C2169" s="11"/>
      <c r="D2169" t="str">
        <f t="shared" si="42"/>
        <v>LSO</v>
      </c>
    </row>
    <row r="2170" spans="1:4" ht="49.2" thickTop="1" thickBot="1">
      <c r="A2170" s="7"/>
      <c r="B2170" s="7" t="s">
        <v>9</v>
      </c>
      <c r="C2170" s="7">
        <v>2017</v>
      </c>
      <c r="D2170" t="str">
        <f t="shared" si="42"/>
        <v>LSO</v>
      </c>
    </row>
    <row r="2171" spans="1:4" ht="39.6" thickTop="1" thickBot="1">
      <c r="A2171" s="7"/>
      <c r="B2171" s="7" t="s">
        <v>10</v>
      </c>
      <c r="C2171" s="7">
        <v>2018</v>
      </c>
      <c r="D2171" t="str">
        <f t="shared" si="42"/>
        <v>LSO</v>
      </c>
    </row>
    <row r="2172" spans="1:4" ht="30" thickTop="1" thickBot="1">
      <c r="A2172" s="7"/>
      <c r="B2172" s="7" t="s">
        <v>25</v>
      </c>
      <c r="C2172" s="8">
        <v>30360</v>
      </c>
      <c r="D2172" t="str">
        <f t="shared" si="42"/>
        <v>LSO</v>
      </c>
    </row>
    <row r="2173" spans="1:4" ht="30" thickTop="1" thickBot="1">
      <c r="A2173" s="7"/>
      <c r="B2173" s="7" t="s">
        <v>26</v>
      </c>
      <c r="C2173" s="7" t="s">
        <v>834</v>
      </c>
      <c r="D2173" t="str">
        <f t="shared" si="42"/>
        <v>LSO</v>
      </c>
    </row>
    <row r="2174" spans="1:4" ht="20.399999999999999" thickTop="1" thickBot="1">
      <c r="A2174" s="7"/>
      <c r="B2174" s="7" t="s">
        <v>28</v>
      </c>
      <c r="C2174" s="7" t="s">
        <v>835</v>
      </c>
      <c r="D2174" t="str">
        <f t="shared" si="42"/>
        <v>LSO</v>
      </c>
    </row>
    <row r="2175" spans="1:4" ht="20.399999999999999" thickTop="1" thickBot="1">
      <c r="A2175" s="7"/>
      <c r="B2175" s="7" t="s">
        <v>30</v>
      </c>
      <c r="C2175" s="7" t="s">
        <v>835</v>
      </c>
      <c r="D2175" t="str">
        <f t="shared" si="42"/>
        <v>LSO</v>
      </c>
    </row>
    <row r="2176" spans="1:4" ht="20.399999999999999" thickTop="1" thickBot="1">
      <c r="A2176" s="7"/>
      <c r="B2176" s="7" t="s">
        <v>32</v>
      </c>
      <c r="C2176" s="7" t="s">
        <v>33</v>
      </c>
      <c r="D2176" t="str">
        <f t="shared" si="42"/>
        <v>LSO</v>
      </c>
    </row>
    <row r="2177" spans="1:4" ht="20.399999999999999" thickTop="1" thickBot="1">
      <c r="A2177" s="7"/>
      <c r="B2177" s="7" t="s">
        <v>1</v>
      </c>
      <c r="C2177" s="7" t="s">
        <v>50</v>
      </c>
      <c r="D2177" t="str">
        <f t="shared" si="42"/>
        <v>LSO</v>
      </c>
    </row>
    <row r="2178" spans="1:4" ht="30" thickTop="1" thickBot="1">
      <c r="A2178" s="7"/>
      <c r="B2178" s="7" t="s">
        <v>3</v>
      </c>
      <c r="C2178" s="7" t="s">
        <v>69</v>
      </c>
      <c r="D2178" t="str">
        <f t="shared" ref="D2178:D2241" si="43">IF(ISNUMBER(FIND(":", A2178)), LEFT(A2178, FIND(":", A2178) - 1), D2177)</f>
        <v>LSO</v>
      </c>
    </row>
    <row r="2179" spans="1:4" ht="20.399999999999999" thickTop="1" thickBot="1">
      <c r="A2179" s="7"/>
      <c r="B2179" s="7" t="s">
        <v>5</v>
      </c>
      <c r="C2179" s="7" t="s">
        <v>51</v>
      </c>
      <c r="D2179" t="str">
        <f t="shared" si="43"/>
        <v>LSO</v>
      </c>
    </row>
    <row r="2180" spans="1:4" ht="30" thickTop="1" thickBot="1">
      <c r="A2180" s="7"/>
      <c r="B2180" s="7" t="s">
        <v>7</v>
      </c>
      <c r="C2180" s="7" t="s">
        <v>70</v>
      </c>
      <c r="D2180" t="str">
        <f t="shared" si="43"/>
        <v>LSO</v>
      </c>
    </row>
    <row r="2181" spans="1:4" ht="15.6" thickTop="1" thickBot="1">
      <c r="A2181" s="7"/>
      <c r="B2181" s="7" t="s">
        <v>11</v>
      </c>
      <c r="C2181" s="7" t="s">
        <v>836</v>
      </c>
      <c r="D2181" t="str">
        <f t="shared" si="43"/>
        <v>LSO</v>
      </c>
    </row>
    <row r="2182" spans="1:4" ht="15.6" thickTop="1" thickBot="1">
      <c r="A2182" s="7"/>
      <c r="B2182" s="7" t="s">
        <v>13</v>
      </c>
      <c r="C2182" s="7" t="s">
        <v>837</v>
      </c>
      <c r="D2182" t="str">
        <f t="shared" si="43"/>
        <v>LSO</v>
      </c>
    </row>
    <row r="2183" spans="1:4" ht="15.6" thickTop="1" thickBot="1">
      <c r="A2183" s="7"/>
      <c r="B2183" s="7" t="s">
        <v>15</v>
      </c>
      <c r="C2183" s="7" t="s">
        <v>838</v>
      </c>
      <c r="D2183" t="str">
        <f t="shared" si="43"/>
        <v>LSO</v>
      </c>
    </row>
    <row r="2184" spans="1:4" ht="15.6" thickTop="1" thickBot="1">
      <c r="A2184" s="7"/>
      <c r="B2184" s="7" t="s">
        <v>16</v>
      </c>
      <c r="C2184" s="7" t="s">
        <v>836</v>
      </c>
      <c r="D2184" t="str">
        <f t="shared" si="43"/>
        <v>LSO</v>
      </c>
    </row>
    <row r="2185" spans="1:4" ht="15.6" thickTop="1" thickBot="1">
      <c r="A2185" s="7"/>
      <c r="B2185" s="7" t="s">
        <v>17</v>
      </c>
      <c r="C2185" s="7" t="s">
        <v>839</v>
      </c>
      <c r="D2185" t="str">
        <f t="shared" si="43"/>
        <v>LSO</v>
      </c>
    </row>
    <row r="2186" spans="1:4" ht="15.6" thickTop="1" thickBot="1">
      <c r="A2186" s="7"/>
      <c r="B2186" s="7" t="s">
        <v>18</v>
      </c>
      <c r="C2186" s="7" t="s">
        <v>839</v>
      </c>
      <c r="D2186" t="str">
        <f t="shared" si="43"/>
        <v>LSO</v>
      </c>
    </row>
    <row r="2187" spans="1:4" ht="15.6" thickTop="1" thickBot="1">
      <c r="A2187" s="7"/>
      <c r="B2187" s="7" t="s">
        <v>19</v>
      </c>
      <c r="C2187" s="7" t="s">
        <v>840</v>
      </c>
      <c r="D2187" t="str">
        <f t="shared" si="43"/>
        <v>LSO</v>
      </c>
    </row>
    <row r="2188" spans="1:4" ht="15.6" thickTop="1" thickBot="1">
      <c r="A2188" s="7"/>
      <c r="B2188" s="7" t="s">
        <v>21</v>
      </c>
      <c r="C2188" s="7" t="s">
        <v>838</v>
      </c>
      <c r="D2188" t="str">
        <f t="shared" si="43"/>
        <v>LSO</v>
      </c>
    </row>
    <row r="2189" spans="1:4" ht="15.6" thickTop="1" thickBot="1">
      <c r="A2189" s="7"/>
      <c r="B2189" s="7" t="s">
        <v>22</v>
      </c>
      <c r="C2189" s="7" t="s">
        <v>836</v>
      </c>
      <c r="D2189" t="str">
        <f t="shared" si="43"/>
        <v>LSO</v>
      </c>
    </row>
    <row r="2190" spans="1:4" ht="15.6" thickTop="1" thickBot="1">
      <c r="A2190" s="7"/>
      <c r="B2190" s="7" t="s">
        <v>23</v>
      </c>
      <c r="C2190" s="7" t="s">
        <v>839</v>
      </c>
      <c r="D2190" t="str">
        <f t="shared" si="43"/>
        <v>LSO</v>
      </c>
    </row>
    <row r="2191" spans="1:4" ht="15.6" thickTop="1" thickBot="1">
      <c r="A2191" s="7"/>
      <c r="B2191" s="7" t="s">
        <v>24</v>
      </c>
      <c r="C2191" s="7">
        <v>1230</v>
      </c>
      <c r="D2191" t="str">
        <f t="shared" si="43"/>
        <v>LSO</v>
      </c>
    </row>
    <row r="2192" spans="1:4" ht="15.6" thickTop="1" thickBot="1">
      <c r="A2192" s="9" t="s">
        <v>841</v>
      </c>
      <c r="B2192" s="10"/>
      <c r="C2192" s="11"/>
      <c r="D2192" t="str">
        <f t="shared" si="43"/>
        <v>LBR</v>
      </c>
    </row>
    <row r="2193" spans="1:4" ht="49.2" thickTop="1" thickBot="1">
      <c r="A2193" s="7"/>
      <c r="B2193" s="7" t="s">
        <v>9</v>
      </c>
      <c r="C2193" s="7">
        <v>2017</v>
      </c>
      <c r="D2193" t="str">
        <f t="shared" si="43"/>
        <v>LBR</v>
      </c>
    </row>
    <row r="2194" spans="1:4" ht="39.6" thickTop="1" thickBot="1">
      <c r="A2194" s="7"/>
      <c r="B2194" s="7" t="s">
        <v>10</v>
      </c>
      <c r="C2194" s="7">
        <v>2018</v>
      </c>
      <c r="D2194" t="str">
        <f t="shared" si="43"/>
        <v>LBR</v>
      </c>
    </row>
    <row r="2195" spans="1:4" ht="30" thickTop="1" thickBot="1">
      <c r="A2195" s="7"/>
      <c r="B2195" s="7" t="s">
        <v>25</v>
      </c>
      <c r="C2195" s="8">
        <v>96320</v>
      </c>
      <c r="D2195" t="str">
        <f t="shared" si="43"/>
        <v>LBR</v>
      </c>
    </row>
    <row r="2196" spans="1:4" ht="39.6" thickTop="1" thickBot="1">
      <c r="A2196" s="7"/>
      <c r="B2196" s="7" t="s">
        <v>26</v>
      </c>
      <c r="C2196" s="7" t="s">
        <v>842</v>
      </c>
      <c r="D2196" t="str">
        <f t="shared" si="43"/>
        <v>LBR</v>
      </c>
    </row>
    <row r="2197" spans="1:4" ht="20.399999999999999" thickTop="1" thickBot="1">
      <c r="A2197" s="7"/>
      <c r="B2197" s="7" t="s">
        <v>28</v>
      </c>
      <c r="C2197" s="7" t="s">
        <v>843</v>
      </c>
      <c r="D2197" t="str">
        <f t="shared" si="43"/>
        <v>LBR</v>
      </c>
    </row>
    <row r="2198" spans="1:4" ht="20.399999999999999" thickTop="1" thickBot="1">
      <c r="A2198" s="7"/>
      <c r="B2198" s="7" t="s">
        <v>30</v>
      </c>
      <c r="C2198" s="7" t="s">
        <v>844</v>
      </c>
      <c r="D2198" t="str">
        <f t="shared" si="43"/>
        <v>LBR</v>
      </c>
    </row>
    <row r="2199" spans="1:4" ht="20.399999999999999" thickTop="1" thickBot="1">
      <c r="A2199" s="7"/>
      <c r="B2199" s="7" t="s">
        <v>32</v>
      </c>
      <c r="C2199" s="7" t="s">
        <v>33</v>
      </c>
      <c r="D2199" t="str">
        <f t="shared" si="43"/>
        <v>LBR</v>
      </c>
    </row>
    <row r="2200" spans="1:4" ht="20.399999999999999" thickTop="1" thickBot="1">
      <c r="A2200" s="7"/>
      <c r="B2200" s="7" t="s">
        <v>1</v>
      </c>
      <c r="C2200" s="7" t="s">
        <v>50</v>
      </c>
      <c r="D2200" t="str">
        <f t="shared" si="43"/>
        <v>LBR</v>
      </c>
    </row>
    <row r="2201" spans="1:4" ht="30" thickTop="1" thickBot="1">
      <c r="A2201" s="7"/>
      <c r="B2201" s="7" t="s">
        <v>3</v>
      </c>
      <c r="C2201" s="7" t="s">
        <v>4</v>
      </c>
      <c r="D2201" t="str">
        <f t="shared" si="43"/>
        <v>LBR</v>
      </c>
    </row>
    <row r="2202" spans="1:4" ht="20.399999999999999" thickTop="1" thickBot="1">
      <c r="A2202" s="7"/>
      <c r="B2202" s="7" t="s">
        <v>5</v>
      </c>
      <c r="C2202" s="7" t="s">
        <v>51</v>
      </c>
      <c r="D2202" t="str">
        <f t="shared" si="43"/>
        <v>LBR</v>
      </c>
    </row>
    <row r="2203" spans="1:4" ht="30" thickTop="1" thickBot="1">
      <c r="A2203" s="7"/>
      <c r="B2203" s="7" t="s">
        <v>7</v>
      </c>
      <c r="C2203" s="7" t="s">
        <v>8</v>
      </c>
      <c r="D2203" t="str">
        <f t="shared" si="43"/>
        <v>LBR</v>
      </c>
    </row>
    <row r="2204" spans="1:4" ht="15.6" thickTop="1" thickBot="1">
      <c r="A2204" s="7"/>
      <c r="B2204" s="7" t="s">
        <v>11</v>
      </c>
      <c r="C2204" s="7" t="s">
        <v>829</v>
      </c>
      <c r="D2204" t="str">
        <f t="shared" si="43"/>
        <v>LBR</v>
      </c>
    </row>
    <row r="2205" spans="1:4" ht="15.6" thickTop="1" thickBot="1">
      <c r="A2205" s="7"/>
      <c r="B2205" s="7" t="s">
        <v>13</v>
      </c>
      <c r="C2205" s="7" t="s">
        <v>845</v>
      </c>
      <c r="D2205" t="str">
        <f t="shared" si="43"/>
        <v>LBR</v>
      </c>
    </row>
    <row r="2206" spans="1:4" ht="15.6" thickTop="1" thickBot="1">
      <c r="A2206" s="7"/>
      <c r="B2206" s="7" t="s">
        <v>15</v>
      </c>
      <c r="C2206" s="7" t="s">
        <v>846</v>
      </c>
      <c r="D2206" t="str">
        <f t="shared" si="43"/>
        <v>LBR</v>
      </c>
    </row>
    <row r="2207" spans="1:4" ht="15.6" thickTop="1" thickBot="1">
      <c r="A2207" s="7"/>
      <c r="B2207" s="7" t="s">
        <v>16</v>
      </c>
      <c r="C2207" s="7" t="s">
        <v>847</v>
      </c>
      <c r="D2207" t="str">
        <f t="shared" si="43"/>
        <v>LBR</v>
      </c>
    </row>
    <row r="2208" spans="1:4" ht="15.6" thickTop="1" thickBot="1">
      <c r="A2208" s="7"/>
      <c r="B2208" s="7" t="s">
        <v>17</v>
      </c>
      <c r="C2208" s="7" t="s">
        <v>846</v>
      </c>
      <c r="D2208" t="str">
        <f t="shared" si="43"/>
        <v>LBR</v>
      </c>
    </row>
    <row r="2209" spans="1:4" ht="15.6" thickTop="1" thickBot="1">
      <c r="A2209" s="7"/>
      <c r="B2209" s="7" t="s">
        <v>18</v>
      </c>
      <c r="C2209" s="7" t="s">
        <v>846</v>
      </c>
      <c r="D2209" t="str">
        <f t="shared" si="43"/>
        <v>LBR</v>
      </c>
    </row>
    <row r="2210" spans="1:4" ht="15.6" thickTop="1" thickBot="1">
      <c r="A2210" s="7"/>
      <c r="B2210" s="7" t="s">
        <v>19</v>
      </c>
      <c r="C2210" s="7" t="s">
        <v>848</v>
      </c>
      <c r="D2210" t="str">
        <f t="shared" si="43"/>
        <v>LBR</v>
      </c>
    </row>
    <row r="2211" spans="1:4" ht="15.6" thickTop="1" thickBot="1">
      <c r="A2211" s="7"/>
      <c r="B2211" s="7" t="s">
        <v>21</v>
      </c>
      <c r="C2211" s="7" t="s">
        <v>828</v>
      </c>
      <c r="D2211" t="str">
        <f t="shared" si="43"/>
        <v>LBR</v>
      </c>
    </row>
    <row r="2212" spans="1:4" ht="15.6" thickTop="1" thickBot="1">
      <c r="A2212" s="7"/>
      <c r="B2212" s="7" t="s">
        <v>22</v>
      </c>
      <c r="C2212" s="7" t="s">
        <v>845</v>
      </c>
      <c r="D2212" t="str">
        <f t="shared" si="43"/>
        <v>LBR</v>
      </c>
    </row>
    <row r="2213" spans="1:4" ht="15.6" thickTop="1" thickBot="1">
      <c r="A2213" s="7"/>
      <c r="B2213" s="7" t="s">
        <v>23</v>
      </c>
      <c r="C2213" s="7" t="s">
        <v>846</v>
      </c>
      <c r="D2213" t="str">
        <f t="shared" si="43"/>
        <v>LBR</v>
      </c>
    </row>
    <row r="2214" spans="1:4" ht="15.6" thickTop="1" thickBot="1">
      <c r="A2214" s="7"/>
      <c r="B2214" s="7" t="s">
        <v>24</v>
      </c>
      <c r="C2214" s="7">
        <v>1240</v>
      </c>
      <c r="D2214" t="str">
        <f t="shared" si="43"/>
        <v>LBR</v>
      </c>
    </row>
    <row r="2215" spans="1:4" ht="15.6" thickTop="1" thickBot="1">
      <c r="A2215" s="9" t="s">
        <v>849</v>
      </c>
      <c r="B2215" s="10"/>
      <c r="C2215" s="11"/>
      <c r="D2215" t="str">
        <f t="shared" si="43"/>
        <v>LBY</v>
      </c>
    </row>
    <row r="2216" spans="1:4" ht="49.2" thickTop="1" thickBot="1">
      <c r="A2216" s="7"/>
      <c r="B2216" s="7" t="s">
        <v>9</v>
      </c>
      <c r="C2216" s="7">
        <v>2017</v>
      </c>
      <c r="D2216" t="str">
        <f t="shared" si="43"/>
        <v>LBY</v>
      </c>
    </row>
    <row r="2217" spans="1:4" ht="39.6" thickTop="1" thickBot="1">
      <c r="A2217" s="7"/>
      <c r="B2217" s="7" t="s">
        <v>10</v>
      </c>
      <c r="C2217" s="7">
        <v>2018</v>
      </c>
      <c r="D2217" t="str">
        <f t="shared" si="43"/>
        <v>LBY</v>
      </c>
    </row>
    <row r="2218" spans="1:4" ht="30" thickTop="1" thickBot="1">
      <c r="A2218" s="7"/>
      <c r="B2218" s="7" t="s">
        <v>25</v>
      </c>
      <c r="C2218" s="8">
        <v>1759540</v>
      </c>
      <c r="D2218" t="str">
        <f t="shared" si="43"/>
        <v>LBY</v>
      </c>
    </row>
    <row r="2219" spans="1:4" ht="39.6" thickTop="1" thickBot="1">
      <c r="A2219" s="7"/>
      <c r="B2219" s="7" t="s">
        <v>26</v>
      </c>
      <c r="C2219" s="7" t="s">
        <v>850</v>
      </c>
      <c r="D2219" t="str">
        <f t="shared" si="43"/>
        <v>LBY</v>
      </c>
    </row>
    <row r="2220" spans="1:4" ht="20.399999999999999" thickTop="1" thickBot="1">
      <c r="A2220" s="7"/>
      <c r="B2220" s="7" t="s">
        <v>28</v>
      </c>
      <c r="C2220" s="7" t="s">
        <v>851</v>
      </c>
      <c r="D2220" t="str">
        <f t="shared" si="43"/>
        <v>LBY</v>
      </c>
    </row>
    <row r="2221" spans="1:4" ht="20.399999999999999" thickTop="1" thickBot="1">
      <c r="A2221" s="7"/>
      <c r="B2221" s="7" t="s">
        <v>30</v>
      </c>
      <c r="C2221" s="7" t="s">
        <v>852</v>
      </c>
      <c r="D2221" t="str">
        <f t="shared" si="43"/>
        <v>LBY</v>
      </c>
    </row>
    <row r="2222" spans="1:4" ht="20.399999999999999" thickTop="1" thickBot="1">
      <c r="A2222" s="7"/>
      <c r="B2222" s="7" t="s">
        <v>32</v>
      </c>
      <c r="C2222" s="7" t="s">
        <v>33</v>
      </c>
      <c r="D2222" t="str">
        <f t="shared" si="43"/>
        <v>LBY</v>
      </c>
    </row>
    <row r="2223" spans="1:4" ht="30" thickTop="1" thickBot="1">
      <c r="A2223" s="7"/>
      <c r="B2223" s="7" t="s">
        <v>1</v>
      </c>
      <c r="C2223" s="7" t="s">
        <v>2</v>
      </c>
      <c r="D2223" t="str">
        <f t="shared" si="43"/>
        <v>LBY</v>
      </c>
    </row>
    <row r="2224" spans="1:4" ht="30" thickTop="1" thickBot="1">
      <c r="A2224" s="7"/>
      <c r="B2224" s="7" t="s">
        <v>3</v>
      </c>
      <c r="C2224" s="7" t="s">
        <v>36</v>
      </c>
      <c r="D2224" t="str">
        <f t="shared" si="43"/>
        <v>LBY</v>
      </c>
    </row>
    <row r="2225" spans="1:4" ht="20.399999999999999" thickTop="1" thickBot="1">
      <c r="A2225" s="7"/>
      <c r="B2225" s="7" t="s">
        <v>5</v>
      </c>
      <c r="C2225" s="7" t="s">
        <v>6</v>
      </c>
      <c r="D2225" t="str">
        <f t="shared" si="43"/>
        <v>LBY</v>
      </c>
    </row>
    <row r="2226" spans="1:4" ht="30" thickTop="1" thickBot="1">
      <c r="A2226" s="7"/>
      <c r="B2226" s="7" t="s">
        <v>7</v>
      </c>
      <c r="C2226" s="7" t="s">
        <v>38</v>
      </c>
      <c r="D2226" t="str">
        <f t="shared" si="43"/>
        <v>LBY</v>
      </c>
    </row>
    <row r="2227" spans="1:4" ht="15.6" thickTop="1" thickBot="1">
      <c r="A2227" s="7"/>
      <c r="B2227" s="7" t="s">
        <v>11</v>
      </c>
      <c r="C2227" s="7" t="s">
        <v>853</v>
      </c>
      <c r="D2227" t="str">
        <f t="shared" si="43"/>
        <v>LBY</v>
      </c>
    </row>
    <row r="2228" spans="1:4" ht="15.6" thickTop="1" thickBot="1">
      <c r="A2228" s="7"/>
      <c r="B2228" s="7" t="s">
        <v>13</v>
      </c>
      <c r="C2228" s="7" t="s">
        <v>854</v>
      </c>
      <c r="D2228" t="str">
        <f t="shared" si="43"/>
        <v>LBY</v>
      </c>
    </row>
    <row r="2229" spans="1:4" ht="15.6" thickTop="1" thickBot="1">
      <c r="A2229" s="7"/>
      <c r="B2229" s="7" t="s">
        <v>15</v>
      </c>
      <c r="C2229" s="7" t="s">
        <v>855</v>
      </c>
      <c r="D2229" t="str">
        <f t="shared" si="43"/>
        <v>LBY</v>
      </c>
    </row>
    <row r="2230" spans="1:4" ht="15.6" thickTop="1" thickBot="1">
      <c r="A2230" s="7"/>
      <c r="B2230" s="7" t="s">
        <v>22</v>
      </c>
      <c r="C2230" s="7" t="s">
        <v>854</v>
      </c>
      <c r="D2230" t="str">
        <f t="shared" si="43"/>
        <v>LBY</v>
      </c>
    </row>
    <row r="2231" spans="1:4" ht="15.6" thickTop="1" thickBot="1">
      <c r="A2231" s="7"/>
      <c r="B2231" s="7" t="s">
        <v>23</v>
      </c>
      <c r="C2231" s="7" t="s">
        <v>856</v>
      </c>
      <c r="D2231" t="str">
        <f t="shared" si="43"/>
        <v>LBY</v>
      </c>
    </row>
    <row r="2232" spans="1:4" ht="15.6" thickTop="1" thickBot="1">
      <c r="A2232" s="7"/>
      <c r="B2232" s="7" t="s">
        <v>24</v>
      </c>
      <c r="C2232" s="7">
        <v>1250</v>
      </c>
      <c r="D2232" t="str">
        <f t="shared" si="43"/>
        <v>LBY</v>
      </c>
    </row>
    <row r="2233" spans="1:4" ht="15.6" thickTop="1" thickBot="1">
      <c r="A2233" s="7"/>
      <c r="B2233" s="7" t="s">
        <v>18</v>
      </c>
      <c r="C2233" s="7" t="s">
        <v>856</v>
      </c>
      <c r="D2233" t="str">
        <f t="shared" si="43"/>
        <v>LBY</v>
      </c>
    </row>
    <row r="2234" spans="1:4" ht="15.6" thickTop="1" thickBot="1">
      <c r="A2234" s="7"/>
      <c r="B2234" s="7" t="s">
        <v>19</v>
      </c>
      <c r="C2234" s="7" t="s">
        <v>857</v>
      </c>
      <c r="D2234" t="str">
        <f t="shared" si="43"/>
        <v>LBY</v>
      </c>
    </row>
    <row r="2235" spans="1:4" ht="15.6" thickTop="1" thickBot="1">
      <c r="A2235" s="7"/>
      <c r="B2235" s="7" t="s">
        <v>21</v>
      </c>
      <c r="C2235" s="7" t="s">
        <v>858</v>
      </c>
      <c r="D2235" t="str">
        <f t="shared" si="43"/>
        <v>LBY</v>
      </c>
    </row>
    <row r="2236" spans="1:4" ht="15.6" thickTop="1" thickBot="1">
      <c r="A2236" s="7"/>
      <c r="B2236" s="7" t="s">
        <v>16</v>
      </c>
      <c r="C2236" s="7" t="s">
        <v>854</v>
      </c>
      <c r="D2236" t="str">
        <f t="shared" si="43"/>
        <v>LBY</v>
      </c>
    </row>
    <row r="2237" spans="1:4" ht="15.6" thickTop="1" thickBot="1">
      <c r="A2237" s="7"/>
      <c r="B2237" s="7" t="s">
        <v>17</v>
      </c>
      <c r="C2237" s="7" t="s">
        <v>856</v>
      </c>
      <c r="D2237" t="str">
        <f t="shared" si="43"/>
        <v>LBY</v>
      </c>
    </row>
    <row r="2238" spans="1:4" ht="20.399999999999999" thickTop="1" thickBot="1">
      <c r="A2238" s="9" t="s">
        <v>859</v>
      </c>
      <c r="B2238" s="10"/>
      <c r="C2238" s="11"/>
      <c r="D2238" t="str">
        <f t="shared" si="43"/>
        <v>LTU</v>
      </c>
    </row>
    <row r="2239" spans="1:4" ht="49.2" thickTop="1" thickBot="1">
      <c r="A2239" s="7"/>
      <c r="B2239" s="7" t="s">
        <v>9</v>
      </c>
      <c r="C2239" s="7">
        <v>2017</v>
      </c>
      <c r="D2239" t="str">
        <f t="shared" si="43"/>
        <v>LTU</v>
      </c>
    </row>
    <row r="2240" spans="1:4" ht="39.6" thickTop="1" thickBot="1">
      <c r="A2240" s="7"/>
      <c r="B2240" s="7" t="s">
        <v>10</v>
      </c>
      <c r="C2240" s="7">
        <v>2018</v>
      </c>
      <c r="D2240" t="str">
        <f t="shared" si="43"/>
        <v>LTU</v>
      </c>
    </row>
    <row r="2241" spans="1:4" ht="30" thickTop="1" thickBot="1">
      <c r="A2241" s="7"/>
      <c r="B2241" s="7" t="s">
        <v>25</v>
      </c>
      <c r="C2241" s="8">
        <v>62675</v>
      </c>
      <c r="D2241" t="str">
        <f t="shared" si="43"/>
        <v>LTU</v>
      </c>
    </row>
    <row r="2242" spans="1:4" ht="30" thickTop="1" thickBot="1">
      <c r="A2242" s="7"/>
      <c r="B2242" s="7" t="s">
        <v>26</v>
      </c>
      <c r="C2242" s="7" t="s">
        <v>860</v>
      </c>
      <c r="D2242" t="str">
        <f t="shared" ref="D2242:D2305" si="44">IF(ISNUMBER(FIND(":", A2242)), LEFT(A2242, FIND(":", A2242) - 1), D2241)</f>
        <v>LTU</v>
      </c>
    </row>
    <row r="2243" spans="1:4" ht="20.399999999999999" thickTop="1" thickBot="1">
      <c r="A2243" s="7"/>
      <c r="B2243" s="7" t="s">
        <v>28</v>
      </c>
      <c r="C2243" s="7" t="s">
        <v>861</v>
      </c>
      <c r="D2243" t="str">
        <f t="shared" si="44"/>
        <v>LTU</v>
      </c>
    </row>
    <row r="2244" spans="1:4" ht="20.399999999999999" thickTop="1" thickBot="1">
      <c r="A2244" s="7"/>
      <c r="B2244" s="7" t="s">
        <v>30</v>
      </c>
      <c r="C2244" s="7" t="s">
        <v>862</v>
      </c>
      <c r="D2244" t="str">
        <f t="shared" si="44"/>
        <v>LTU</v>
      </c>
    </row>
    <row r="2245" spans="1:4" ht="20.399999999999999" thickTop="1" thickBot="1">
      <c r="A2245" s="7"/>
      <c r="B2245" s="7" t="s">
        <v>32</v>
      </c>
      <c r="C2245" s="7" t="s">
        <v>33</v>
      </c>
      <c r="D2245" t="str">
        <f t="shared" si="44"/>
        <v>LTU</v>
      </c>
    </row>
    <row r="2246" spans="1:4" ht="20.399999999999999" thickTop="1" thickBot="1">
      <c r="A2246" s="7"/>
      <c r="B2246" s="7" t="s">
        <v>1</v>
      </c>
      <c r="C2246" s="7" t="s">
        <v>35</v>
      </c>
      <c r="D2246" t="str">
        <f t="shared" si="44"/>
        <v>LTU</v>
      </c>
    </row>
    <row r="2247" spans="1:4" ht="30" thickTop="1" thickBot="1">
      <c r="A2247" s="7"/>
      <c r="B2247" s="7" t="s">
        <v>3</v>
      </c>
      <c r="C2247" s="7" t="s">
        <v>59</v>
      </c>
      <c r="D2247" t="str">
        <f t="shared" si="44"/>
        <v>LTU</v>
      </c>
    </row>
    <row r="2248" spans="1:4" ht="20.399999999999999" thickTop="1" thickBot="1">
      <c r="A2248" s="7"/>
      <c r="B2248" s="7" t="s">
        <v>5</v>
      </c>
      <c r="C2248" s="7" t="s">
        <v>37</v>
      </c>
      <c r="D2248" t="str">
        <f t="shared" si="44"/>
        <v>LTU</v>
      </c>
    </row>
    <row r="2249" spans="1:4" ht="30" thickTop="1" thickBot="1">
      <c r="A2249" s="7"/>
      <c r="B2249" s="7" t="s">
        <v>7</v>
      </c>
      <c r="C2249" s="7" t="s">
        <v>60</v>
      </c>
      <c r="D2249" t="str">
        <f t="shared" si="44"/>
        <v>LTU</v>
      </c>
    </row>
    <row r="2250" spans="1:4" ht="15.6" thickTop="1" thickBot="1">
      <c r="A2250" s="7"/>
      <c r="B2250" s="7" t="s">
        <v>11</v>
      </c>
      <c r="C2250" s="7" t="s">
        <v>837</v>
      </c>
      <c r="D2250" t="str">
        <f t="shared" si="44"/>
        <v>LTU</v>
      </c>
    </row>
    <row r="2251" spans="1:4" ht="15.6" thickTop="1" thickBot="1">
      <c r="A2251" s="7"/>
      <c r="B2251" s="7" t="s">
        <v>13</v>
      </c>
      <c r="C2251" s="7" t="s">
        <v>863</v>
      </c>
      <c r="D2251" t="str">
        <f t="shared" si="44"/>
        <v>LTU</v>
      </c>
    </row>
    <row r="2252" spans="1:4" ht="15.6" thickTop="1" thickBot="1">
      <c r="A2252" s="7"/>
      <c r="B2252" s="7" t="s">
        <v>15</v>
      </c>
      <c r="C2252" s="7" t="s">
        <v>864</v>
      </c>
      <c r="D2252" t="str">
        <f t="shared" si="44"/>
        <v>LTU</v>
      </c>
    </row>
    <row r="2253" spans="1:4" ht="15.6" thickTop="1" thickBot="1">
      <c r="A2253" s="7"/>
      <c r="B2253" s="7" t="s">
        <v>22</v>
      </c>
      <c r="C2253" s="7" t="s">
        <v>837</v>
      </c>
      <c r="D2253" t="str">
        <f t="shared" si="44"/>
        <v>LTU</v>
      </c>
    </row>
    <row r="2254" spans="1:4" ht="15.6" thickTop="1" thickBot="1">
      <c r="A2254" s="7"/>
      <c r="B2254" s="7" t="s">
        <v>23</v>
      </c>
      <c r="C2254" s="7" t="s">
        <v>864</v>
      </c>
      <c r="D2254" t="str">
        <f t="shared" si="44"/>
        <v>LTU</v>
      </c>
    </row>
    <row r="2255" spans="1:4" ht="15.6" thickTop="1" thickBot="1">
      <c r="A2255" s="7"/>
      <c r="B2255" s="7" t="s">
        <v>24</v>
      </c>
      <c r="C2255" s="7">
        <v>4188</v>
      </c>
      <c r="D2255" t="str">
        <f t="shared" si="44"/>
        <v>LTU</v>
      </c>
    </row>
    <row r="2256" spans="1:4" ht="15.6" thickTop="1" thickBot="1">
      <c r="A2256" s="7"/>
      <c r="B2256" s="7" t="s">
        <v>18</v>
      </c>
      <c r="C2256" s="7" t="s">
        <v>864</v>
      </c>
      <c r="D2256" t="str">
        <f t="shared" si="44"/>
        <v>LTU</v>
      </c>
    </row>
    <row r="2257" spans="1:4" ht="15.6" thickTop="1" thickBot="1">
      <c r="A2257" s="7"/>
      <c r="B2257" s="7" t="s">
        <v>19</v>
      </c>
      <c r="C2257" s="7" t="s">
        <v>865</v>
      </c>
      <c r="D2257" t="str">
        <f t="shared" si="44"/>
        <v>LTU</v>
      </c>
    </row>
    <row r="2258" spans="1:4" ht="15.6" thickTop="1" thickBot="1">
      <c r="A2258" s="7"/>
      <c r="B2258" s="7" t="s">
        <v>21</v>
      </c>
      <c r="C2258" s="7" t="s">
        <v>864</v>
      </c>
      <c r="D2258" t="str">
        <f t="shared" si="44"/>
        <v>LTU</v>
      </c>
    </row>
    <row r="2259" spans="1:4" ht="15.6" thickTop="1" thickBot="1">
      <c r="A2259" s="7"/>
      <c r="B2259" s="7" t="s">
        <v>16</v>
      </c>
      <c r="C2259" s="7" t="s">
        <v>837</v>
      </c>
      <c r="D2259" t="str">
        <f t="shared" si="44"/>
        <v>LTU</v>
      </c>
    </row>
    <row r="2260" spans="1:4" ht="15.6" thickTop="1" thickBot="1">
      <c r="A2260" s="7"/>
      <c r="B2260" s="7" t="s">
        <v>17</v>
      </c>
      <c r="C2260" s="7" t="s">
        <v>864</v>
      </c>
      <c r="D2260" t="str">
        <f t="shared" si="44"/>
        <v>LTU</v>
      </c>
    </row>
    <row r="2261" spans="1:4" ht="20.399999999999999" thickTop="1" thickBot="1">
      <c r="A2261" s="9" t="s">
        <v>866</v>
      </c>
      <c r="B2261" s="10"/>
      <c r="C2261" s="11"/>
      <c r="D2261" t="str">
        <f t="shared" si="44"/>
        <v>LUX</v>
      </c>
    </row>
    <row r="2262" spans="1:4" ht="49.2" thickTop="1" thickBot="1">
      <c r="A2262" s="7"/>
      <c r="B2262" s="7" t="s">
        <v>9</v>
      </c>
      <c r="C2262" s="7">
        <v>2017</v>
      </c>
      <c r="D2262" t="str">
        <f t="shared" si="44"/>
        <v>LUX</v>
      </c>
    </row>
    <row r="2263" spans="1:4" ht="30" thickTop="1" thickBot="1">
      <c r="A2263" s="7"/>
      <c r="B2263" s="7" t="s">
        <v>25</v>
      </c>
      <c r="C2263" s="7">
        <v>2590</v>
      </c>
      <c r="D2263" t="str">
        <f t="shared" si="44"/>
        <v>LUX</v>
      </c>
    </row>
    <row r="2264" spans="1:4" ht="39.6" thickTop="1" thickBot="1">
      <c r="A2264" s="7"/>
      <c r="B2264" s="7" t="s">
        <v>26</v>
      </c>
      <c r="C2264" s="7" t="s">
        <v>867</v>
      </c>
      <c r="D2264" t="str">
        <f t="shared" si="44"/>
        <v>LUX</v>
      </c>
    </row>
    <row r="2265" spans="1:4" ht="20.399999999999999" thickTop="1" thickBot="1">
      <c r="A2265" s="7"/>
      <c r="B2265" s="7" t="s">
        <v>28</v>
      </c>
      <c r="C2265" s="7" t="s">
        <v>868</v>
      </c>
      <c r="D2265" t="str">
        <f t="shared" si="44"/>
        <v>LUX</v>
      </c>
    </row>
    <row r="2266" spans="1:4" ht="20.399999999999999" thickTop="1" thickBot="1">
      <c r="A2266" s="7"/>
      <c r="B2266" s="7" t="s">
        <v>30</v>
      </c>
      <c r="C2266" s="7" t="s">
        <v>869</v>
      </c>
      <c r="D2266" t="str">
        <f t="shared" si="44"/>
        <v>LUX</v>
      </c>
    </row>
    <row r="2267" spans="1:4" ht="20.399999999999999" thickTop="1" thickBot="1">
      <c r="A2267" s="7"/>
      <c r="B2267" s="7" t="s">
        <v>32</v>
      </c>
      <c r="C2267" s="7" t="s">
        <v>33</v>
      </c>
      <c r="D2267" t="str">
        <f t="shared" si="44"/>
        <v>LUX</v>
      </c>
    </row>
    <row r="2268" spans="1:4" ht="20.399999999999999" thickTop="1" thickBot="1">
      <c r="A2268" s="7"/>
      <c r="B2268" s="7" t="s">
        <v>1</v>
      </c>
      <c r="C2268" s="7" t="s">
        <v>35</v>
      </c>
      <c r="D2268" t="str">
        <f t="shared" si="44"/>
        <v>LUX</v>
      </c>
    </row>
    <row r="2269" spans="1:4" ht="30" thickTop="1" thickBot="1">
      <c r="A2269" s="7"/>
      <c r="B2269" s="7" t="s">
        <v>3</v>
      </c>
      <c r="C2269" s="7" t="s">
        <v>59</v>
      </c>
      <c r="D2269" t="str">
        <f t="shared" si="44"/>
        <v>LUX</v>
      </c>
    </row>
    <row r="2270" spans="1:4" ht="20.399999999999999" thickTop="1" thickBot="1">
      <c r="A2270" s="7"/>
      <c r="B2270" s="7" t="s">
        <v>5</v>
      </c>
      <c r="C2270" s="7" t="s">
        <v>37</v>
      </c>
      <c r="D2270" t="str">
        <f t="shared" si="44"/>
        <v>LUX</v>
      </c>
    </row>
    <row r="2271" spans="1:4" ht="30" thickTop="1" thickBot="1">
      <c r="A2271" s="7"/>
      <c r="B2271" s="7" t="s">
        <v>7</v>
      </c>
      <c r="C2271" s="7" t="s">
        <v>60</v>
      </c>
      <c r="D2271" t="str">
        <f t="shared" si="44"/>
        <v>LUX</v>
      </c>
    </row>
    <row r="2272" spans="1:4" ht="39.6" thickTop="1" thickBot="1">
      <c r="A2272" s="7"/>
      <c r="B2272" s="7" t="s">
        <v>10</v>
      </c>
      <c r="C2272" s="7">
        <v>2018</v>
      </c>
      <c r="D2272" t="str">
        <f t="shared" si="44"/>
        <v>LUX</v>
      </c>
    </row>
    <row r="2273" spans="1:4" ht="15.6" thickTop="1" thickBot="1">
      <c r="A2273" s="7"/>
      <c r="B2273" s="7" t="s">
        <v>11</v>
      </c>
      <c r="C2273" s="7" t="s">
        <v>870</v>
      </c>
      <c r="D2273" t="str">
        <f t="shared" si="44"/>
        <v>LUX</v>
      </c>
    </row>
    <row r="2274" spans="1:4" ht="15.6" thickTop="1" thickBot="1">
      <c r="A2274" s="7"/>
      <c r="B2274" s="7" t="s">
        <v>13</v>
      </c>
      <c r="C2274" s="7" t="s">
        <v>871</v>
      </c>
      <c r="D2274" t="str">
        <f t="shared" si="44"/>
        <v>LUX</v>
      </c>
    </row>
    <row r="2275" spans="1:4" ht="15.6" thickTop="1" thickBot="1">
      <c r="A2275" s="7"/>
      <c r="B2275" s="7" t="s">
        <v>15</v>
      </c>
      <c r="C2275" s="7" t="s">
        <v>872</v>
      </c>
      <c r="D2275" t="str">
        <f t="shared" si="44"/>
        <v>LUX</v>
      </c>
    </row>
    <row r="2276" spans="1:4" ht="15.6" thickTop="1" thickBot="1">
      <c r="A2276" s="7"/>
      <c r="B2276" s="7" t="s">
        <v>22</v>
      </c>
      <c r="C2276" s="7" t="s">
        <v>184</v>
      </c>
      <c r="D2276" t="str">
        <f t="shared" si="44"/>
        <v>LUX</v>
      </c>
    </row>
    <row r="2277" spans="1:4" ht="15.6" thickTop="1" thickBot="1">
      <c r="A2277" s="7"/>
      <c r="B2277" s="7" t="s">
        <v>23</v>
      </c>
      <c r="C2277" s="7" t="s">
        <v>872</v>
      </c>
      <c r="D2277" t="str">
        <f t="shared" si="44"/>
        <v>LUX</v>
      </c>
    </row>
    <row r="2278" spans="1:4" ht="15.6" thickTop="1" thickBot="1">
      <c r="A2278" s="7"/>
      <c r="B2278" s="7" t="s">
        <v>24</v>
      </c>
      <c r="C2278" s="7">
        <v>4190</v>
      </c>
      <c r="D2278" t="str">
        <f t="shared" si="44"/>
        <v>LUX</v>
      </c>
    </row>
    <row r="2279" spans="1:4" ht="15.6" thickTop="1" thickBot="1">
      <c r="A2279" s="7"/>
      <c r="B2279" s="7" t="s">
        <v>18</v>
      </c>
      <c r="C2279" s="7" t="s">
        <v>872</v>
      </c>
      <c r="D2279" t="str">
        <f t="shared" si="44"/>
        <v>LUX</v>
      </c>
    </row>
    <row r="2280" spans="1:4" ht="15.6" thickTop="1" thickBot="1">
      <c r="A2280" s="7"/>
      <c r="B2280" s="7" t="s">
        <v>19</v>
      </c>
      <c r="C2280" s="7" t="s">
        <v>873</v>
      </c>
      <c r="D2280" t="str">
        <f t="shared" si="44"/>
        <v>LUX</v>
      </c>
    </row>
    <row r="2281" spans="1:4" ht="15.6" thickTop="1" thickBot="1">
      <c r="A2281" s="7"/>
      <c r="B2281" s="7" t="s">
        <v>21</v>
      </c>
      <c r="C2281" s="7" t="s">
        <v>872</v>
      </c>
      <c r="D2281" t="str">
        <f t="shared" si="44"/>
        <v>LUX</v>
      </c>
    </row>
    <row r="2282" spans="1:4" ht="15.6" thickTop="1" thickBot="1">
      <c r="A2282" s="7"/>
      <c r="B2282" s="7" t="s">
        <v>16</v>
      </c>
      <c r="C2282" s="7" t="s">
        <v>871</v>
      </c>
      <c r="D2282" t="str">
        <f t="shared" si="44"/>
        <v>LUX</v>
      </c>
    </row>
    <row r="2283" spans="1:4" ht="15.6" thickTop="1" thickBot="1">
      <c r="A2283" s="7"/>
      <c r="B2283" s="7" t="s">
        <v>17</v>
      </c>
      <c r="C2283" s="7" t="s">
        <v>872</v>
      </c>
      <c r="D2283" t="str">
        <f t="shared" si="44"/>
        <v>LUX</v>
      </c>
    </row>
    <row r="2284" spans="1:4" ht="20.399999999999999" thickTop="1" thickBot="1">
      <c r="A2284" s="9" t="s">
        <v>874</v>
      </c>
      <c r="B2284" s="10"/>
      <c r="C2284" s="11"/>
      <c r="D2284" t="str">
        <f t="shared" si="44"/>
        <v>MDG</v>
      </c>
    </row>
    <row r="2285" spans="1:4" ht="30" thickTop="1" thickBot="1">
      <c r="A2285" s="7"/>
      <c r="B2285" s="7" t="s">
        <v>25</v>
      </c>
      <c r="C2285" s="8">
        <v>581540</v>
      </c>
      <c r="D2285" t="str">
        <f t="shared" si="44"/>
        <v>MDG</v>
      </c>
    </row>
    <row r="2286" spans="1:4" ht="30" thickTop="1" thickBot="1">
      <c r="A2286" s="7"/>
      <c r="B2286" s="7" t="s">
        <v>26</v>
      </c>
      <c r="C2286" s="7" t="s">
        <v>875</v>
      </c>
      <c r="D2286" t="str">
        <f t="shared" si="44"/>
        <v>MDG</v>
      </c>
    </row>
    <row r="2287" spans="1:4" ht="20.399999999999999" thickTop="1" thickBot="1">
      <c r="A2287" s="7"/>
      <c r="B2287" s="7" t="s">
        <v>28</v>
      </c>
      <c r="C2287" s="7" t="s">
        <v>876</v>
      </c>
      <c r="D2287" t="str">
        <f t="shared" si="44"/>
        <v>MDG</v>
      </c>
    </row>
    <row r="2288" spans="1:4" ht="20.399999999999999" thickTop="1" thickBot="1">
      <c r="A2288" s="7"/>
      <c r="B2288" s="7" t="s">
        <v>30</v>
      </c>
      <c r="C2288" s="7" t="s">
        <v>876</v>
      </c>
      <c r="D2288" t="str">
        <f t="shared" si="44"/>
        <v>MDG</v>
      </c>
    </row>
    <row r="2289" spans="1:4" ht="20.399999999999999" thickTop="1" thickBot="1">
      <c r="A2289" s="7"/>
      <c r="B2289" s="7" t="s">
        <v>32</v>
      </c>
      <c r="C2289" s="7" t="s">
        <v>33</v>
      </c>
      <c r="D2289" t="str">
        <f t="shared" si="44"/>
        <v>MDG</v>
      </c>
    </row>
    <row r="2290" spans="1:4" ht="20.399999999999999" thickTop="1" thickBot="1">
      <c r="A2290" s="7"/>
      <c r="B2290" s="7" t="s">
        <v>1</v>
      </c>
      <c r="C2290" s="7" t="s">
        <v>50</v>
      </c>
      <c r="D2290" t="str">
        <f t="shared" si="44"/>
        <v>MDG</v>
      </c>
    </row>
    <row r="2291" spans="1:4" ht="30" thickTop="1" thickBot="1">
      <c r="A2291" s="7"/>
      <c r="B2291" s="7" t="s">
        <v>3</v>
      </c>
      <c r="C2291" s="7" t="s">
        <v>4</v>
      </c>
      <c r="D2291" t="str">
        <f t="shared" si="44"/>
        <v>MDG</v>
      </c>
    </row>
    <row r="2292" spans="1:4" ht="20.399999999999999" thickTop="1" thickBot="1">
      <c r="A2292" s="7"/>
      <c r="B2292" s="7" t="s">
        <v>5</v>
      </c>
      <c r="C2292" s="7" t="s">
        <v>51</v>
      </c>
      <c r="D2292" t="str">
        <f t="shared" si="44"/>
        <v>MDG</v>
      </c>
    </row>
    <row r="2293" spans="1:4" ht="30" thickTop="1" thickBot="1">
      <c r="A2293" s="7"/>
      <c r="B2293" s="7" t="s">
        <v>7</v>
      </c>
      <c r="C2293" s="7" t="s">
        <v>8</v>
      </c>
      <c r="D2293" t="str">
        <f t="shared" si="44"/>
        <v>MDG</v>
      </c>
    </row>
    <row r="2294" spans="1:4" ht="49.2" thickTop="1" thickBot="1">
      <c r="A2294" s="7"/>
      <c r="B2294" s="7" t="s">
        <v>9</v>
      </c>
      <c r="C2294" s="7">
        <v>2017</v>
      </c>
      <c r="D2294" t="str">
        <f t="shared" si="44"/>
        <v>MDG</v>
      </c>
    </row>
    <row r="2295" spans="1:4" ht="39.6" thickTop="1" thickBot="1">
      <c r="A2295" s="7"/>
      <c r="B2295" s="7" t="s">
        <v>10</v>
      </c>
      <c r="C2295" s="7">
        <v>2018</v>
      </c>
      <c r="D2295" t="str">
        <f t="shared" si="44"/>
        <v>MDG</v>
      </c>
    </row>
    <row r="2296" spans="1:4" ht="15.6" thickTop="1" thickBot="1">
      <c r="A2296" s="7"/>
      <c r="B2296" s="7" t="s">
        <v>11</v>
      </c>
      <c r="C2296" s="7" t="s">
        <v>877</v>
      </c>
      <c r="D2296" t="str">
        <f t="shared" si="44"/>
        <v>MDG</v>
      </c>
    </row>
    <row r="2297" spans="1:4" ht="15.6" thickTop="1" thickBot="1">
      <c r="A2297" s="7"/>
      <c r="B2297" s="7" t="s">
        <v>13</v>
      </c>
      <c r="C2297" s="7" t="s">
        <v>878</v>
      </c>
      <c r="D2297" t="str">
        <f t="shared" si="44"/>
        <v>MDG</v>
      </c>
    </row>
    <row r="2298" spans="1:4" ht="15.6" thickTop="1" thickBot="1">
      <c r="A2298" s="7"/>
      <c r="B2298" s="7" t="s">
        <v>15</v>
      </c>
      <c r="C2298" s="7" t="s">
        <v>879</v>
      </c>
      <c r="D2298" t="str">
        <f t="shared" si="44"/>
        <v>MDG</v>
      </c>
    </row>
    <row r="2299" spans="1:4" ht="15.6" thickTop="1" thickBot="1">
      <c r="A2299" s="7"/>
      <c r="B2299" s="7" t="s">
        <v>22</v>
      </c>
      <c r="C2299" s="7" t="s">
        <v>880</v>
      </c>
      <c r="D2299" t="str">
        <f t="shared" si="44"/>
        <v>MDG</v>
      </c>
    </row>
    <row r="2300" spans="1:4" ht="15.6" thickTop="1" thickBot="1">
      <c r="A2300" s="7"/>
      <c r="B2300" s="7" t="s">
        <v>23</v>
      </c>
      <c r="C2300" s="7" t="s">
        <v>881</v>
      </c>
      <c r="D2300" t="str">
        <f t="shared" si="44"/>
        <v>MDG</v>
      </c>
    </row>
    <row r="2301" spans="1:4" ht="15.6" thickTop="1" thickBot="1">
      <c r="A2301" s="7"/>
      <c r="B2301" s="7" t="s">
        <v>24</v>
      </c>
      <c r="C2301" s="7">
        <v>1260</v>
      </c>
      <c r="D2301" t="str">
        <f t="shared" si="44"/>
        <v>MDG</v>
      </c>
    </row>
    <row r="2302" spans="1:4" ht="15.6" thickTop="1" thickBot="1">
      <c r="A2302" s="7"/>
      <c r="B2302" s="7" t="s">
        <v>18</v>
      </c>
      <c r="C2302" s="7" t="s">
        <v>881</v>
      </c>
      <c r="D2302" t="str">
        <f t="shared" si="44"/>
        <v>MDG</v>
      </c>
    </row>
    <row r="2303" spans="1:4" ht="15.6" thickTop="1" thickBot="1">
      <c r="A2303" s="7"/>
      <c r="B2303" s="7" t="s">
        <v>19</v>
      </c>
      <c r="C2303" s="7" t="s">
        <v>882</v>
      </c>
      <c r="D2303" t="str">
        <f t="shared" si="44"/>
        <v>MDG</v>
      </c>
    </row>
    <row r="2304" spans="1:4" ht="15.6" thickTop="1" thickBot="1">
      <c r="A2304" s="7"/>
      <c r="B2304" s="7" t="s">
        <v>21</v>
      </c>
      <c r="C2304" s="7" t="s">
        <v>879</v>
      </c>
      <c r="D2304" t="str">
        <f t="shared" si="44"/>
        <v>MDG</v>
      </c>
    </row>
    <row r="2305" spans="1:4" ht="15.6" thickTop="1" thickBot="1">
      <c r="A2305" s="7"/>
      <c r="B2305" s="7" t="s">
        <v>16</v>
      </c>
      <c r="C2305" s="7" t="s">
        <v>880</v>
      </c>
      <c r="D2305" t="str">
        <f t="shared" si="44"/>
        <v>MDG</v>
      </c>
    </row>
    <row r="2306" spans="1:4" ht="15.6" thickTop="1" thickBot="1">
      <c r="A2306" s="7"/>
      <c r="B2306" s="7" t="s">
        <v>17</v>
      </c>
      <c r="C2306" s="7" t="s">
        <v>881</v>
      </c>
      <c r="D2306" t="str">
        <f t="shared" ref="D2306:D2369" si="45">IF(ISNUMBER(FIND(":", A2306)), LEFT(A2306, FIND(":", A2306) - 1), D2305)</f>
        <v>MDG</v>
      </c>
    </row>
    <row r="2307" spans="1:4" ht="15.6" thickTop="1" thickBot="1">
      <c r="A2307" s="9" t="s">
        <v>883</v>
      </c>
      <c r="B2307" s="10"/>
      <c r="C2307" s="11"/>
      <c r="D2307" t="str">
        <f t="shared" si="45"/>
        <v>MWI</v>
      </c>
    </row>
    <row r="2308" spans="1:4" ht="30" thickTop="1" thickBot="1">
      <c r="A2308" s="7"/>
      <c r="B2308" s="7" t="s">
        <v>25</v>
      </c>
      <c r="C2308" s="8">
        <v>94280</v>
      </c>
      <c r="D2308" t="str">
        <f t="shared" si="45"/>
        <v>MWI</v>
      </c>
    </row>
    <row r="2309" spans="1:4" ht="58.8" thickTop="1" thickBot="1">
      <c r="A2309" s="7"/>
      <c r="B2309" s="7" t="s">
        <v>26</v>
      </c>
      <c r="C2309" s="7" t="s">
        <v>884</v>
      </c>
      <c r="D2309" t="str">
        <f t="shared" si="45"/>
        <v>MWI</v>
      </c>
    </row>
    <row r="2310" spans="1:4" ht="20.399999999999999" thickTop="1" thickBot="1">
      <c r="A2310" s="7"/>
      <c r="B2310" s="7" t="s">
        <v>28</v>
      </c>
      <c r="C2310" s="7" t="s">
        <v>885</v>
      </c>
      <c r="D2310" t="str">
        <f t="shared" si="45"/>
        <v>MWI</v>
      </c>
    </row>
    <row r="2311" spans="1:4" ht="20.399999999999999" thickTop="1" thickBot="1">
      <c r="A2311" s="7"/>
      <c r="B2311" s="7" t="s">
        <v>30</v>
      </c>
      <c r="C2311" s="7" t="s">
        <v>885</v>
      </c>
      <c r="D2311" t="str">
        <f t="shared" si="45"/>
        <v>MWI</v>
      </c>
    </row>
    <row r="2312" spans="1:4" ht="20.399999999999999" thickTop="1" thickBot="1">
      <c r="A2312" s="7"/>
      <c r="B2312" s="7" t="s">
        <v>32</v>
      </c>
      <c r="C2312" s="7" t="s">
        <v>33</v>
      </c>
      <c r="D2312" t="str">
        <f t="shared" si="45"/>
        <v>MWI</v>
      </c>
    </row>
    <row r="2313" spans="1:4" ht="20.399999999999999" thickTop="1" thickBot="1">
      <c r="A2313" s="7"/>
      <c r="B2313" s="7" t="s">
        <v>1</v>
      </c>
      <c r="C2313" s="7" t="s">
        <v>50</v>
      </c>
      <c r="D2313" t="str">
        <f t="shared" si="45"/>
        <v>MWI</v>
      </c>
    </row>
    <row r="2314" spans="1:4" ht="30" thickTop="1" thickBot="1">
      <c r="A2314" s="7"/>
      <c r="B2314" s="7" t="s">
        <v>3</v>
      </c>
      <c r="C2314" s="7" t="s">
        <v>4</v>
      </c>
      <c r="D2314" t="str">
        <f t="shared" si="45"/>
        <v>MWI</v>
      </c>
    </row>
    <row r="2315" spans="1:4" ht="20.399999999999999" thickTop="1" thickBot="1">
      <c r="A2315" s="7"/>
      <c r="B2315" s="7" t="s">
        <v>5</v>
      </c>
      <c r="C2315" s="7" t="s">
        <v>51</v>
      </c>
      <c r="D2315" t="str">
        <f t="shared" si="45"/>
        <v>MWI</v>
      </c>
    </row>
    <row r="2316" spans="1:4" ht="30" thickTop="1" thickBot="1">
      <c r="A2316" s="7"/>
      <c r="B2316" s="7" t="s">
        <v>7</v>
      </c>
      <c r="C2316" s="7" t="s">
        <v>8</v>
      </c>
      <c r="D2316" t="str">
        <f t="shared" si="45"/>
        <v>MWI</v>
      </c>
    </row>
    <row r="2317" spans="1:4" ht="49.2" thickTop="1" thickBot="1">
      <c r="A2317" s="7"/>
      <c r="B2317" s="7" t="s">
        <v>9</v>
      </c>
      <c r="C2317" s="7">
        <v>2017</v>
      </c>
      <c r="D2317" t="str">
        <f t="shared" si="45"/>
        <v>MWI</v>
      </c>
    </row>
    <row r="2318" spans="1:4" ht="39.6" thickTop="1" thickBot="1">
      <c r="A2318" s="7"/>
      <c r="B2318" s="7" t="s">
        <v>10</v>
      </c>
      <c r="C2318" s="7">
        <v>2018</v>
      </c>
      <c r="D2318" t="str">
        <f t="shared" si="45"/>
        <v>MWI</v>
      </c>
    </row>
    <row r="2319" spans="1:4" ht="15.6" thickTop="1" thickBot="1">
      <c r="A2319" s="7"/>
      <c r="B2319" s="7" t="s">
        <v>11</v>
      </c>
      <c r="C2319" s="7" t="s">
        <v>886</v>
      </c>
      <c r="D2319" t="str">
        <f t="shared" si="45"/>
        <v>MWI</v>
      </c>
    </row>
    <row r="2320" spans="1:4" ht="15.6" thickTop="1" thickBot="1">
      <c r="A2320" s="7"/>
      <c r="B2320" s="7" t="s">
        <v>13</v>
      </c>
      <c r="C2320" s="7" t="s">
        <v>887</v>
      </c>
      <c r="D2320" t="str">
        <f t="shared" si="45"/>
        <v>MWI</v>
      </c>
    </row>
    <row r="2321" spans="1:4" ht="15.6" thickTop="1" thickBot="1">
      <c r="A2321" s="7"/>
      <c r="B2321" s="7" t="s">
        <v>23</v>
      </c>
      <c r="C2321" s="7" t="s">
        <v>888</v>
      </c>
      <c r="D2321" t="str">
        <f t="shared" si="45"/>
        <v>MWI</v>
      </c>
    </row>
    <row r="2322" spans="1:4" ht="15.6" thickTop="1" thickBot="1">
      <c r="A2322" s="7"/>
      <c r="B2322" s="7" t="s">
        <v>24</v>
      </c>
      <c r="C2322" s="7">
        <v>1270</v>
      </c>
      <c r="D2322" t="str">
        <f t="shared" si="45"/>
        <v>MWI</v>
      </c>
    </row>
    <row r="2323" spans="1:4" ht="15.6" thickTop="1" thickBot="1">
      <c r="A2323" s="7"/>
      <c r="B2323" s="7" t="s">
        <v>21</v>
      </c>
      <c r="C2323" s="7" t="s">
        <v>889</v>
      </c>
      <c r="D2323" t="str">
        <f t="shared" si="45"/>
        <v>MWI</v>
      </c>
    </row>
    <row r="2324" spans="1:4" ht="15.6" thickTop="1" thickBot="1">
      <c r="A2324" s="7"/>
      <c r="B2324" s="7" t="s">
        <v>22</v>
      </c>
      <c r="C2324" s="7" t="s">
        <v>886</v>
      </c>
      <c r="D2324" t="str">
        <f t="shared" si="45"/>
        <v>MWI</v>
      </c>
    </row>
    <row r="2325" spans="1:4" ht="15.6" thickTop="1" thickBot="1">
      <c r="A2325" s="7"/>
      <c r="B2325" s="7" t="s">
        <v>18</v>
      </c>
      <c r="C2325" s="7" t="s">
        <v>888</v>
      </c>
      <c r="D2325" t="str">
        <f t="shared" si="45"/>
        <v>MWI</v>
      </c>
    </row>
    <row r="2326" spans="1:4" ht="15.6" thickTop="1" thickBot="1">
      <c r="A2326" s="7"/>
      <c r="B2326" s="7" t="s">
        <v>19</v>
      </c>
      <c r="C2326" s="7" t="s">
        <v>890</v>
      </c>
      <c r="D2326" t="str">
        <f t="shared" si="45"/>
        <v>MWI</v>
      </c>
    </row>
    <row r="2327" spans="1:4" ht="15.6" thickTop="1" thickBot="1">
      <c r="A2327" s="7"/>
      <c r="B2327" s="7" t="s">
        <v>17</v>
      </c>
      <c r="C2327" s="7" t="s">
        <v>888</v>
      </c>
      <c r="D2327" t="str">
        <f t="shared" si="45"/>
        <v>MWI</v>
      </c>
    </row>
    <row r="2328" spans="1:4" ht="15.6" thickTop="1" thickBot="1">
      <c r="A2328" s="7"/>
      <c r="B2328" s="7" t="s">
        <v>15</v>
      </c>
      <c r="C2328" s="7" t="s">
        <v>891</v>
      </c>
      <c r="D2328" t="str">
        <f t="shared" si="45"/>
        <v>MWI</v>
      </c>
    </row>
    <row r="2329" spans="1:4" ht="15.6" thickTop="1" thickBot="1">
      <c r="A2329" s="7"/>
      <c r="B2329" s="7" t="s">
        <v>16</v>
      </c>
      <c r="C2329" s="7" t="s">
        <v>886</v>
      </c>
      <c r="D2329" t="str">
        <f t="shared" si="45"/>
        <v>MWI</v>
      </c>
    </row>
    <row r="2330" spans="1:4" ht="20.399999999999999" thickTop="1" thickBot="1">
      <c r="A2330" s="9" t="s">
        <v>892</v>
      </c>
      <c r="B2330" s="10"/>
      <c r="C2330" s="11"/>
      <c r="D2330" t="str">
        <f t="shared" si="45"/>
        <v>MYS</v>
      </c>
    </row>
    <row r="2331" spans="1:4" ht="30" thickTop="1" thickBot="1">
      <c r="A2331" s="7"/>
      <c r="B2331" s="7" t="s">
        <v>25</v>
      </c>
      <c r="C2331" s="8">
        <v>328550</v>
      </c>
      <c r="D2331" t="str">
        <f t="shared" si="45"/>
        <v>MYS</v>
      </c>
    </row>
    <row r="2332" spans="1:4" ht="106.8" thickTop="1" thickBot="1">
      <c r="A2332" s="7"/>
      <c r="B2332" s="7" t="s">
        <v>26</v>
      </c>
      <c r="C2332" s="7" t="s">
        <v>893</v>
      </c>
      <c r="D2332" t="str">
        <f t="shared" si="45"/>
        <v>MYS</v>
      </c>
    </row>
    <row r="2333" spans="1:4" ht="20.399999999999999" thickTop="1" thickBot="1">
      <c r="A2333" s="7"/>
      <c r="B2333" s="7" t="s">
        <v>28</v>
      </c>
      <c r="C2333" s="7" t="s">
        <v>894</v>
      </c>
      <c r="D2333" t="str">
        <f t="shared" si="45"/>
        <v>MYS</v>
      </c>
    </row>
    <row r="2334" spans="1:4" ht="20.399999999999999" thickTop="1" thickBot="1">
      <c r="A2334" s="7"/>
      <c r="B2334" s="7" t="s">
        <v>30</v>
      </c>
      <c r="C2334" s="7" t="s">
        <v>895</v>
      </c>
      <c r="D2334" t="str">
        <f t="shared" si="45"/>
        <v>MYS</v>
      </c>
    </row>
    <row r="2335" spans="1:4" ht="20.399999999999999" thickTop="1" thickBot="1">
      <c r="A2335" s="7"/>
      <c r="B2335" s="7" t="s">
        <v>32</v>
      </c>
      <c r="C2335" s="7" t="s">
        <v>33</v>
      </c>
      <c r="D2335" t="str">
        <f t="shared" si="45"/>
        <v>MYS</v>
      </c>
    </row>
    <row r="2336" spans="1:4" ht="20.399999999999999" thickTop="1" thickBot="1">
      <c r="A2336" s="7"/>
      <c r="B2336" s="7" t="s">
        <v>1</v>
      </c>
      <c r="C2336" s="7" t="s">
        <v>107</v>
      </c>
      <c r="D2336" t="str">
        <f t="shared" si="45"/>
        <v>MYS</v>
      </c>
    </row>
    <row r="2337" spans="1:4" ht="30" thickTop="1" thickBot="1">
      <c r="A2337" s="7"/>
      <c r="B2337" s="7" t="s">
        <v>3</v>
      </c>
      <c r="C2337" s="7" t="s">
        <v>36</v>
      </c>
      <c r="D2337" t="str">
        <f t="shared" si="45"/>
        <v>MYS</v>
      </c>
    </row>
    <row r="2338" spans="1:4" ht="20.399999999999999" thickTop="1" thickBot="1">
      <c r="A2338" s="7"/>
      <c r="B2338" s="7" t="s">
        <v>5</v>
      </c>
      <c r="C2338" s="7" t="s">
        <v>108</v>
      </c>
      <c r="D2338" t="str">
        <f t="shared" si="45"/>
        <v>MYS</v>
      </c>
    </row>
    <row r="2339" spans="1:4" ht="30" thickTop="1" thickBot="1">
      <c r="A2339" s="7"/>
      <c r="B2339" s="7" t="s">
        <v>7</v>
      </c>
      <c r="C2339" s="7" t="s">
        <v>38</v>
      </c>
      <c r="D2339" t="str">
        <f t="shared" si="45"/>
        <v>MYS</v>
      </c>
    </row>
    <row r="2340" spans="1:4" ht="49.2" thickTop="1" thickBot="1">
      <c r="A2340" s="7"/>
      <c r="B2340" s="7" t="s">
        <v>9</v>
      </c>
      <c r="C2340" s="7">
        <v>2017</v>
      </c>
      <c r="D2340" t="str">
        <f t="shared" si="45"/>
        <v>MYS</v>
      </c>
    </row>
    <row r="2341" spans="1:4" ht="39.6" thickTop="1" thickBot="1">
      <c r="A2341" s="7"/>
      <c r="B2341" s="7" t="s">
        <v>10</v>
      </c>
      <c r="C2341" s="7">
        <v>2018</v>
      </c>
      <c r="D2341" t="str">
        <f t="shared" si="45"/>
        <v>MYS</v>
      </c>
    </row>
    <row r="2342" spans="1:4" ht="15.6" thickTop="1" thickBot="1">
      <c r="A2342" s="7"/>
      <c r="B2342" s="7" t="s">
        <v>11</v>
      </c>
      <c r="C2342" s="7" t="s">
        <v>889</v>
      </c>
      <c r="D2342" t="str">
        <f t="shared" si="45"/>
        <v>MYS</v>
      </c>
    </row>
    <row r="2343" spans="1:4" ht="15.6" thickTop="1" thickBot="1">
      <c r="A2343" s="7"/>
      <c r="B2343" s="7" t="s">
        <v>13</v>
      </c>
      <c r="C2343" s="7" t="s">
        <v>896</v>
      </c>
      <c r="D2343" t="str">
        <f t="shared" si="45"/>
        <v>MYS</v>
      </c>
    </row>
    <row r="2344" spans="1:4" ht="15.6" thickTop="1" thickBot="1">
      <c r="A2344" s="7"/>
      <c r="B2344" s="7" t="s">
        <v>15</v>
      </c>
      <c r="C2344" s="7" t="s">
        <v>897</v>
      </c>
      <c r="D2344" t="str">
        <f t="shared" si="45"/>
        <v>MYS</v>
      </c>
    </row>
    <row r="2345" spans="1:4" ht="15.6" thickTop="1" thickBot="1">
      <c r="A2345" s="7"/>
      <c r="B2345" s="7" t="s">
        <v>16</v>
      </c>
      <c r="C2345" s="7" t="s">
        <v>896</v>
      </c>
      <c r="D2345" t="str">
        <f t="shared" si="45"/>
        <v>MYS</v>
      </c>
    </row>
    <row r="2346" spans="1:4" ht="15.6" thickTop="1" thickBot="1">
      <c r="A2346" s="7"/>
      <c r="B2346" s="7" t="s">
        <v>17</v>
      </c>
      <c r="C2346" s="7" t="s">
        <v>898</v>
      </c>
      <c r="D2346" t="str">
        <f t="shared" si="45"/>
        <v>MYS</v>
      </c>
    </row>
    <row r="2347" spans="1:4" ht="15.6" thickTop="1" thickBot="1">
      <c r="A2347" s="7"/>
      <c r="B2347" s="7" t="s">
        <v>18</v>
      </c>
      <c r="C2347" s="7" t="s">
        <v>899</v>
      </c>
      <c r="D2347" t="str">
        <f t="shared" si="45"/>
        <v>MYS</v>
      </c>
    </row>
    <row r="2348" spans="1:4" ht="15.6" thickTop="1" thickBot="1">
      <c r="A2348" s="7"/>
      <c r="B2348" s="7" t="s">
        <v>19</v>
      </c>
      <c r="C2348" s="7" t="s">
        <v>900</v>
      </c>
      <c r="D2348" t="str">
        <f t="shared" si="45"/>
        <v>MYS</v>
      </c>
    </row>
    <row r="2349" spans="1:4" ht="15.6" thickTop="1" thickBot="1">
      <c r="A2349" s="7"/>
      <c r="B2349" s="7" t="s">
        <v>21</v>
      </c>
      <c r="C2349" s="7" t="s">
        <v>901</v>
      </c>
      <c r="D2349" t="str">
        <f t="shared" si="45"/>
        <v>MYS</v>
      </c>
    </row>
    <row r="2350" spans="1:4" ht="15.6" thickTop="1" thickBot="1">
      <c r="A2350" s="7"/>
      <c r="B2350" s="7" t="s">
        <v>22</v>
      </c>
      <c r="C2350" s="7" t="s">
        <v>902</v>
      </c>
      <c r="D2350" t="str">
        <f t="shared" si="45"/>
        <v>MYS</v>
      </c>
    </row>
    <row r="2351" spans="1:4" ht="15.6" thickTop="1" thickBot="1">
      <c r="A2351" s="7"/>
      <c r="B2351" s="7" t="s">
        <v>23</v>
      </c>
      <c r="C2351" s="7" t="s">
        <v>898</v>
      </c>
      <c r="D2351" t="str">
        <f t="shared" si="45"/>
        <v>MYS</v>
      </c>
    </row>
    <row r="2352" spans="1:4" ht="15.6" thickTop="1" thickBot="1">
      <c r="A2352" s="7"/>
      <c r="B2352" s="7" t="s">
        <v>24</v>
      </c>
      <c r="C2352" s="7">
        <v>3236</v>
      </c>
      <c r="D2352" t="str">
        <f t="shared" si="45"/>
        <v>MYS</v>
      </c>
    </row>
    <row r="2353" spans="1:4" ht="20.399999999999999" thickTop="1" thickBot="1">
      <c r="A2353" s="9" t="s">
        <v>903</v>
      </c>
      <c r="B2353" s="10"/>
      <c r="C2353" s="11"/>
      <c r="D2353" t="str">
        <f t="shared" si="45"/>
        <v>MDV</v>
      </c>
    </row>
    <row r="2354" spans="1:4" ht="30" thickTop="1" thickBot="1">
      <c r="A2354" s="7"/>
      <c r="B2354" s="7" t="s">
        <v>25</v>
      </c>
      <c r="C2354" s="7">
        <v>300</v>
      </c>
      <c r="D2354" t="str">
        <f t="shared" si="45"/>
        <v>MDV</v>
      </c>
    </row>
    <row r="2355" spans="1:4" ht="20.399999999999999" thickTop="1" thickBot="1">
      <c r="A2355" s="7"/>
      <c r="B2355" s="7" t="s">
        <v>26</v>
      </c>
      <c r="C2355" s="7" t="s">
        <v>904</v>
      </c>
      <c r="D2355" t="str">
        <f t="shared" si="45"/>
        <v>MDV</v>
      </c>
    </row>
    <row r="2356" spans="1:4" ht="20.399999999999999" thickTop="1" thickBot="1">
      <c r="A2356" s="7"/>
      <c r="B2356" s="7" t="s">
        <v>28</v>
      </c>
      <c r="C2356" s="7" t="s">
        <v>905</v>
      </c>
      <c r="D2356" t="str">
        <f t="shared" si="45"/>
        <v>MDV</v>
      </c>
    </row>
    <row r="2357" spans="1:4" ht="20.399999999999999" thickTop="1" thickBot="1">
      <c r="A2357" s="7"/>
      <c r="B2357" s="7" t="s">
        <v>30</v>
      </c>
      <c r="C2357" s="7" t="s">
        <v>906</v>
      </c>
      <c r="D2357" t="str">
        <f t="shared" si="45"/>
        <v>MDV</v>
      </c>
    </row>
    <row r="2358" spans="1:4" ht="20.399999999999999" thickTop="1" thickBot="1">
      <c r="A2358" s="7"/>
      <c r="B2358" s="7" t="s">
        <v>32</v>
      </c>
      <c r="C2358" s="7" t="s">
        <v>33</v>
      </c>
      <c r="D2358" t="str">
        <f t="shared" si="45"/>
        <v>MDV</v>
      </c>
    </row>
    <row r="2359" spans="1:4" ht="20.399999999999999" thickTop="1" thickBot="1">
      <c r="A2359" s="7"/>
      <c r="B2359" s="7" t="s">
        <v>1</v>
      </c>
      <c r="C2359" s="7" t="s">
        <v>152</v>
      </c>
      <c r="D2359" t="str">
        <f t="shared" si="45"/>
        <v>MDV</v>
      </c>
    </row>
    <row r="2360" spans="1:4" ht="30" thickTop="1" thickBot="1">
      <c r="A2360" s="7"/>
      <c r="B2360" s="7" t="s">
        <v>3</v>
      </c>
      <c r="C2360" s="7" t="s">
        <v>36</v>
      </c>
      <c r="D2360" t="str">
        <f t="shared" si="45"/>
        <v>MDV</v>
      </c>
    </row>
    <row r="2361" spans="1:4" ht="20.399999999999999" thickTop="1" thickBot="1">
      <c r="A2361" s="7"/>
      <c r="B2361" s="7" t="s">
        <v>5</v>
      </c>
      <c r="C2361" s="7" t="s">
        <v>153</v>
      </c>
      <c r="D2361" t="str">
        <f t="shared" si="45"/>
        <v>MDV</v>
      </c>
    </row>
    <row r="2362" spans="1:4" ht="30" thickTop="1" thickBot="1">
      <c r="A2362" s="7"/>
      <c r="B2362" s="7" t="s">
        <v>7</v>
      </c>
      <c r="C2362" s="7" t="s">
        <v>38</v>
      </c>
      <c r="D2362" t="str">
        <f t="shared" si="45"/>
        <v>MDV</v>
      </c>
    </row>
    <row r="2363" spans="1:4" ht="49.2" thickTop="1" thickBot="1">
      <c r="A2363" s="7"/>
      <c r="B2363" s="7" t="s">
        <v>9</v>
      </c>
      <c r="C2363" s="7">
        <v>2017</v>
      </c>
      <c r="D2363" t="str">
        <f t="shared" si="45"/>
        <v>MDV</v>
      </c>
    </row>
    <row r="2364" spans="1:4" ht="39.6" thickTop="1" thickBot="1">
      <c r="A2364" s="7"/>
      <c r="B2364" s="7" t="s">
        <v>10</v>
      </c>
      <c r="C2364" s="7">
        <v>2018</v>
      </c>
      <c r="D2364" t="str">
        <f t="shared" si="45"/>
        <v>MDV</v>
      </c>
    </row>
    <row r="2365" spans="1:4" ht="15.6" thickTop="1" thickBot="1">
      <c r="A2365" s="7"/>
      <c r="B2365" s="7" t="s">
        <v>13</v>
      </c>
      <c r="C2365" s="7" t="s">
        <v>907</v>
      </c>
      <c r="D2365" t="str">
        <f t="shared" si="45"/>
        <v>MDV</v>
      </c>
    </row>
    <row r="2366" spans="1:4" ht="15.6" thickTop="1" thickBot="1">
      <c r="A2366" s="7"/>
      <c r="B2366" s="7" t="s">
        <v>15</v>
      </c>
      <c r="C2366" s="7" t="s">
        <v>908</v>
      </c>
      <c r="D2366" t="str">
        <f t="shared" si="45"/>
        <v>MDV</v>
      </c>
    </row>
    <row r="2367" spans="1:4" ht="15.6" thickTop="1" thickBot="1">
      <c r="A2367" s="7"/>
      <c r="B2367" s="7" t="s">
        <v>16</v>
      </c>
      <c r="C2367" s="7" t="s">
        <v>907</v>
      </c>
      <c r="D2367" t="str">
        <f t="shared" si="45"/>
        <v>MDV</v>
      </c>
    </row>
    <row r="2368" spans="1:4" ht="15.6" thickTop="1" thickBot="1">
      <c r="A2368" s="7"/>
      <c r="B2368" s="7" t="s">
        <v>17</v>
      </c>
      <c r="C2368" s="7" t="s">
        <v>908</v>
      </c>
      <c r="D2368" t="str">
        <f t="shared" si="45"/>
        <v>MDV</v>
      </c>
    </row>
    <row r="2369" spans="1:4" ht="15.6" thickTop="1" thickBot="1">
      <c r="A2369" s="7"/>
      <c r="B2369" s="7" t="s">
        <v>18</v>
      </c>
      <c r="C2369" s="7" t="s">
        <v>909</v>
      </c>
      <c r="D2369" t="str">
        <f t="shared" si="45"/>
        <v>MDV</v>
      </c>
    </row>
    <row r="2370" spans="1:4" ht="15.6" thickTop="1" thickBot="1">
      <c r="A2370" s="7"/>
      <c r="B2370" s="7" t="s">
        <v>19</v>
      </c>
      <c r="C2370" s="7" t="s">
        <v>910</v>
      </c>
      <c r="D2370" t="str">
        <f t="shared" ref="D2370:D2433" si="46">IF(ISNUMBER(FIND(":", A2370)), LEFT(A2370, FIND(":", A2370) - 1), D2369)</f>
        <v>MDV</v>
      </c>
    </row>
    <row r="2371" spans="1:4" ht="15.6" thickTop="1" thickBot="1">
      <c r="A2371" s="7"/>
      <c r="B2371" s="7" t="s">
        <v>21</v>
      </c>
      <c r="C2371" s="7" t="s">
        <v>911</v>
      </c>
      <c r="D2371" t="str">
        <f t="shared" si="46"/>
        <v>MDV</v>
      </c>
    </row>
    <row r="2372" spans="1:4" ht="15.6" thickTop="1" thickBot="1">
      <c r="A2372" s="7"/>
      <c r="B2372" s="7" t="s">
        <v>22</v>
      </c>
      <c r="C2372" s="7" t="s">
        <v>907</v>
      </c>
      <c r="D2372" t="str">
        <f t="shared" si="46"/>
        <v>MDV</v>
      </c>
    </row>
    <row r="2373" spans="1:4" ht="15.6" thickTop="1" thickBot="1">
      <c r="A2373" s="7"/>
      <c r="B2373" s="7" t="s">
        <v>23</v>
      </c>
      <c r="C2373" s="7" t="s">
        <v>908</v>
      </c>
      <c r="D2373" t="str">
        <f t="shared" si="46"/>
        <v>MDV</v>
      </c>
    </row>
    <row r="2374" spans="1:4" ht="15.6" thickTop="1" thickBot="1">
      <c r="A2374" s="7"/>
      <c r="B2374" s="7" t="s">
        <v>24</v>
      </c>
      <c r="C2374" s="7">
        <v>3255</v>
      </c>
      <c r="D2374" t="str">
        <f t="shared" si="46"/>
        <v>MDV</v>
      </c>
    </row>
    <row r="2375" spans="1:4" ht="15.6" thickTop="1" thickBot="1">
      <c r="A2375" s="9" t="s">
        <v>912</v>
      </c>
      <c r="B2375" s="10"/>
      <c r="C2375" s="11"/>
      <c r="D2375" t="str">
        <f t="shared" si="46"/>
        <v>MLI</v>
      </c>
    </row>
    <row r="2376" spans="1:4" ht="30" thickTop="1" thickBot="1">
      <c r="A2376" s="7"/>
      <c r="B2376" s="7" t="s">
        <v>25</v>
      </c>
      <c r="C2376" s="8">
        <v>1220190</v>
      </c>
      <c r="D2376" t="str">
        <f t="shared" si="46"/>
        <v>MLI</v>
      </c>
    </row>
    <row r="2377" spans="1:4" ht="30" thickTop="1" thickBot="1">
      <c r="A2377" s="7"/>
      <c r="B2377" s="7" t="s">
        <v>26</v>
      </c>
      <c r="C2377" s="7" t="s">
        <v>913</v>
      </c>
      <c r="D2377" t="str">
        <f t="shared" si="46"/>
        <v>MLI</v>
      </c>
    </row>
    <row r="2378" spans="1:4" ht="20.399999999999999" thickTop="1" thickBot="1">
      <c r="A2378" s="7"/>
      <c r="B2378" s="7" t="s">
        <v>28</v>
      </c>
      <c r="C2378" s="7" t="s">
        <v>914</v>
      </c>
      <c r="D2378" t="str">
        <f t="shared" si="46"/>
        <v>MLI</v>
      </c>
    </row>
    <row r="2379" spans="1:4" ht="20.399999999999999" thickTop="1" thickBot="1">
      <c r="A2379" s="7"/>
      <c r="B2379" s="7" t="s">
        <v>30</v>
      </c>
      <c r="C2379" s="7" t="s">
        <v>914</v>
      </c>
      <c r="D2379" t="str">
        <f t="shared" si="46"/>
        <v>MLI</v>
      </c>
    </row>
    <row r="2380" spans="1:4" ht="20.399999999999999" thickTop="1" thickBot="1">
      <c r="A2380" s="7"/>
      <c r="B2380" s="7" t="s">
        <v>32</v>
      </c>
      <c r="C2380" s="7" t="s">
        <v>33</v>
      </c>
      <c r="D2380" t="str">
        <f t="shared" si="46"/>
        <v>MLI</v>
      </c>
    </row>
    <row r="2381" spans="1:4" ht="20.399999999999999" thickTop="1" thickBot="1">
      <c r="A2381" s="7"/>
      <c r="B2381" s="7" t="s">
        <v>1</v>
      </c>
      <c r="C2381" s="7" t="s">
        <v>50</v>
      </c>
      <c r="D2381" t="str">
        <f t="shared" si="46"/>
        <v>MLI</v>
      </c>
    </row>
    <row r="2382" spans="1:4" ht="30" thickTop="1" thickBot="1">
      <c r="A2382" s="7"/>
      <c r="B2382" s="7" t="s">
        <v>3</v>
      </c>
      <c r="C2382" s="7" t="s">
        <v>4</v>
      </c>
      <c r="D2382" t="str">
        <f t="shared" si="46"/>
        <v>MLI</v>
      </c>
    </row>
    <row r="2383" spans="1:4" ht="20.399999999999999" thickTop="1" thickBot="1">
      <c r="A2383" s="7"/>
      <c r="B2383" s="7" t="s">
        <v>5</v>
      </c>
      <c r="C2383" s="7" t="s">
        <v>51</v>
      </c>
      <c r="D2383" t="str">
        <f t="shared" si="46"/>
        <v>MLI</v>
      </c>
    </row>
    <row r="2384" spans="1:4" ht="30" thickTop="1" thickBot="1">
      <c r="A2384" s="7"/>
      <c r="B2384" s="7" t="s">
        <v>7</v>
      </c>
      <c r="C2384" s="7" t="s">
        <v>8</v>
      </c>
      <c r="D2384" t="str">
        <f t="shared" si="46"/>
        <v>MLI</v>
      </c>
    </row>
    <row r="2385" spans="1:4" ht="49.2" thickTop="1" thickBot="1">
      <c r="A2385" s="7"/>
      <c r="B2385" s="7" t="s">
        <v>9</v>
      </c>
      <c r="C2385" s="7">
        <v>2017</v>
      </c>
      <c r="D2385" t="str">
        <f t="shared" si="46"/>
        <v>MLI</v>
      </c>
    </row>
    <row r="2386" spans="1:4" ht="39.6" thickTop="1" thickBot="1">
      <c r="A2386" s="7"/>
      <c r="B2386" s="7" t="s">
        <v>10</v>
      </c>
      <c r="C2386" s="7">
        <v>2018</v>
      </c>
      <c r="D2386" t="str">
        <f t="shared" si="46"/>
        <v>MLI</v>
      </c>
    </row>
    <row r="2387" spans="1:4" ht="15.6" thickTop="1" thickBot="1">
      <c r="A2387" s="7"/>
      <c r="B2387" s="7" t="s">
        <v>11</v>
      </c>
      <c r="C2387" s="7" t="s">
        <v>915</v>
      </c>
      <c r="D2387" t="str">
        <f t="shared" si="46"/>
        <v>MLI</v>
      </c>
    </row>
    <row r="2388" spans="1:4" ht="15.6" thickTop="1" thickBot="1">
      <c r="A2388" s="7"/>
      <c r="B2388" s="7" t="s">
        <v>13</v>
      </c>
      <c r="C2388" s="7" t="s">
        <v>916</v>
      </c>
      <c r="D2388" t="str">
        <f t="shared" si="46"/>
        <v>MLI</v>
      </c>
    </row>
    <row r="2389" spans="1:4" ht="15.6" thickTop="1" thickBot="1">
      <c r="A2389" s="7"/>
      <c r="B2389" s="7" t="s">
        <v>15</v>
      </c>
      <c r="C2389" s="7" t="s">
        <v>917</v>
      </c>
      <c r="D2389" t="str">
        <f t="shared" si="46"/>
        <v>MLI</v>
      </c>
    </row>
    <row r="2390" spans="1:4" ht="15.6" thickTop="1" thickBot="1">
      <c r="A2390" s="7"/>
      <c r="B2390" s="7" t="s">
        <v>16</v>
      </c>
      <c r="C2390" s="7" t="s">
        <v>916</v>
      </c>
      <c r="D2390" t="str">
        <f t="shared" si="46"/>
        <v>MLI</v>
      </c>
    </row>
    <row r="2391" spans="1:4" ht="15.6" thickTop="1" thickBot="1">
      <c r="A2391" s="7"/>
      <c r="B2391" s="7" t="s">
        <v>17</v>
      </c>
      <c r="C2391" s="7" t="s">
        <v>917</v>
      </c>
      <c r="D2391" t="str">
        <f t="shared" si="46"/>
        <v>MLI</v>
      </c>
    </row>
    <row r="2392" spans="1:4" ht="15.6" thickTop="1" thickBot="1">
      <c r="A2392" s="7"/>
      <c r="B2392" s="7" t="s">
        <v>18</v>
      </c>
      <c r="C2392" s="7" t="s">
        <v>917</v>
      </c>
      <c r="D2392" t="str">
        <f t="shared" si="46"/>
        <v>MLI</v>
      </c>
    </row>
    <row r="2393" spans="1:4" ht="15.6" thickTop="1" thickBot="1">
      <c r="A2393" s="7"/>
      <c r="B2393" s="7" t="s">
        <v>19</v>
      </c>
      <c r="C2393" s="7" t="s">
        <v>918</v>
      </c>
      <c r="D2393" t="str">
        <f t="shared" si="46"/>
        <v>MLI</v>
      </c>
    </row>
    <row r="2394" spans="1:4" ht="15.6" thickTop="1" thickBot="1">
      <c r="A2394" s="7"/>
      <c r="B2394" s="7" t="s">
        <v>21</v>
      </c>
      <c r="C2394" s="7" t="s">
        <v>919</v>
      </c>
      <c r="D2394" t="str">
        <f t="shared" si="46"/>
        <v>MLI</v>
      </c>
    </row>
    <row r="2395" spans="1:4" ht="15.6" thickTop="1" thickBot="1">
      <c r="A2395" s="7"/>
      <c r="B2395" s="7" t="s">
        <v>22</v>
      </c>
      <c r="C2395" s="7" t="s">
        <v>887</v>
      </c>
      <c r="D2395" t="str">
        <f t="shared" si="46"/>
        <v>MLI</v>
      </c>
    </row>
    <row r="2396" spans="1:4" ht="15.6" thickTop="1" thickBot="1">
      <c r="A2396" s="7"/>
      <c r="B2396" s="7" t="s">
        <v>23</v>
      </c>
      <c r="C2396" s="7" t="s">
        <v>917</v>
      </c>
      <c r="D2396" t="str">
        <f t="shared" si="46"/>
        <v>MLI</v>
      </c>
    </row>
    <row r="2397" spans="1:4" ht="15.6" thickTop="1" thickBot="1">
      <c r="A2397" s="7"/>
      <c r="B2397" s="7" t="s">
        <v>24</v>
      </c>
      <c r="C2397" s="7">
        <v>1280</v>
      </c>
      <c r="D2397" t="str">
        <f t="shared" si="46"/>
        <v>MLI</v>
      </c>
    </row>
    <row r="2398" spans="1:4" ht="15.6" thickTop="1" thickBot="1">
      <c r="A2398" s="9" t="s">
        <v>920</v>
      </c>
      <c r="B2398" s="10"/>
      <c r="C2398" s="11"/>
      <c r="D2398" t="str">
        <f t="shared" si="46"/>
        <v>MLT</v>
      </c>
    </row>
    <row r="2399" spans="1:4" ht="30" thickTop="1" thickBot="1">
      <c r="A2399" s="7"/>
      <c r="B2399" s="7" t="s">
        <v>25</v>
      </c>
      <c r="C2399" s="7">
        <v>320</v>
      </c>
      <c r="D2399" t="str">
        <f t="shared" si="46"/>
        <v>MLT</v>
      </c>
    </row>
    <row r="2400" spans="1:4" ht="20.399999999999999" thickTop="1" thickBot="1">
      <c r="A2400" s="7"/>
      <c r="B2400" s="7" t="s">
        <v>26</v>
      </c>
      <c r="C2400" s="7" t="s">
        <v>921</v>
      </c>
      <c r="D2400" t="str">
        <f t="shared" si="46"/>
        <v>MLT</v>
      </c>
    </row>
    <row r="2401" spans="1:4" ht="20.399999999999999" thickTop="1" thickBot="1">
      <c r="A2401" s="7"/>
      <c r="B2401" s="7" t="s">
        <v>28</v>
      </c>
      <c r="C2401" s="7" t="s">
        <v>922</v>
      </c>
      <c r="D2401" t="str">
        <f t="shared" si="46"/>
        <v>MLT</v>
      </c>
    </row>
    <row r="2402" spans="1:4" ht="20.399999999999999" thickTop="1" thickBot="1">
      <c r="A2402" s="7"/>
      <c r="B2402" s="7" t="s">
        <v>30</v>
      </c>
      <c r="C2402" s="7" t="s">
        <v>923</v>
      </c>
      <c r="D2402" t="str">
        <f t="shared" si="46"/>
        <v>MLT</v>
      </c>
    </row>
    <row r="2403" spans="1:4" ht="20.399999999999999" thickTop="1" thickBot="1">
      <c r="A2403" s="7"/>
      <c r="B2403" s="7" t="s">
        <v>32</v>
      </c>
      <c r="C2403" s="7" t="s">
        <v>33</v>
      </c>
      <c r="D2403" t="str">
        <f t="shared" si="46"/>
        <v>MLT</v>
      </c>
    </row>
    <row r="2404" spans="1:4" ht="20.399999999999999" thickTop="1" thickBot="1">
      <c r="A2404" s="7"/>
      <c r="B2404" s="7" t="s">
        <v>1</v>
      </c>
      <c r="C2404" s="7" t="s">
        <v>35</v>
      </c>
      <c r="D2404" t="str">
        <f t="shared" si="46"/>
        <v>MLT</v>
      </c>
    </row>
    <row r="2405" spans="1:4" ht="30" thickTop="1" thickBot="1">
      <c r="A2405" s="7"/>
      <c r="B2405" s="7" t="s">
        <v>3</v>
      </c>
      <c r="C2405" s="7" t="s">
        <v>59</v>
      </c>
      <c r="D2405" t="str">
        <f t="shared" si="46"/>
        <v>MLT</v>
      </c>
    </row>
    <row r="2406" spans="1:4" ht="20.399999999999999" thickTop="1" thickBot="1">
      <c r="A2406" s="7"/>
      <c r="B2406" s="7" t="s">
        <v>5</v>
      </c>
      <c r="C2406" s="7" t="s">
        <v>37</v>
      </c>
      <c r="D2406" t="str">
        <f t="shared" si="46"/>
        <v>MLT</v>
      </c>
    </row>
    <row r="2407" spans="1:4" ht="30" thickTop="1" thickBot="1">
      <c r="A2407" s="7"/>
      <c r="B2407" s="7" t="s">
        <v>7</v>
      </c>
      <c r="C2407" s="7" t="s">
        <v>60</v>
      </c>
      <c r="D2407" t="str">
        <f t="shared" si="46"/>
        <v>MLT</v>
      </c>
    </row>
    <row r="2408" spans="1:4" ht="49.2" thickTop="1" thickBot="1">
      <c r="A2408" s="7"/>
      <c r="B2408" s="7" t="s">
        <v>9</v>
      </c>
      <c r="C2408" s="7">
        <v>2017</v>
      </c>
      <c r="D2408" t="str">
        <f t="shared" si="46"/>
        <v>MLT</v>
      </c>
    </row>
    <row r="2409" spans="1:4" ht="39.6" thickTop="1" thickBot="1">
      <c r="A2409" s="7"/>
      <c r="B2409" s="7" t="s">
        <v>10</v>
      </c>
      <c r="C2409" s="7">
        <v>2018</v>
      </c>
      <c r="D2409" t="str">
        <f t="shared" si="46"/>
        <v>MLT</v>
      </c>
    </row>
    <row r="2410" spans="1:4" ht="15.6" thickTop="1" thickBot="1">
      <c r="A2410" s="7"/>
      <c r="B2410" s="7" t="s">
        <v>11</v>
      </c>
      <c r="C2410" s="7" t="s">
        <v>33</v>
      </c>
      <c r="D2410" t="str">
        <f t="shared" si="46"/>
        <v>MLT</v>
      </c>
    </row>
    <row r="2411" spans="1:4" ht="15.6" thickTop="1" thickBot="1">
      <c r="A2411" s="7"/>
      <c r="B2411" s="7" t="s">
        <v>13</v>
      </c>
      <c r="C2411" s="7" t="s">
        <v>924</v>
      </c>
      <c r="D2411" t="str">
        <f t="shared" si="46"/>
        <v>MLT</v>
      </c>
    </row>
    <row r="2412" spans="1:4" ht="15.6" thickTop="1" thickBot="1">
      <c r="A2412" s="7"/>
      <c r="B2412" s="7" t="s">
        <v>15</v>
      </c>
      <c r="C2412" s="7" t="s">
        <v>925</v>
      </c>
      <c r="D2412" t="str">
        <f t="shared" si="46"/>
        <v>MLT</v>
      </c>
    </row>
    <row r="2413" spans="1:4" ht="15.6" thickTop="1" thickBot="1">
      <c r="A2413" s="7"/>
      <c r="B2413" s="7" t="s">
        <v>16</v>
      </c>
      <c r="C2413" s="7" t="s">
        <v>924</v>
      </c>
      <c r="D2413" t="str">
        <f t="shared" si="46"/>
        <v>MLT</v>
      </c>
    </row>
    <row r="2414" spans="1:4" ht="15.6" thickTop="1" thickBot="1">
      <c r="A2414" s="7"/>
      <c r="B2414" s="7" t="s">
        <v>17</v>
      </c>
      <c r="C2414" s="7" t="s">
        <v>925</v>
      </c>
      <c r="D2414" t="str">
        <f t="shared" si="46"/>
        <v>MLT</v>
      </c>
    </row>
    <row r="2415" spans="1:4" ht="15.6" thickTop="1" thickBot="1">
      <c r="A2415" s="7"/>
      <c r="B2415" s="7" t="s">
        <v>18</v>
      </c>
      <c r="C2415" s="7" t="s">
        <v>925</v>
      </c>
      <c r="D2415" t="str">
        <f t="shared" si="46"/>
        <v>MLT</v>
      </c>
    </row>
    <row r="2416" spans="1:4" ht="15.6" thickTop="1" thickBot="1">
      <c r="A2416" s="7"/>
      <c r="B2416" s="7" t="s">
        <v>19</v>
      </c>
      <c r="C2416" s="7" t="s">
        <v>926</v>
      </c>
      <c r="D2416" t="str">
        <f t="shared" si="46"/>
        <v>MLT</v>
      </c>
    </row>
    <row r="2417" spans="1:4" ht="15.6" thickTop="1" thickBot="1">
      <c r="A2417" s="7"/>
      <c r="B2417" s="7" t="s">
        <v>21</v>
      </c>
      <c r="C2417" s="7" t="s">
        <v>927</v>
      </c>
      <c r="D2417" t="str">
        <f t="shared" si="46"/>
        <v>MLT</v>
      </c>
    </row>
    <row r="2418" spans="1:4" ht="15.6" thickTop="1" thickBot="1">
      <c r="A2418" s="7"/>
      <c r="B2418" s="7" t="s">
        <v>22</v>
      </c>
      <c r="C2418" s="7" t="s">
        <v>916</v>
      </c>
      <c r="D2418" t="str">
        <f t="shared" si="46"/>
        <v>MLT</v>
      </c>
    </row>
    <row r="2419" spans="1:4" ht="15.6" thickTop="1" thickBot="1">
      <c r="A2419" s="7"/>
      <c r="B2419" s="7" t="s">
        <v>23</v>
      </c>
      <c r="C2419" s="7" t="s">
        <v>925</v>
      </c>
      <c r="D2419" t="str">
        <f t="shared" si="46"/>
        <v>MLT</v>
      </c>
    </row>
    <row r="2420" spans="1:4" ht="15.6" thickTop="1" thickBot="1">
      <c r="A2420" s="7"/>
      <c r="B2420" s="7" t="s">
        <v>24</v>
      </c>
      <c r="C2420" s="7">
        <v>4200</v>
      </c>
      <c r="D2420" t="str">
        <f t="shared" si="46"/>
        <v>MLT</v>
      </c>
    </row>
    <row r="2421" spans="1:4" ht="30" thickTop="1" thickBot="1">
      <c r="A2421" s="9" t="s">
        <v>928</v>
      </c>
      <c r="B2421" s="10"/>
      <c r="C2421" s="11"/>
      <c r="D2421" t="str">
        <f t="shared" si="46"/>
        <v>MHL</v>
      </c>
    </row>
    <row r="2422" spans="1:4" ht="20.399999999999999" thickTop="1" thickBot="1">
      <c r="A2422" s="7"/>
      <c r="B2422" s="7" t="s">
        <v>28</v>
      </c>
      <c r="C2422" s="7" t="s">
        <v>929</v>
      </c>
      <c r="D2422" t="str">
        <f t="shared" si="46"/>
        <v>MHL</v>
      </c>
    </row>
    <row r="2423" spans="1:4" ht="20.399999999999999" thickTop="1" thickBot="1">
      <c r="A2423" s="7"/>
      <c r="B2423" s="7" t="s">
        <v>30</v>
      </c>
      <c r="C2423" s="7" t="s">
        <v>930</v>
      </c>
      <c r="D2423" t="str">
        <f t="shared" si="46"/>
        <v>MHL</v>
      </c>
    </row>
    <row r="2424" spans="1:4" ht="20.399999999999999" thickTop="1" thickBot="1">
      <c r="A2424" s="7"/>
      <c r="B2424" s="7" t="s">
        <v>32</v>
      </c>
      <c r="C2424" s="7" t="s">
        <v>33</v>
      </c>
      <c r="D2424" t="str">
        <f t="shared" si="46"/>
        <v>MHL</v>
      </c>
    </row>
    <row r="2425" spans="1:4" ht="20.399999999999999" thickTop="1" thickBot="1">
      <c r="A2425" s="7"/>
      <c r="B2425" s="7" t="s">
        <v>1</v>
      </c>
      <c r="C2425" s="7" t="s">
        <v>107</v>
      </c>
      <c r="D2425" t="str">
        <f t="shared" si="46"/>
        <v>MHL</v>
      </c>
    </row>
    <row r="2426" spans="1:4" ht="30" thickTop="1" thickBot="1">
      <c r="A2426" s="7"/>
      <c r="B2426" s="7" t="s">
        <v>3</v>
      </c>
      <c r="C2426" s="7" t="s">
        <v>36</v>
      </c>
      <c r="D2426" t="str">
        <f t="shared" si="46"/>
        <v>MHL</v>
      </c>
    </row>
    <row r="2427" spans="1:4" ht="20.399999999999999" thickTop="1" thickBot="1">
      <c r="A2427" s="7"/>
      <c r="B2427" s="7" t="s">
        <v>5</v>
      </c>
      <c r="C2427" s="7" t="s">
        <v>108</v>
      </c>
      <c r="D2427" t="str">
        <f t="shared" si="46"/>
        <v>MHL</v>
      </c>
    </row>
    <row r="2428" spans="1:4" ht="30" thickTop="1" thickBot="1">
      <c r="A2428" s="7"/>
      <c r="B2428" s="7" t="s">
        <v>7</v>
      </c>
      <c r="C2428" s="7" t="s">
        <v>38</v>
      </c>
      <c r="D2428" t="str">
        <f t="shared" si="46"/>
        <v>MHL</v>
      </c>
    </row>
    <row r="2429" spans="1:4" ht="49.2" thickTop="1" thickBot="1">
      <c r="A2429" s="7"/>
      <c r="B2429" s="7" t="s">
        <v>9</v>
      </c>
      <c r="C2429" s="7">
        <v>2017</v>
      </c>
      <c r="D2429" t="str">
        <f t="shared" si="46"/>
        <v>MHL</v>
      </c>
    </row>
    <row r="2430" spans="1:4" ht="39.6" thickTop="1" thickBot="1">
      <c r="A2430" s="7"/>
      <c r="B2430" s="7" t="s">
        <v>10</v>
      </c>
      <c r="C2430" s="7">
        <v>2018</v>
      </c>
      <c r="D2430" t="str">
        <f t="shared" si="46"/>
        <v>MHL</v>
      </c>
    </row>
    <row r="2431" spans="1:4" ht="15.6" thickTop="1" thickBot="1">
      <c r="A2431" s="7"/>
      <c r="B2431" s="7" t="s">
        <v>13</v>
      </c>
      <c r="C2431" s="7" t="s">
        <v>877</v>
      </c>
      <c r="D2431" t="str">
        <f t="shared" si="46"/>
        <v>MHL</v>
      </c>
    </row>
    <row r="2432" spans="1:4" ht="15.6" thickTop="1" thickBot="1">
      <c r="A2432" s="7"/>
      <c r="B2432" s="7" t="s">
        <v>15</v>
      </c>
      <c r="C2432" s="7" t="s">
        <v>931</v>
      </c>
      <c r="D2432" t="str">
        <f t="shared" si="46"/>
        <v>MHL</v>
      </c>
    </row>
    <row r="2433" spans="1:4" ht="15.6" thickTop="1" thickBot="1">
      <c r="A2433" s="7"/>
      <c r="B2433" s="7" t="s">
        <v>22</v>
      </c>
      <c r="C2433" s="7" t="s">
        <v>932</v>
      </c>
      <c r="D2433" t="str">
        <f t="shared" si="46"/>
        <v>MHL</v>
      </c>
    </row>
    <row r="2434" spans="1:4" ht="15.6" thickTop="1" thickBot="1">
      <c r="A2434" s="7"/>
      <c r="B2434" s="7" t="s">
        <v>23</v>
      </c>
      <c r="C2434" s="7" t="s">
        <v>933</v>
      </c>
      <c r="D2434" t="str">
        <f t="shared" ref="D2434:D2497" si="47">IF(ISNUMBER(FIND(":", A2434)), LEFT(A2434, FIND(":", A2434) - 1), D2433)</f>
        <v>MHL</v>
      </c>
    </row>
    <row r="2435" spans="1:4" ht="15.6" thickTop="1" thickBot="1">
      <c r="A2435" s="7"/>
      <c r="B2435" s="7" t="s">
        <v>24</v>
      </c>
      <c r="C2435" s="7">
        <v>5107</v>
      </c>
      <c r="D2435" t="str">
        <f t="shared" si="47"/>
        <v>MHL</v>
      </c>
    </row>
    <row r="2436" spans="1:4" ht="15.6" thickTop="1" thickBot="1">
      <c r="A2436" s="7"/>
      <c r="B2436" s="7" t="s">
        <v>18</v>
      </c>
      <c r="C2436" s="7" t="s">
        <v>933</v>
      </c>
      <c r="D2436" t="str">
        <f t="shared" si="47"/>
        <v>MHL</v>
      </c>
    </row>
    <row r="2437" spans="1:4" ht="15.6" thickTop="1" thickBot="1">
      <c r="A2437" s="7"/>
      <c r="B2437" s="7" t="s">
        <v>19</v>
      </c>
      <c r="C2437" s="7" t="s">
        <v>934</v>
      </c>
      <c r="D2437" t="str">
        <f t="shared" si="47"/>
        <v>MHL</v>
      </c>
    </row>
    <row r="2438" spans="1:4" ht="15.6" thickTop="1" thickBot="1">
      <c r="A2438" s="7"/>
      <c r="B2438" s="7" t="s">
        <v>21</v>
      </c>
      <c r="C2438" s="7" t="s">
        <v>935</v>
      </c>
      <c r="D2438" t="str">
        <f t="shared" si="47"/>
        <v>MHL</v>
      </c>
    </row>
    <row r="2439" spans="1:4" ht="15.6" thickTop="1" thickBot="1">
      <c r="A2439" s="7"/>
      <c r="B2439" s="7" t="s">
        <v>16</v>
      </c>
      <c r="C2439" s="7" t="s">
        <v>932</v>
      </c>
      <c r="D2439" t="str">
        <f t="shared" si="47"/>
        <v>MHL</v>
      </c>
    </row>
    <row r="2440" spans="1:4" ht="15.6" thickTop="1" thickBot="1">
      <c r="A2440" s="7"/>
      <c r="B2440" s="7" t="s">
        <v>17</v>
      </c>
      <c r="C2440" s="7" t="s">
        <v>933</v>
      </c>
      <c r="D2440" t="str">
        <f t="shared" si="47"/>
        <v>MHL</v>
      </c>
    </row>
    <row r="2441" spans="1:4" ht="20.399999999999999" thickTop="1" thickBot="1">
      <c r="A2441" s="9" t="s">
        <v>936</v>
      </c>
      <c r="B2441" s="10"/>
      <c r="C2441" s="11"/>
      <c r="D2441" t="str">
        <f t="shared" si="47"/>
        <v>MRT</v>
      </c>
    </row>
    <row r="2442" spans="1:4" ht="30" thickTop="1" thickBot="1">
      <c r="A2442" s="7"/>
      <c r="B2442" s="7" t="s">
        <v>25</v>
      </c>
      <c r="C2442" s="8">
        <v>1030700</v>
      </c>
      <c r="D2442" t="str">
        <f t="shared" si="47"/>
        <v>MRT</v>
      </c>
    </row>
    <row r="2443" spans="1:4" ht="30" thickTop="1" thickBot="1">
      <c r="A2443" s="7"/>
      <c r="B2443" s="7" t="s">
        <v>26</v>
      </c>
      <c r="C2443" s="7" t="s">
        <v>937</v>
      </c>
      <c r="D2443" t="str">
        <f t="shared" si="47"/>
        <v>MRT</v>
      </c>
    </row>
    <row r="2444" spans="1:4" ht="20.399999999999999" thickTop="1" thickBot="1">
      <c r="A2444" s="7"/>
      <c r="B2444" s="7" t="s">
        <v>28</v>
      </c>
      <c r="C2444" s="7" t="s">
        <v>938</v>
      </c>
      <c r="D2444" t="str">
        <f t="shared" si="47"/>
        <v>MRT</v>
      </c>
    </row>
    <row r="2445" spans="1:4" ht="20.399999999999999" thickTop="1" thickBot="1">
      <c r="A2445" s="7"/>
      <c r="B2445" s="7" t="s">
        <v>30</v>
      </c>
      <c r="C2445" s="7" t="s">
        <v>939</v>
      </c>
      <c r="D2445" t="str">
        <f t="shared" si="47"/>
        <v>MRT</v>
      </c>
    </row>
    <row r="2446" spans="1:4" ht="20.399999999999999" thickTop="1" thickBot="1">
      <c r="A2446" s="7"/>
      <c r="B2446" s="7" t="s">
        <v>32</v>
      </c>
      <c r="C2446" s="7" t="s">
        <v>33</v>
      </c>
      <c r="D2446" t="str">
        <f t="shared" si="47"/>
        <v>MRT</v>
      </c>
    </row>
    <row r="2447" spans="1:4" ht="20.399999999999999" thickTop="1" thickBot="1">
      <c r="A2447" s="7"/>
      <c r="B2447" s="7" t="s">
        <v>1</v>
      </c>
      <c r="C2447" s="7" t="s">
        <v>50</v>
      </c>
      <c r="D2447" t="str">
        <f t="shared" si="47"/>
        <v>MRT</v>
      </c>
    </row>
    <row r="2448" spans="1:4" ht="30" thickTop="1" thickBot="1">
      <c r="A2448" s="7"/>
      <c r="B2448" s="7" t="s">
        <v>3</v>
      </c>
      <c r="C2448" s="7" t="s">
        <v>69</v>
      </c>
      <c r="D2448" t="str">
        <f t="shared" si="47"/>
        <v>MRT</v>
      </c>
    </row>
    <row r="2449" spans="1:4" ht="20.399999999999999" thickTop="1" thickBot="1">
      <c r="A2449" s="7"/>
      <c r="B2449" s="7" t="s">
        <v>5</v>
      </c>
      <c r="C2449" s="7" t="s">
        <v>51</v>
      </c>
      <c r="D2449" t="str">
        <f t="shared" si="47"/>
        <v>MRT</v>
      </c>
    </row>
    <row r="2450" spans="1:4" ht="30" thickTop="1" thickBot="1">
      <c r="A2450" s="7"/>
      <c r="B2450" s="7" t="s">
        <v>7</v>
      </c>
      <c r="C2450" s="7" t="s">
        <v>70</v>
      </c>
      <c r="D2450" t="str">
        <f t="shared" si="47"/>
        <v>MRT</v>
      </c>
    </row>
    <row r="2451" spans="1:4" ht="49.2" thickTop="1" thickBot="1">
      <c r="A2451" s="7"/>
      <c r="B2451" s="7" t="s">
        <v>9</v>
      </c>
      <c r="C2451" s="7">
        <v>2017</v>
      </c>
      <c r="D2451" t="str">
        <f t="shared" si="47"/>
        <v>MRT</v>
      </c>
    </row>
    <row r="2452" spans="1:4" ht="39.6" thickTop="1" thickBot="1">
      <c r="A2452" s="7"/>
      <c r="B2452" s="7" t="s">
        <v>10</v>
      </c>
      <c r="C2452" s="7">
        <v>2018</v>
      </c>
      <c r="D2452" t="str">
        <f t="shared" si="47"/>
        <v>MRT</v>
      </c>
    </row>
    <row r="2453" spans="1:4" ht="15.6" thickTop="1" thickBot="1">
      <c r="A2453" s="7"/>
      <c r="B2453" s="7" t="s">
        <v>11</v>
      </c>
      <c r="C2453" s="7" t="s">
        <v>940</v>
      </c>
      <c r="D2453" t="str">
        <f t="shared" si="47"/>
        <v>MRT</v>
      </c>
    </row>
    <row r="2454" spans="1:4" ht="15.6" thickTop="1" thickBot="1">
      <c r="A2454" s="7"/>
      <c r="B2454" s="7" t="s">
        <v>13</v>
      </c>
      <c r="C2454" s="7" t="s">
        <v>941</v>
      </c>
      <c r="D2454" t="str">
        <f t="shared" si="47"/>
        <v>MRT</v>
      </c>
    </row>
    <row r="2455" spans="1:4" ht="15.6" thickTop="1" thickBot="1">
      <c r="A2455" s="7"/>
      <c r="B2455" s="7" t="s">
        <v>15</v>
      </c>
      <c r="C2455" s="7" t="s">
        <v>942</v>
      </c>
      <c r="D2455" t="str">
        <f t="shared" si="47"/>
        <v>MRT</v>
      </c>
    </row>
    <row r="2456" spans="1:4" ht="15.6" thickTop="1" thickBot="1">
      <c r="A2456" s="7"/>
      <c r="B2456" s="7" t="s">
        <v>16</v>
      </c>
      <c r="C2456" s="7" t="s">
        <v>941</v>
      </c>
      <c r="D2456" t="str">
        <f t="shared" si="47"/>
        <v>MRT</v>
      </c>
    </row>
    <row r="2457" spans="1:4" ht="15.6" thickTop="1" thickBot="1">
      <c r="A2457" s="7"/>
      <c r="B2457" s="7" t="s">
        <v>17</v>
      </c>
      <c r="C2457" s="7" t="s">
        <v>943</v>
      </c>
      <c r="D2457" t="str">
        <f t="shared" si="47"/>
        <v>MRT</v>
      </c>
    </row>
    <row r="2458" spans="1:4" ht="15.6" thickTop="1" thickBot="1">
      <c r="A2458" s="7"/>
      <c r="B2458" s="7" t="s">
        <v>18</v>
      </c>
      <c r="C2458" s="7" t="s">
        <v>942</v>
      </c>
      <c r="D2458" t="str">
        <f t="shared" si="47"/>
        <v>MRT</v>
      </c>
    </row>
    <row r="2459" spans="1:4" ht="15.6" thickTop="1" thickBot="1">
      <c r="A2459" s="7"/>
      <c r="B2459" s="7" t="s">
        <v>19</v>
      </c>
      <c r="C2459" s="7" t="s">
        <v>944</v>
      </c>
      <c r="D2459" t="str">
        <f t="shared" si="47"/>
        <v>MRT</v>
      </c>
    </row>
    <row r="2460" spans="1:4" ht="15.6" thickTop="1" thickBot="1">
      <c r="A2460" s="7"/>
      <c r="B2460" s="7" t="s">
        <v>21</v>
      </c>
      <c r="C2460" s="7" t="s">
        <v>945</v>
      </c>
      <c r="D2460" t="str">
        <f t="shared" si="47"/>
        <v>MRT</v>
      </c>
    </row>
    <row r="2461" spans="1:4" ht="15.6" thickTop="1" thickBot="1">
      <c r="A2461" s="7"/>
      <c r="B2461" s="7" t="s">
        <v>22</v>
      </c>
      <c r="C2461" s="7" t="s">
        <v>924</v>
      </c>
      <c r="D2461" t="str">
        <f t="shared" si="47"/>
        <v>MRT</v>
      </c>
    </row>
    <row r="2462" spans="1:4" ht="15.6" thickTop="1" thickBot="1">
      <c r="A2462" s="7"/>
      <c r="B2462" s="7" t="s">
        <v>23</v>
      </c>
      <c r="C2462" s="7" t="s">
        <v>943</v>
      </c>
      <c r="D2462" t="str">
        <f t="shared" si="47"/>
        <v>MRT</v>
      </c>
    </row>
    <row r="2463" spans="1:4" ht="15.6" thickTop="1" thickBot="1">
      <c r="A2463" s="7"/>
      <c r="B2463" s="7" t="s">
        <v>24</v>
      </c>
      <c r="C2463" s="7">
        <v>1290</v>
      </c>
      <c r="D2463" t="str">
        <f t="shared" si="47"/>
        <v>MRT</v>
      </c>
    </row>
    <row r="2464" spans="1:4" ht="20.399999999999999" thickTop="1" thickBot="1">
      <c r="A2464" s="9" t="s">
        <v>946</v>
      </c>
      <c r="B2464" s="10"/>
      <c r="C2464" s="11"/>
      <c r="D2464" t="str">
        <f t="shared" si="47"/>
        <v>MUS</v>
      </c>
    </row>
    <row r="2465" spans="1:4" ht="39.6" thickTop="1" thickBot="1">
      <c r="A2465" s="7"/>
      <c r="B2465" s="7" t="s">
        <v>10</v>
      </c>
      <c r="C2465" s="7">
        <v>2018</v>
      </c>
      <c r="D2465" t="str">
        <f t="shared" si="47"/>
        <v>MUS</v>
      </c>
    </row>
    <row r="2466" spans="1:4" ht="30" thickTop="1" thickBot="1">
      <c r="A2466" s="7"/>
      <c r="B2466" s="7" t="s">
        <v>25</v>
      </c>
      <c r="C2466" s="7">
        <v>2030</v>
      </c>
      <c r="D2466" t="str">
        <f t="shared" si="47"/>
        <v>MUS</v>
      </c>
    </row>
    <row r="2467" spans="1:4" ht="49.2" thickTop="1" thickBot="1">
      <c r="A2467" s="7"/>
      <c r="B2467" s="7" t="s">
        <v>26</v>
      </c>
      <c r="C2467" s="7" t="s">
        <v>947</v>
      </c>
      <c r="D2467" t="str">
        <f t="shared" si="47"/>
        <v>MUS</v>
      </c>
    </row>
    <row r="2468" spans="1:4" ht="20.399999999999999" thickTop="1" thickBot="1">
      <c r="A2468" s="7"/>
      <c r="B2468" s="7" t="s">
        <v>28</v>
      </c>
      <c r="C2468" s="7" t="s">
        <v>948</v>
      </c>
      <c r="D2468" t="str">
        <f t="shared" si="47"/>
        <v>MUS</v>
      </c>
    </row>
    <row r="2469" spans="1:4" ht="20.399999999999999" thickTop="1" thickBot="1">
      <c r="A2469" s="7"/>
      <c r="B2469" s="7" t="s">
        <v>30</v>
      </c>
      <c r="C2469" s="7" t="s">
        <v>949</v>
      </c>
      <c r="D2469" t="str">
        <f t="shared" si="47"/>
        <v>MUS</v>
      </c>
    </row>
    <row r="2470" spans="1:4" ht="20.399999999999999" thickTop="1" thickBot="1">
      <c r="A2470" s="7"/>
      <c r="B2470" s="7" t="s">
        <v>32</v>
      </c>
      <c r="C2470" s="7" t="s">
        <v>33</v>
      </c>
      <c r="D2470" t="str">
        <f t="shared" si="47"/>
        <v>MUS</v>
      </c>
    </row>
    <row r="2471" spans="1:4" ht="20.399999999999999" thickTop="1" thickBot="1">
      <c r="A2471" s="7"/>
      <c r="B2471" s="7" t="s">
        <v>1</v>
      </c>
      <c r="C2471" s="7" t="s">
        <v>50</v>
      </c>
      <c r="D2471" t="str">
        <f t="shared" si="47"/>
        <v>MUS</v>
      </c>
    </row>
    <row r="2472" spans="1:4" ht="30" thickTop="1" thickBot="1">
      <c r="A2472" s="7"/>
      <c r="B2472" s="7" t="s">
        <v>3</v>
      </c>
      <c r="C2472" s="7" t="s">
        <v>36</v>
      </c>
      <c r="D2472" t="str">
        <f t="shared" si="47"/>
        <v>MUS</v>
      </c>
    </row>
    <row r="2473" spans="1:4" ht="20.399999999999999" thickTop="1" thickBot="1">
      <c r="A2473" s="7"/>
      <c r="B2473" s="7" t="s">
        <v>5</v>
      </c>
      <c r="C2473" s="7" t="s">
        <v>51</v>
      </c>
      <c r="D2473" t="str">
        <f t="shared" si="47"/>
        <v>MUS</v>
      </c>
    </row>
    <row r="2474" spans="1:4" ht="30" thickTop="1" thickBot="1">
      <c r="A2474" s="7"/>
      <c r="B2474" s="7" t="s">
        <v>7</v>
      </c>
      <c r="C2474" s="7" t="s">
        <v>38</v>
      </c>
      <c r="D2474" t="str">
        <f t="shared" si="47"/>
        <v>MUS</v>
      </c>
    </row>
    <row r="2475" spans="1:4" ht="49.2" thickTop="1" thickBot="1">
      <c r="A2475" s="7"/>
      <c r="B2475" s="7" t="s">
        <v>9</v>
      </c>
      <c r="C2475" s="7">
        <v>2017</v>
      </c>
      <c r="D2475" t="str">
        <f t="shared" si="47"/>
        <v>MUS</v>
      </c>
    </row>
    <row r="2476" spans="1:4" ht="15.6" thickTop="1" thickBot="1">
      <c r="A2476" s="7"/>
      <c r="B2476" s="7" t="s">
        <v>11</v>
      </c>
      <c r="C2476" s="7" t="s">
        <v>902</v>
      </c>
      <c r="D2476" t="str">
        <f t="shared" si="47"/>
        <v>MUS</v>
      </c>
    </row>
    <row r="2477" spans="1:4" ht="15.6" thickTop="1" thickBot="1">
      <c r="A2477" s="7"/>
      <c r="B2477" s="7" t="s">
        <v>13</v>
      </c>
      <c r="C2477" s="7" t="s">
        <v>950</v>
      </c>
      <c r="D2477" t="str">
        <f t="shared" si="47"/>
        <v>MUS</v>
      </c>
    </row>
    <row r="2478" spans="1:4" ht="15.6" thickTop="1" thickBot="1">
      <c r="A2478" s="7"/>
      <c r="B2478" s="7" t="s">
        <v>15</v>
      </c>
      <c r="C2478" s="7" t="s">
        <v>951</v>
      </c>
      <c r="D2478" t="str">
        <f t="shared" si="47"/>
        <v>MUS</v>
      </c>
    </row>
    <row r="2479" spans="1:4" ht="15.6" thickTop="1" thickBot="1">
      <c r="A2479" s="7"/>
      <c r="B2479" s="7" t="s">
        <v>16</v>
      </c>
      <c r="C2479" s="7" t="s">
        <v>952</v>
      </c>
      <c r="D2479" t="str">
        <f t="shared" si="47"/>
        <v>MUS</v>
      </c>
    </row>
    <row r="2480" spans="1:4" ht="15.6" thickTop="1" thickBot="1">
      <c r="A2480" s="7"/>
      <c r="B2480" s="7" t="s">
        <v>17</v>
      </c>
      <c r="C2480" s="7" t="s">
        <v>953</v>
      </c>
      <c r="D2480" t="str">
        <f t="shared" si="47"/>
        <v>MUS</v>
      </c>
    </row>
    <row r="2481" spans="1:4" ht="15.6" thickTop="1" thickBot="1">
      <c r="A2481" s="7"/>
      <c r="B2481" s="7" t="s">
        <v>18</v>
      </c>
      <c r="C2481" s="7" t="s">
        <v>945</v>
      </c>
      <c r="D2481" t="str">
        <f t="shared" si="47"/>
        <v>MUS</v>
      </c>
    </row>
    <row r="2482" spans="1:4" ht="15.6" thickTop="1" thickBot="1">
      <c r="A2482" s="7"/>
      <c r="B2482" s="7" t="s">
        <v>19</v>
      </c>
      <c r="C2482" s="7" t="s">
        <v>954</v>
      </c>
      <c r="D2482" t="str">
        <f t="shared" si="47"/>
        <v>MUS</v>
      </c>
    </row>
    <row r="2483" spans="1:4" ht="15.6" thickTop="1" thickBot="1">
      <c r="A2483" s="7"/>
      <c r="B2483" s="7" t="s">
        <v>21</v>
      </c>
      <c r="C2483" s="7" t="s">
        <v>897</v>
      </c>
      <c r="D2483" t="str">
        <f t="shared" si="47"/>
        <v>MUS</v>
      </c>
    </row>
    <row r="2484" spans="1:4" ht="15.6" thickTop="1" thickBot="1">
      <c r="A2484" s="7"/>
      <c r="B2484" s="7" t="s">
        <v>22</v>
      </c>
      <c r="C2484" s="7" t="s">
        <v>878</v>
      </c>
      <c r="D2484" t="str">
        <f t="shared" si="47"/>
        <v>MUS</v>
      </c>
    </row>
    <row r="2485" spans="1:4" ht="15.6" thickTop="1" thickBot="1">
      <c r="A2485" s="7"/>
      <c r="B2485" s="7" t="s">
        <v>23</v>
      </c>
      <c r="C2485" s="7" t="s">
        <v>953</v>
      </c>
      <c r="D2485" t="str">
        <f t="shared" si="47"/>
        <v>MUS</v>
      </c>
    </row>
    <row r="2486" spans="1:4" ht="15.6" thickTop="1" thickBot="1">
      <c r="A2486" s="7"/>
      <c r="B2486" s="7" t="s">
        <v>24</v>
      </c>
      <c r="C2486" s="7">
        <v>1300</v>
      </c>
      <c r="D2486" t="str">
        <f t="shared" si="47"/>
        <v>MUS</v>
      </c>
    </row>
    <row r="2487" spans="1:4" ht="15.6" thickTop="1" thickBot="1">
      <c r="A2487" s="9" t="s">
        <v>955</v>
      </c>
      <c r="B2487" s="10"/>
      <c r="C2487" s="11"/>
      <c r="D2487" t="str">
        <f t="shared" si="47"/>
        <v>MEX</v>
      </c>
    </row>
    <row r="2488" spans="1:4" ht="49.2" thickTop="1" thickBot="1">
      <c r="A2488" s="7"/>
      <c r="B2488" s="7" t="s">
        <v>9</v>
      </c>
      <c r="C2488" s="7">
        <v>2017</v>
      </c>
      <c r="D2488" t="str">
        <f t="shared" si="47"/>
        <v>MEX</v>
      </c>
    </row>
    <row r="2489" spans="1:4" ht="39.6" thickTop="1" thickBot="1">
      <c r="A2489" s="7"/>
      <c r="B2489" s="7" t="s">
        <v>10</v>
      </c>
      <c r="C2489" s="7">
        <v>2018</v>
      </c>
      <c r="D2489" t="str">
        <f t="shared" si="47"/>
        <v>MEX</v>
      </c>
    </row>
    <row r="2490" spans="1:4" ht="30" thickTop="1" thickBot="1">
      <c r="A2490" s="7"/>
      <c r="B2490" s="7" t="s">
        <v>25</v>
      </c>
      <c r="C2490" s="8">
        <v>1943950</v>
      </c>
      <c r="D2490" t="str">
        <f t="shared" si="47"/>
        <v>MEX</v>
      </c>
    </row>
    <row r="2491" spans="1:4" ht="30" thickTop="1" thickBot="1">
      <c r="A2491" s="7"/>
      <c r="B2491" s="7" t="s">
        <v>26</v>
      </c>
      <c r="C2491" s="7" t="s">
        <v>956</v>
      </c>
      <c r="D2491" t="str">
        <f t="shared" si="47"/>
        <v>MEX</v>
      </c>
    </row>
    <row r="2492" spans="1:4" ht="20.399999999999999" thickTop="1" thickBot="1">
      <c r="A2492" s="7"/>
      <c r="B2492" s="7" t="s">
        <v>28</v>
      </c>
      <c r="C2492" s="7" t="s">
        <v>957</v>
      </c>
      <c r="D2492" t="str">
        <f t="shared" si="47"/>
        <v>MEX</v>
      </c>
    </row>
    <row r="2493" spans="1:4" ht="20.399999999999999" thickTop="1" thickBot="1">
      <c r="A2493" s="7"/>
      <c r="B2493" s="7" t="s">
        <v>30</v>
      </c>
      <c r="C2493" s="7" t="s">
        <v>958</v>
      </c>
      <c r="D2493" t="str">
        <f t="shared" si="47"/>
        <v>MEX</v>
      </c>
    </row>
    <row r="2494" spans="1:4" ht="20.399999999999999" thickTop="1" thickBot="1">
      <c r="A2494" s="7"/>
      <c r="B2494" s="7" t="s">
        <v>32</v>
      </c>
      <c r="C2494" s="7" t="s">
        <v>33</v>
      </c>
      <c r="D2494" t="str">
        <f t="shared" si="47"/>
        <v>MEX</v>
      </c>
    </row>
    <row r="2495" spans="1:4" ht="20.399999999999999" thickTop="1" thickBot="1">
      <c r="A2495" s="7"/>
      <c r="B2495" s="7" t="s">
        <v>1</v>
      </c>
      <c r="C2495" s="7" t="s">
        <v>79</v>
      </c>
      <c r="D2495" t="str">
        <f t="shared" si="47"/>
        <v>MEX</v>
      </c>
    </row>
    <row r="2496" spans="1:4" ht="30" thickTop="1" thickBot="1">
      <c r="A2496" s="7"/>
      <c r="B2496" s="7" t="s">
        <v>3</v>
      </c>
      <c r="C2496" s="7" t="s">
        <v>36</v>
      </c>
      <c r="D2496" t="str">
        <f t="shared" si="47"/>
        <v>MEX</v>
      </c>
    </row>
    <row r="2497" spans="1:4" ht="20.399999999999999" thickTop="1" thickBot="1">
      <c r="A2497" s="7"/>
      <c r="B2497" s="7" t="s">
        <v>5</v>
      </c>
      <c r="C2497" s="7" t="s">
        <v>80</v>
      </c>
      <c r="D2497" t="str">
        <f t="shared" si="47"/>
        <v>MEX</v>
      </c>
    </row>
    <row r="2498" spans="1:4" ht="30" thickTop="1" thickBot="1">
      <c r="A2498" s="7"/>
      <c r="B2498" s="7" t="s">
        <v>7</v>
      </c>
      <c r="C2498" s="7" t="s">
        <v>38</v>
      </c>
      <c r="D2498" t="str">
        <f t="shared" ref="D2498:D2561" si="48">IF(ISNUMBER(FIND(":", A2498)), LEFT(A2498, FIND(":", A2498) - 1), D2497)</f>
        <v>MEX</v>
      </c>
    </row>
    <row r="2499" spans="1:4" ht="15.6" thickTop="1" thickBot="1">
      <c r="A2499" s="7"/>
      <c r="B2499" s="7" t="s">
        <v>11</v>
      </c>
      <c r="C2499" s="7" t="s">
        <v>959</v>
      </c>
      <c r="D2499" t="str">
        <f t="shared" si="48"/>
        <v>MEX</v>
      </c>
    </row>
    <row r="2500" spans="1:4" ht="15.6" thickTop="1" thickBot="1">
      <c r="A2500" s="7"/>
      <c r="B2500" s="7" t="s">
        <v>13</v>
      </c>
      <c r="C2500" s="7" t="s">
        <v>960</v>
      </c>
      <c r="D2500" t="str">
        <f t="shared" si="48"/>
        <v>MEX</v>
      </c>
    </row>
    <row r="2501" spans="1:4" ht="15.6" thickTop="1" thickBot="1">
      <c r="A2501" s="7"/>
      <c r="B2501" s="7" t="s">
        <v>15</v>
      </c>
      <c r="C2501" s="7" t="s">
        <v>959</v>
      </c>
      <c r="D2501" t="str">
        <f t="shared" si="48"/>
        <v>MEX</v>
      </c>
    </row>
    <row r="2502" spans="1:4" ht="15.6" thickTop="1" thickBot="1">
      <c r="A2502" s="7"/>
      <c r="B2502" s="7" t="s">
        <v>16</v>
      </c>
      <c r="C2502" s="7" t="s">
        <v>960</v>
      </c>
      <c r="D2502" t="str">
        <f t="shared" si="48"/>
        <v>MEX</v>
      </c>
    </row>
    <row r="2503" spans="1:4" ht="15.6" thickTop="1" thickBot="1">
      <c r="A2503" s="7"/>
      <c r="B2503" s="7" t="s">
        <v>17</v>
      </c>
      <c r="C2503" s="7" t="s">
        <v>959</v>
      </c>
      <c r="D2503" t="str">
        <f t="shared" si="48"/>
        <v>MEX</v>
      </c>
    </row>
    <row r="2504" spans="1:4" ht="15.6" thickTop="1" thickBot="1">
      <c r="A2504" s="7"/>
      <c r="B2504" s="7" t="s">
        <v>18</v>
      </c>
      <c r="C2504" s="7" t="s">
        <v>959</v>
      </c>
      <c r="D2504" t="str">
        <f t="shared" si="48"/>
        <v>MEX</v>
      </c>
    </row>
    <row r="2505" spans="1:4" ht="15.6" thickTop="1" thickBot="1">
      <c r="A2505" s="7"/>
      <c r="B2505" s="7" t="s">
        <v>19</v>
      </c>
      <c r="C2505" s="7" t="s">
        <v>961</v>
      </c>
      <c r="D2505" t="str">
        <f t="shared" si="48"/>
        <v>MEX</v>
      </c>
    </row>
    <row r="2506" spans="1:4" ht="15.6" thickTop="1" thickBot="1">
      <c r="A2506" s="7"/>
      <c r="B2506" s="7" t="s">
        <v>21</v>
      </c>
      <c r="C2506" s="7" t="s">
        <v>959</v>
      </c>
      <c r="D2506" t="str">
        <f t="shared" si="48"/>
        <v>MEX</v>
      </c>
    </row>
    <row r="2507" spans="1:4" ht="15.6" thickTop="1" thickBot="1">
      <c r="A2507" s="7"/>
      <c r="B2507" s="7" t="s">
        <v>22</v>
      </c>
      <c r="C2507" s="7" t="s">
        <v>960</v>
      </c>
      <c r="D2507" t="str">
        <f t="shared" si="48"/>
        <v>MEX</v>
      </c>
    </row>
    <row r="2508" spans="1:4" ht="15.6" thickTop="1" thickBot="1">
      <c r="A2508" s="7"/>
      <c r="B2508" s="7" t="s">
        <v>23</v>
      </c>
      <c r="C2508" s="7" t="s">
        <v>959</v>
      </c>
      <c r="D2508" t="str">
        <f t="shared" si="48"/>
        <v>MEX</v>
      </c>
    </row>
    <row r="2509" spans="1:4" ht="15.6" thickTop="1" thickBot="1">
      <c r="A2509" s="7"/>
      <c r="B2509" s="7" t="s">
        <v>24</v>
      </c>
      <c r="C2509" s="7">
        <v>2310</v>
      </c>
      <c r="D2509" t="str">
        <f t="shared" si="48"/>
        <v>MEX</v>
      </c>
    </row>
    <row r="2510" spans="1:4" ht="39.6" thickTop="1" thickBot="1">
      <c r="A2510" s="9" t="s">
        <v>962</v>
      </c>
      <c r="B2510" s="10"/>
      <c r="C2510" s="11"/>
      <c r="D2510" t="str">
        <f t="shared" si="48"/>
        <v>FSM</v>
      </c>
    </row>
    <row r="2511" spans="1:4" ht="49.2" thickTop="1" thickBot="1">
      <c r="A2511" s="7"/>
      <c r="B2511" s="7" t="s">
        <v>9</v>
      </c>
      <c r="C2511" s="7">
        <v>2017</v>
      </c>
      <c r="D2511" t="str">
        <f t="shared" si="48"/>
        <v>FSM</v>
      </c>
    </row>
    <row r="2512" spans="1:4" ht="39.6" thickTop="1" thickBot="1">
      <c r="A2512" s="7"/>
      <c r="B2512" s="7" t="s">
        <v>10</v>
      </c>
      <c r="C2512" s="7">
        <v>2018</v>
      </c>
      <c r="D2512" t="str">
        <f t="shared" si="48"/>
        <v>FSM</v>
      </c>
    </row>
    <row r="2513" spans="1:4" ht="30" thickTop="1" thickBot="1">
      <c r="A2513" s="7"/>
      <c r="B2513" s="7" t="s">
        <v>25</v>
      </c>
      <c r="C2513" s="7">
        <v>700</v>
      </c>
      <c r="D2513" t="str">
        <f t="shared" si="48"/>
        <v>FSM</v>
      </c>
    </row>
    <row r="2514" spans="1:4" ht="30" thickTop="1" thickBot="1">
      <c r="A2514" s="7"/>
      <c r="B2514" s="7" t="s">
        <v>26</v>
      </c>
      <c r="C2514" s="7" t="s">
        <v>963</v>
      </c>
      <c r="D2514" t="str">
        <f t="shared" si="48"/>
        <v>FSM</v>
      </c>
    </row>
    <row r="2515" spans="1:4" ht="39.6" thickTop="1" thickBot="1">
      <c r="A2515" s="7"/>
      <c r="B2515" s="7" t="s">
        <v>28</v>
      </c>
      <c r="C2515" s="7" t="s">
        <v>964</v>
      </c>
      <c r="D2515" t="str">
        <f t="shared" si="48"/>
        <v>FSM</v>
      </c>
    </row>
    <row r="2516" spans="1:4" ht="30" thickTop="1" thickBot="1">
      <c r="A2516" s="7"/>
      <c r="B2516" s="7" t="s">
        <v>30</v>
      </c>
      <c r="C2516" s="7" t="s">
        <v>965</v>
      </c>
      <c r="D2516" t="str">
        <f t="shared" si="48"/>
        <v>FSM</v>
      </c>
    </row>
    <row r="2517" spans="1:4" ht="20.399999999999999" thickTop="1" thickBot="1">
      <c r="A2517" s="7"/>
      <c r="B2517" s="7" t="s">
        <v>32</v>
      </c>
      <c r="C2517" s="7" t="s">
        <v>33</v>
      </c>
      <c r="D2517" t="str">
        <f t="shared" si="48"/>
        <v>FSM</v>
      </c>
    </row>
    <row r="2518" spans="1:4" ht="20.399999999999999" thickTop="1" thickBot="1">
      <c r="A2518" s="7"/>
      <c r="B2518" s="7" t="s">
        <v>1</v>
      </c>
      <c r="C2518" s="7" t="s">
        <v>107</v>
      </c>
      <c r="D2518" t="str">
        <f t="shared" si="48"/>
        <v>FSM</v>
      </c>
    </row>
    <row r="2519" spans="1:4" ht="30" thickTop="1" thickBot="1">
      <c r="A2519" s="7"/>
      <c r="B2519" s="7" t="s">
        <v>3</v>
      </c>
      <c r="C2519" s="7" t="s">
        <v>69</v>
      </c>
      <c r="D2519" t="str">
        <f t="shared" si="48"/>
        <v>FSM</v>
      </c>
    </row>
    <row r="2520" spans="1:4" ht="20.399999999999999" thickTop="1" thickBot="1">
      <c r="A2520" s="7"/>
      <c r="B2520" s="7" t="s">
        <v>5</v>
      </c>
      <c r="C2520" s="7" t="s">
        <v>108</v>
      </c>
      <c r="D2520" t="str">
        <f t="shared" si="48"/>
        <v>FSM</v>
      </c>
    </row>
    <row r="2521" spans="1:4" ht="30" thickTop="1" thickBot="1">
      <c r="A2521" s="7"/>
      <c r="B2521" s="7" t="s">
        <v>7</v>
      </c>
      <c r="C2521" s="7" t="s">
        <v>70</v>
      </c>
      <c r="D2521" t="str">
        <f t="shared" si="48"/>
        <v>FSM</v>
      </c>
    </row>
    <row r="2522" spans="1:4" ht="15.6" thickTop="1" thickBot="1">
      <c r="A2522" s="7"/>
      <c r="B2522" s="7" t="s">
        <v>13</v>
      </c>
      <c r="C2522" s="7" t="s">
        <v>966</v>
      </c>
      <c r="D2522" t="str">
        <f t="shared" si="48"/>
        <v>FSM</v>
      </c>
    </row>
    <row r="2523" spans="1:4" ht="15.6" thickTop="1" thickBot="1">
      <c r="A2523" s="7"/>
      <c r="B2523" s="7" t="s">
        <v>23</v>
      </c>
      <c r="C2523" s="7" t="s">
        <v>967</v>
      </c>
      <c r="D2523" t="str">
        <f t="shared" si="48"/>
        <v>FSM</v>
      </c>
    </row>
    <row r="2524" spans="1:4" ht="15.6" thickTop="1" thickBot="1">
      <c r="A2524" s="7"/>
      <c r="B2524" s="7" t="s">
        <v>24</v>
      </c>
      <c r="C2524" s="7">
        <v>5108</v>
      </c>
      <c r="D2524" t="str">
        <f t="shared" si="48"/>
        <v>FSM</v>
      </c>
    </row>
    <row r="2525" spans="1:4" ht="15.6" thickTop="1" thickBot="1">
      <c r="A2525" s="7"/>
      <c r="B2525" s="7" t="s">
        <v>21</v>
      </c>
      <c r="C2525" s="7" t="s">
        <v>968</v>
      </c>
      <c r="D2525" t="str">
        <f t="shared" si="48"/>
        <v>FSM</v>
      </c>
    </row>
    <row r="2526" spans="1:4" ht="15.6" thickTop="1" thickBot="1">
      <c r="A2526" s="7"/>
      <c r="B2526" s="7" t="s">
        <v>18</v>
      </c>
      <c r="C2526" s="7" t="s">
        <v>967</v>
      </c>
      <c r="D2526" t="str">
        <f t="shared" si="48"/>
        <v>FSM</v>
      </c>
    </row>
    <row r="2527" spans="1:4" ht="15.6" thickTop="1" thickBot="1">
      <c r="A2527" s="7"/>
      <c r="B2527" s="7" t="s">
        <v>19</v>
      </c>
      <c r="C2527" s="7" t="s">
        <v>969</v>
      </c>
      <c r="D2527" t="str">
        <f t="shared" si="48"/>
        <v>FSM</v>
      </c>
    </row>
    <row r="2528" spans="1:4" ht="15.6" thickTop="1" thickBot="1">
      <c r="A2528" s="7"/>
      <c r="B2528" s="7" t="s">
        <v>17</v>
      </c>
      <c r="C2528" s="7" t="s">
        <v>967</v>
      </c>
      <c r="D2528" t="str">
        <f t="shared" si="48"/>
        <v>FSM</v>
      </c>
    </row>
    <row r="2529" spans="1:4" ht="15.6" thickTop="1" thickBot="1">
      <c r="A2529" s="7"/>
      <c r="B2529" s="7" t="s">
        <v>15</v>
      </c>
      <c r="C2529" s="7" t="s">
        <v>967</v>
      </c>
      <c r="D2529" t="str">
        <f t="shared" si="48"/>
        <v>FSM</v>
      </c>
    </row>
    <row r="2530" spans="1:4" ht="15.6" thickTop="1" thickBot="1">
      <c r="A2530" s="7"/>
      <c r="B2530" s="7" t="s">
        <v>16</v>
      </c>
      <c r="C2530" s="7" t="s">
        <v>966</v>
      </c>
      <c r="D2530" t="str">
        <f t="shared" si="48"/>
        <v>FSM</v>
      </c>
    </row>
    <row r="2531" spans="1:4" ht="20.399999999999999" thickTop="1" thickBot="1">
      <c r="A2531" s="9" t="s">
        <v>970</v>
      </c>
      <c r="B2531" s="10"/>
      <c r="C2531" s="11"/>
      <c r="D2531" t="str">
        <f t="shared" si="48"/>
        <v>MCO</v>
      </c>
    </row>
    <row r="2532" spans="1:4" ht="20.399999999999999" thickTop="1" thickBot="1">
      <c r="A2532" s="7"/>
      <c r="B2532" s="7" t="s">
        <v>28</v>
      </c>
      <c r="C2532" s="7" t="s">
        <v>971</v>
      </c>
      <c r="D2532" t="str">
        <f t="shared" si="48"/>
        <v>MCO</v>
      </c>
    </row>
    <row r="2533" spans="1:4" ht="20.399999999999999" thickTop="1" thickBot="1">
      <c r="A2533" s="7"/>
      <c r="B2533" s="7" t="s">
        <v>30</v>
      </c>
      <c r="C2533" s="7" t="s">
        <v>971</v>
      </c>
      <c r="D2533" t="str">
        <f t="shared" si="48"/>
        <v>MCO</v>
      </c>
    </row>
    <row r="2534" spans="1:4" ht="20.399999999999999" thickTop="1" thickBot="1">
      <c r="A2534" s="7"/>
      <c r="B2534" s="7" t="s">
        <v>32</v>
      </c>
      <c r="C2534" s="7" t="s">
        <v>33</v>
      </c>
      <c r="D2534" t="str">
        <f t="shared" si="48"/>
        <v>MCO</v>
      </c>
    </row>
    <row r="2535" spans="1:4" ht="20.399999999999999" thickTop="1" thickBot="1">
      <c r="A2535" s="7"/>
      <c r="B2535" s="7" t="s">
        <v>1</v>
      </c>
      <c r="C2535" s="7" t="s">
        <v>35</v>
      </c>
      <c r="D2535" t="str">
        <f t="shared" si="48"/>
        <v>MCO</v>
      </c>
    </row>
    <row r="2536" spans="1:4" ht="30" thickTop="1" thickBot="1">
      <c r="A2536" s="7"/>
      <c r="B2536" s="7" t="s">
        <v>3</v>
      </c>
      <c r="C2536" s="7" t="s">
        <v>59</v>
      </c>
      <c r="D2536" t="str">
        <f t="shared" si="48"/>
        <v>MCO</v>
      </c>
    </row>
    <row r="2537" spans="1:4" ht="20.399999999999999" thickTop="1" thickBot="1">
      <c r="A2537" s="7"/>
      <c r="B2537" s="7" t="s">
        <v>5</v>
      </c>
      <c r="C2537" s="7" t="s">
        <v>37</v>
      </c>
      <c r="D2537" t="str">
        <f t="shared" si="48"/>
        <v>MCO</v>
      </c>
    </row>
    <row r="2538" spans="1:4" ht="30" thickTop="1" thickBot="1">
      <c r="A2538" s="7"/>
      <c r="B2538" s="7" t="s">
        <v>7</v>
      </c>
      <c r="C2538" s="7" t="s">
        <v>60</v>
      </c>
      <c r="D2538" t="str">
        <f t="shared" si="48"/>
        <v>MCO</v>
      </c>
    </row>
    <row r="2539" spans="1:4" ht="49.2" thickTop="1" thickBot="1">
      <c r="A2539" s="7"/>
      <c r="B2539" s="7" t="s">
        <v>9</v>
      </c>
      <c r="C2539" s="7">
        <v>2017</v>
      </c>
      <c r="D2539" t="str">
        <f t="shared" si="48"/>
        <v>MCO</v>
      </c>
    </row>
    <row r="2540" spans="1:4" ht="39.6" thickTop="1" thickBot="1">
      <c r="A2540" s="7"/>
      <c r="B2540" s="7" t="s">
        <v>10</v>
      </c>
      <c r="C2540" s="7">
        <v>2018</v>
      </c>
      <c r="D2540" t="str">
        <f t="shared" si="48"/>
        <v>MCO</v>
      </c>
    </row>
    <row r="2541" spans="1:4" ht="15.6" thickTop="1" thickBot="1">
      <c r="A2541" s="7"/>
      <c r="B2541" s="7" t="s">
        <v>11</v>
      </c>
      <c r="C2541" s="7" t="s">
        <v>972</v>
      </c>
      <c r="D2541" t="str">
        <f t="shared" si="48"/>
        <v>MCO</v>
      </c>
    </row>
    <row r="2542" spans="1:4" ht="15.6" thickTop="1" thickBot="1">
      <c r="A2542" s="7"/>
      <c r="B2542" s="7" t="s">
        <v>13</v>
      </c>
      <c r="C2542" s="7" t="s">
        <v>973</v>
      </c>
      <c r="D2542" t="str">
        <f t="shared" si="48"/>
        <v>MCO</v>
      </c>
    </row>
    <row r="2543" spans="1:4" ht="15.6" thickTop="1" thickBot="1">
      <c r="A2543" s="7"/>
      <c r="B2543" s="7" t="s">
        <v>15</v>
      </c>
      <c r="C2543" s="7" t="s">
        <v>974</v>
      </c>
      <c r="D2543" t="str">
        <f t="shared" si="48"/>
        <v>MCO</v>
      </c>
    </row>
    <row r="2544" spans="1:4" ht="15.6" thickTop="1" thickBot="1">
      <c r="A2544" s="7"/>
      <c r="B2544" s="7" t="s">
        <v>16</v>
      </c>
      <c r="C2544" s="7" t="s">
        <v>972</v>
      </c>
      <c r="D2544" t="str">
        <f t="shared" si="48"/>
        <v>MCO</v>
      </c>
    </row>
    <row r="2545" spans="1:4" ht="15.6" thickTop="1" thickBot="1">
      <c r="A2545" s="7"/>
      <c r="B2545" s="7" t="s">
        <v>17</v>
      </c>
      <c r="C2545" s="7" t="s">
        <v>975</v>
      </c>
      <c r="D2545" t="str">
        <f t="shared" si="48"/>
        <v>MCO</v>
      </c>
    </row>
    <row r="2546" spans="1:4" ht="15.6" thickTop="1" thickBot="1">
      <c r="A2546" s="7"/>
      <c r="B2546" s="7" t="s">
        <v>18</v>
      </c>
      <c r="C2546" s="7" t="s">
        <v>975</v>
      </c>
      <c r="D2546" t="str">
        <f t="shared" si="48"/>
        <v>MCO</v>
      </c>
    </row>
    <row r="2547" spans="1:4" ht="15.6" thickTop="1" thickBot="1">
      <c r="A2547" s="7"/>
      <c r="B2547" s="7" t="s">
        <v>19</v>
      </c>
      <c r="C2547" s="7" t="s">
        <v>976</v>
      </c>
      <c r="D2547" t="str">
        <f t="shared" si="48"/>
        <v>MCO</v>
      </c>
    </row>
    <row r="2548" spans="1:4" ht="15.6" thickTop="1" thickBot="1">
      <c r="A2548" s="7"/>
      <c r="B2548" s="7" t="s">
        <v>21</v>
      </c>
      <c r="C2548" s="7" t="s">
        <v>974</v>
      </c>
      <c r="D2548" t="str">
        <f t="shared" si="48"/>
        <v>MCO</v>
      </c>
    </row>
    <row r="2549" spans="1:4" ht="15.6" thickTop="1" thickBot="1">
      <c r="A2549" s="7"/>
      <c r="B2549" s="7" t="s">
        <v>23</v>
      </c>
      <c r="C2549" s="7" t="s">
        <v>975</v>
      </c>
      <c r="D2549" t="str">
        <f t="shared" si="48"/>
        <v>MCO</v>
      </c>
    </row>
    <row r="2550" spans="1:4" ht="15.6" thickTop="1" thickBot="1">
      <c r="A2550" s="7"/>
      <c r="B2550" s="7" t="s">
        <v>24</v>
      </c>
      <c r="C2550" s="7">
        <v>4205</v>
      </c>
      <c r="D2550" t="str">
        <f t="shared" si="48"/>
        <v>MCO</v>
      </c>
    </row>
    <row r="2551" spans="1:4" ht="20.399999999999999" thickTop="1" thickBot="1">
      <c r="A2551" s="9" t="s">
        <v>977</v>
      </c>
      <c r="B2551" s="10"/>
      <c r="C2551" s="11"/>
      <c r="D2551" t="str">
        <f t="shared" si="48"/>
        <v>MNG</v>
      </c>
    </row>
    <row r="2552" spans="1:4" ht="30" thickTop="1" thickBot="1">
      <c r="A2552" s="7"/>
      <c r="B2552" s="7" t="s">
        <v>25</v>
      </c>
      <c r="C2552" s="8">
        <v>1553560</v>
      </c>
      <c r="D2552" t="str">
        <f t="shared" si="48"/>
        <v>MNG</v>
      </c>
    </row>
    <row r="2553" spans="1:4" ht="30" thickTop="1" thickBot="1">
      <c r="A2553" s="7"/>
      <c r="B2553" s="7" t="s">
        <v>26</v>
      </c>
      <c r="C2553" s="7" t="s">
        <v>978</v>
      </c>
      <c r="D2553" t="str">
        <f t="shared" si="48"/>
        <v>MNG</v>
      </c>
    </row>
    <row r="2554" spans="1:4" ht="20.399999999999999" thickTop="1" thickBot="1">
      <c r="A2554" s="7"/>
      <c r="B2554" s="7" t="s">
        <v>28</v>
      </c>
      <c r="C2554" s="7" t="s">
        <v>979</v>
      </c>
      <c r="D2554" t="str">
        <f t="shared" si="48"/>
        <v>MNG</v>
      </c>
    </row>
    <row r="2555" spans="1:4" ht="20.399999999999999" thickTop="1" thickBot="1">
      <c r="A2555" s="7"/>
      <c r="B2555" s="7" t="s">
        <v>30</v>
      </c>
      <c r="C2555" s="7" t="s">
        <v>980</v>
      </c>
      <c r="D2555" t="str">
        <f t="shared" si="48"/>
        <v>MNG</v>
      </c>
    </row>
    <row r="2556" spans="1:4" ht="20.399999999999999" thickTop="1" thickBot="1">
      <c r="A2556" s="7"/>
      <c r="B2556" s="7" t="s">
        <v>32</v>
      </c>
      <c r="C2556" s="7" t="s">
        <v>33</v>
      </c>
      <c r="D2556" t="str">
        <f t="shared" si="48"/>
        <v>MNG</v>
      </c>
    </row>
    <row r="2557" spans="1:4" ht="20.399999999999999" thickTop="1" thickBot="1">
      <c r="A2557" s="7"/>
      <c r="B2557" s="7" t="s">
        <v>1</v>
      </c>
      <c r="C2557" s="7" t="s">
        <v>107</v>
      </c>
      <c r="D2557" t="str">
        <f t="shared" si="48"/>
        <v>MNG</v>
      </c>
    </row>
    <row r="2558" spans="1:4" ht="30" thickTop="1" thickBot="1">
      <c r="A2558" s="7"/>
      <c r="B2558" s="7" t="s">
        <v>3</v>
      </c>
      <c r="C2558" s="7" t="s">
        <v>69</v>
      </c>
      <c r="D2558" t="str">
        <f t="shared" si="48"/>
        <v>MNG</v>
      </c>
    </row>
    <row r="2559" spans="1:4" ht="20.399999999999999" thickTop="1" thickBot="1">
      <c r="A2559" s="7"/>
      <c r="B2559" s="7" t="s">
        <v>5</v>
      </c>
      <c r="C2559" s="7" t="s">
        <v>108</v>
      </c>
      <c r="D2559" t="str">
        <f t="shared" si="48"/>
        <v>MNG</v>
      </c>
    </row>
    <row r="2560" spans="1:4" ht="30" thickTop="1" thickBot="1">
      <c r="A2560" s="7"/>
      <c r="B2560" s="7" t="s">
        <v>7</v>
      </c>
      <c r="C2560" s="7" t="s">
        <v>70</v>
      </c>
      <c r="D2560" t="str">
        <f t="shared" si="48"/>
        <v>MNG</v>
      </c>
    </row>
    <row r="2561" spans="1:4" ht="49.2" thickTop="1" thickBot="1">
      <c r="A2561" s="7"/>
      <c r="B2561" s="7" t="s">
        <v>9</v>
      </c>
      <c r="C2561" s="7">
        <v>2017</v>
      </c>
      <c r="D2561" t="str">
        <f t="shared" si="48"/>
        <v>MNG</v>
      </c>
    </row>
    <row r="2562" spans="1:4" ht="39.6" thickTop="1" thickBot="1">
      <c r="A2562" s="7"/>
      <c r="B2562" s="7" t="s">
        <v>10</v>
      </c>
      <c r="C2562" s="7">
        <v>2018</v>
      </c>
      <c r="D2562" t="str">
        <f t="shared" ref="D2562:D2625" si="49">IF(ISNUMBER(FIND(":", A2562)), LEFT(A2562, FIND(":", A2562) - 1), D2561)</f>
        <v>MNG</v>
      </c>
    </row>
    <row r="2563" spans="1:4" ht="15.6" thickTop="1" thickBot="1">
      <c r="A2563" s="7"/>
      <c r="B2563" s="7" t="s">
        <v>11</v>
      </c>
      <c r="C2563" s="7" t="s">
        <v>981</v>
      </c>
      <c r="D2563" t="str">
        <f t="shared" si="49"/>
        <v>MNG</v>
      </c>
    </row>
    <row r="2564" spans="1:4" ht="15.6" thickTop="1" thickBot="1">
      <c r="A2564" s="7"/>
      <c r="B2564" s="7" t="s">
        <v>13</v>
      </c>
      <c r="C2564" s="7" t="s">
        <v>880</v>
      </c>
      <c r="D2564" t="str">
        <f t="shared" si="49"/>
        <v>MNG</v>
      </c>
    </row>
    <row r="2565" spans="1:4" ht="15.6" thickTop="1" thickBot="1">
      <c r="A2565" s="7"/>
      <c r="B2565" s="7" t="s">
        <v>15</v>
      </c>
      <c r="C2565" s="7" t="s">
        <v>981</v>
      </c>
      <c r="D2565" t="str">
        <f t="shared" si="49"/>
        <v>MNG</v>
      </c>
    </row>
    <row r="2566" spans="1:4" ht="15.6" thickTop="1" thickBot="1">
      <c r="A2566" s="7"/>
      <c r="B2566" s="7" t="s">
        <v>16</v>
      </c>
      <c r="C2566" s="7" t="s">
        <v>973</v>
      </c>
      <c r="D2566" t="str">
        <f t="shared" si="49"/>
        <v>MNG</v>
      </c>
    </row>
    <row r="2567" spans="1:4" ht="15.6" thickTop="1" thickBot="1">
      <c r="A2567" s="7"/>
      <c r="B2567" s="7" t="s">
        <v>17</v>
      </c>
      <c r="C2567" s="7" t="s">
        <v>982</v>
      </c>
      <c r="D2567" t="str">
        <f t="shared" si="49"/>
        <v>MNG</v>
      </c>
    </row>
    <row r="2568" spans="1:4" ht="15.6" thickTop="1" thickBot="1">
      <c r="A2568" s="7"/>
      <c r="B2568" s="7" t="s">
        <v>18</v>
      </c>
      <c r="C2568" s="7" t="s">
        <v>982</v>
      </c>
      <c r="D2568" t="str">
        <f t="shared" si="49"/>
        <v>MNG</v>
      </c>
    </row>
    <row r="2569" spans="1:4" ht="15.6" thickTop="1" thickBot="1">
      <c r="A2569" s="7"/>
      <c r="B2569" s="7" t="s">
        <v>19</v>
      </c>
      <c r="C2569" s="7" t="s">
        <v>983</v>
      </c>
      <c r="D2569" t="str">
        <f t="shared" si="49"/>
        <v>MNG</v>
      </c>
    </row>
    <row r="2570" spans="1:4" ht="15.6" thickTop="1" thickBot="1">
      <c r="A2570" s="7"/>
      <c r="B2570" s="7" t="s">
        <v>21</v>
      </c>
      <c r="C2570" s="7" t="s">
        <v>984</v>
      </c>
      <c r="D2570" t="str">
        <f t="shared" si="49"/>
        <v>MNG</v>
      </c>
    </row>
    <row r="2571" spans="1:4" ht="15.6" thickTop="1" thickBot="1">
      <c r="A2571" s="7"/>
      <c r="B2571" s="7" t="s">
        <v>22</v>
      </c>
      <c r="C2571" s="7" t="s">
        <v>985</v>
      </c>
      <c r="D2571" t="str">
        <f t="shared" si="49"/>
        <v>MNG</v>
      </c>
    </row>
    <row r="2572" spans="1:4" ht="15.6" thickTop="1" thickBot="1">
      <c r="A2572" s="7"/>
      <c r="B2572" s="7" t="s">
        <v>23</v>
      </c>
      <c r="C2572" s="7" t="s">
        <v>982</v>
      </c>
      <c r="D2572" t="str">
        <f t="shared" si="49"/>
        <v>MNG</v>
      </c>
    </row>
    <row r="2573" spans="1:4" ht="18" customHeight="1" thickTop="1" thickBot="1">
      <c r="A2573" s="7"/>
      <c r="B2573" s="7" t="s">
        <v>24</v>
      </c>
      <c r="C2573" s="7">
        <v>3260</v>
      </c>
      <c r="D2573" t="str">
        <f t="shared" si="49"/>
        <v>MNG</v>
      </c>
    </row>
    <row r="2574" spans="1:4" ht="49.2" thickTop="1" thickBot="1">
      <c r="A2574" s="9" t="s">
        <v>986</v>
      </c>
      <c r="B2574" s="10"/>
      <c r="C2574" s="11"/>
      <c r="D2574" t="str">
        <f t="shared" si="49"/>
        <v>ME1</v>
      </c>
    </row>
    <row r="2575" spans="1:4" ht="20.399999999999999" thickTop="1" thickBot="1">
      <c r="A2575" s="7"/>
      <c r="B2575" s="7" t="s">
        <v>1</v>
      </c>
      <c r="C2575" s="7" t="s">
        <v>152</v>
      </c>
      <c r="D2575" t="str">
        <f t="shared" si="49"/>
        <v>ME1</v>
      </c>
    </row>
    <row r="2576" spans="1:4" ht="30" thickTop="1" thickBot="1">
      <c r="A2576" s="7"/>
      <c r="B2576" s="7" t="s">
        <v>3</v>
      </c>
      <c r="C2576" s="7" t="s">
        <v>987</v>
      </c>
      <c r="D2576" t="str">
        <f t="shared" si="49"/>
        <v>ME1</v>
      </c>
    </row>
    <row r="2577" spans="1:4" ht="20.399999999999999" thickTop="1" thickBot="1">
      <c r="A2577" s="7"/>
      <c r="B2577" s="7" t="s">
        <v>5</v>
      </c>
      <c r="C2577" s="7" t="s">
        <v>153</v>
      </c>
      <c r="D2577" t="str">
        <f t="shared" si="49"/>
        <v>ME1</v>
      </c>
    </row>
    <row r="2578" spans="1:4" ht="30" thickTop="1" thickBot="1">
      <c r="A2578" s="7"/>
      <c r="B2578" s="7" t="s">
        <v>7</v>
      </c>
      <c r="C2578" s="7" t="s">
        <v>70</v>
      </c>
      <c r="D2578" t="str">
        <f t="shared" si="49"/>
        <v>ME1</v>
      </c>
    </row>
    <row r="2579" spans="1:4" ht="15.6" thickTop="1" thickBot="1">
      <c r="A2579" s="7"/>
      <c r="B2579" s="7" t="s">
        <v>11</v>
      </c>
      <c r="C2579" s="7" t="s">
        <v>988</v>
      </c>
      <c r="D2579" t="str">
        <f t="shared" si="49"/>
        <v>ME1</v>
      </c>
    </row>
    <row r="2580" spans="1:4" ht="15.6" thickTop="1" thickBot="1">
      <c r="A2580" s="7"/>
      <c r="B2580" s="7" t="s">
        <v>13</v>
      </c>
      <c r="C2580" s="7" t="s">
        <v>989</v>
      </c>
      <c r="D2580" t="str">
        <f t="shared" si="49"/>
        <v>ME1</v>
      </c>
    </row>
    <row r="2581" spans="1:4" ht="15.6" thickTop="1" thickBot="1">
      <c r="A2581" s="7"/>
      <c r="B2581" s="7" t="s">
        <v>15</v>
      </c>
      <c r="C2581" s="7" t="s">
        <v>990</v>
      </c>
      <c r="D2581" t="str">
        <f t="shared" si="49"/>
        <v>ME1</v>
      </c>
    </row>
    <row r="2582" spans="1:4" ht="15.6" thickTop="1" thickBot="1">
      <c r="A2582" s="7"/>
      <c r="B2582" s="7" t="s">
        <v>23</v>
      </c>
      <c r="C2582" s="7" t="s">
        <v>991</v>
      </c>
      <c r="D2582" t="str">
        <f t="shared" si="49"/>
        <v>ME1</v>
      </c>
    </row>
    <row r="2583" spans="1:4" ht="15.6" thickTop="1" thickBot="1">
      <c r="A2583" s="7"/>
      <c r="B2583" s="7" t="s">
        <v>18</v>
      </c>
      <c r="C2583" s="7" t="s">
        <v>991</v>
      </c>
      <c r="D2583" t="str">
        <f t="shared" si="49"/>
        <v>ME1</v>
      </c>
    </row>
    <row r="2584" spans="1:4" ht="15.6" thickTop="1" thickBot="1">
      <c r="A2584" s="7"/>
      <c r="B2584" s="7" t="s">
        <v>21</v>
      </c>
      <c r="C2584" s="7" t="s">
        <v>991</v>
      </c>
      <c r="D2584" t="str">
        <f t="shared" si="49"/>
        <v>ME1</v>
      </c>
    </row>
    <row r="2585" spans="1:4" ht="15.6" thickTop="1" thickBot="1">
      <c r="A2585" s="7"/>
      <c r="B2585" s="7" t="s">
        <v>16</v>
      </c>
      <c r="C2585" s="7" t="s">
        <v>992</v>
      </c>
      <c r="D2585" t="str">
        <f t="shared" si="49"/>
        <v>ME1</v>
      </c>
    </row>
    <row r="2586" spans="1:4" ht="15.6" thickTop="1" thickBot="1">
      <c r="A2586" s="7"/>
      <c r="B2586" s="7" t="s">
        <v>17</v>
      </c>
      <c r="C2586" s="7" t="s">
        <v>993</v>
      </c>
      <c r="D2586" t="str">
        <f t="shared" si="49"/>
        <v>ME1</v>
      </c>
    </row>
    <row r="2587" spans="1:4" ht="49.2" thickTop="1" thickBot="1">
      <c r="A2587" s="7"/>
      <c r="B2587" s="7" t="s">
        <v>9</v>
      </c>
      <c r="C2587" s="7">
        <v>2017</v>
      </c>
      <c r="D2587" t="str">
        <f t="shared" si="49"/>
        <v>ME1</v>
      </c>
    </row>
    <row r="2588" spans="1:4" ht="39.6" thickTop="1" thickBot="1">
      <c r="A2588" s="7"/>
      <c r="B2588" s="7" t="s">
        <v>10</v>
      </c>
      <c r="C2588" s="7">
        <v>2018</v>
      </c>
      <c r="D2588" t="str">
        <f t="shared" si="49"/>
        <v>ME1</v>
      </c>
    </row>
    <row r="2589" spans="1:4" ht="20.399999999999999" thickTop="1" thickBot="1">
      <c r="A2589" s="9" t="s">
        <v>994</v>
      </c>
      <c r="B2589" s="10"/>
      <c r="C2589" s="11"/>
      <c r="D2589" t="str">
        <f t="shared" si="49"/>
        <v>MAR</v>
      </c>
    </row>
    <row r="2590" spans="1:4" ht="30" thickTop="1" thickBot="1">
      <c r="A2590" s="7"/>
      <c r="B2590" s="7" t="s">
        <v>25</v>
      </c>
      <c r="C2590" s="8">
        <v>446300</v>
      </c>
      <c r="D2590" t="str">
        <f t="shared" si="49"/>
        <v>MAR</v>
      </c>
    </row>
    <row r="2591" spans="1:4" ht="39.6" thickTop="1" thickBot="1">
      <c r="A2591" s="7"/>
      <c r="B2591" s="7" t="s">
        <v>26</v>
      </c>
      <c r="C2591" s="7" t="s">
        <v>995</v>
      </c>
      <c r="D2591" t="str">
        <f t="shared" si="49"/>
        <v>MAR</v>
      </c>
    </row>
    <row r="2592" spans="1:4" ht="20.399999999999999" thickTop="1" thickBot="1">
      <c r="A2592" s="7"/>
      <c r="B2592" s="7" t="s">
        <v>28</v>
      </c>
      <c r="C2592" s="7" t="s">
        <v>996</v>
      </c>
      <c r="D2592" t="str">
        <f t="shared" si="49"/>
        <v>MAR</v>
      </c>
    </row>
    <row r="2593" spans="1:4" ht="20.399999999999999" thickTop="1" thickBot="1">
      <c r="A2593" s="7"/>
      <c r="B2593" s="7" t="s">
        <v>30</v>
      </c>
      <c r="C2593" s="7" t="s">
        <v>997</v>
      </c>
      <c r="D2593" t="str">
        <f t="shared" si="49"/>
        <v>MAR</v>
      </c>
    </row>
    <row r="2594" spans="1:4" ht="20.399999999999999" thickTop="1" thickBot="1">
      <c r="A2594" s="7"/>
      <c r="B2594" s="7" t="s">
        <v>32</v>
      </c>
      <c r="C2594" s="7" t="s">
        <v>33</v>
      </c>
      <c r="D2594" t="str">
        <f t="shared" si="49"/>
        <v>MAR</v>
      </c>
    </row>
    <row r="2595" spans="1:4" ht="30" thickTop="1" thickBot="1">
      <c r="A2595" s="7"/>
      <c r="B2595" s="7" t="s">
        <v>1</v>
      </c>
      <c r="C2595" s="7" t="s">
        <v>2</v>
      </c>
      <c r="D2595" t="str">
        <f t="shared" si="49"/>
        <v>MAR</v>
      </c>
    </row>
    <row r="2596" spans="1:4" ht="30" thickTop="1" thickBot="1">
      <c r="A2596" s="7"/>
      <c r="B2596" s="7" t="s">
        <v>3</v>
      </c>
      <c r="C2596" s="7" t="s">
        <v>69</v>
      </c>
      <c r="D2596" t="str">
        <f t="shared" si="49"/>
        <v>MAR</v>
      </c>
    </row>
    <row r="2597" spans="1:4" ht="20.399999999999999" thickTop="1" thickBot="1">
      <c r="A2597" s="7"/>
      <c r="B2597" s="7" t="s">
        <v>5</v>
      </c>
      <c r="C2597" s="7" t="s">
        <v>6</v>
      </c>
      <c r="D2597" t="str">
        <f t="shared" si="49"/>
        <v>MAR</v>
      </c>
    </row>
    <row r="2598" spans="1:4" ht="30" thickTop="1" thickBot="1">
      <c r="A2598" s="7"/>
      <c r="B2598" s="7" t="s">
        <v>7</v>
      </c>
      <c r="C2598" s="7" t="s">
        <v>70</v>
      </c>
      <c r="D2598" t="str">
        <f t="shared" si="49"/>
        <v>MAR</v>
      </c>
    </row>
    <row r="2599" spans="1:4" ht="49.2" thickTop="1" thickBot="1">
      <c r="A2599" s="7"/>
      <c r="B2599" s="7" t="s">
        <v>9</v>
      </c>
      <c r="C2599" s="7">
        <v>2017</v>
      </c>
      <c r="D2599" t="str">
        <f t="shared" si="49"/>
        <v>MAR</v>
      </c>
    </row>
    <row r="2600" spans="1:4" ht="39.6" thickTop="1" thickBot="1">
      <c r="A2600" s="7"/>
      <c r="B2600" s="7" t="s">
        <v>10</v>
      </c>
      <c r="C2600" s="7">
        <v>2018</v>
      </c>
      <c r="D2600" t="str">
        <f t="shared" si="49"/>
        <v>MAR</v>
      </c>
    </row>
    <row r="2601" spans="1:4" ht="15.6" thickTop="1" thickBot="1">
      <c r="A2601" s="7"/>
      <c r="B2601" s="7" t="s">
        <v>11</v>
      </c>
      <c r="C2601" s="7" t="s">
        <v>878</v>
      </c>
      <c r="D2601" t="str">
        <f t="shared" si="49"/>
        <v>MAR</v>
      </c>
    </row>
    <row r="2602" spans="1:4" ht="15.6" thickTop="1" thickBot="1">
      <c r="A2602" s="7"/>
      <c r="B2602" s="7" t="s">
        <v>13</v>
      </c>
      <c r="C2602" s="7" t="s">
        <v>985</v>
      </c>
      <c r="D2602" t="str">
        <f t="shared" si="49"/>
        <v>MAR</v>
      </c>
    </row>
    <row r="2603" spans="1:4" ht="15.6" thickTop="1" thickBot="1">
      <c r="A2603" s="7"/>
      <c r="B2603" s="7" t="s">
        <v>15</v>
      </c>
      <c r="C2603" s="7" t="s">
        <v>998</v>
      </c>
      <c r="D2603" t="str">
        <f t="shared" si="49"/>
        <v>MAR</v>
      </c>
    </row>
    <row r="2604" spans="1:4" ht="15.6" thickTop="1" thickBot="1">
      <c r="A2604" s="7"/>
      <c r="B2604" s="7" t="s">
        <v>16</v>
      </c>
      <c r="C2604" s="7" t="s">
        <v>878</v>
      </c>
      <c r="D2604" t="str">
        <f t="shared" si="49"/>
        <v>MAR</v>
      </c>
    </row>
    <row r="2605" spans="1:4" ht="15.6" thickTop="1" thickBot="1">
      <c r="A2605" s="7"/>
      <c r="B2605" s="7" t="s">
        <v>17</v>
      </c>
      <c r="C2605" s="7" t="s">
        <v>998</v>
      </c>
      <c r="D2605" t="str">
        <f t="shared" si="49"/>
        <v>MAR</v>
      </c>
    </row>
    <row r="2606" spans="1:4" ht="15.6" thickTop="1" thickBot="1">
      <c r="A2606" s="7"/>
      <c r="B2606" s="7" t="s">
        <v>18</v>
      </c>
      <c r="C2606" s="7" t="s">
        <v>999</v>
      </c>
      <c r="D2606" t="str">
        <f t="shared" si="49"/>
        <v>MAR</v>
      </c>
    </row>
    <row r="2607" spans="1:4" ht="15.6" thickTop="1" thickBot="1">
      <c r="A2607" s="7"/>
      <c r="B2607" s="7" t="s">
        <v>19</v>
      </c>
      <c r="C2607" s="7" t="s">
        <v>1000</v>
      </c>
      <c r="D2607" t="str">
        <f t="shared" si="49"/>
        <v>MAR</v>
      </c>
    </row>
    <row r="2608" spans="1:4" ht="15.6" thickTop="1" thickBot="1">
      <c r="A2608" s="7"/>
      <c r="B2608" s="7" t="s">
        <v>21</v>
      </c>
      <c r="C2608" s="7" t="s">
        <v>1001</v>
      </c>
      <c r="D2608" t="str">
        <f t="shared" si="49"/>
        <v>MAR</v>
      </c>
    </row>
    <row r="2609" spans="1:4" ht="15.6" thickTop="1" thickBot="1">
      <c r="A2609" s="7"/>
      <c r="B2609" s="7" t="s">
        <v>22</v>
      </c>
      <c r="C2609" s="7" t="s">
        <v>972</v>
      </c>
      <c r="D2609" t="str">
        <f t="shared" si="49"/>
        <v>MAR</v>
      </c>
    </row>
    <row r="2610" spans="1:4" ht="15.6" thickTop="1" thickBot="1">
      <c r="A2610" s="7"/>
      <c r="B2610" s="7" t="s">
        <v>23</v>
      </c>
      <c r="C2610" s="7" t="s">
        <v>998</v>
      </c>
      <c r="D2610" t="str">
        <f t="shared" si="49"/>
        <v>MAR</v>
      </c>
    </row>
    <row r="2611" spans="1:4" ht="15.6" thickTop="1" thickBot="1">
      <c r="A2611" s="7"/>
      <c r="B2611" s="7" t="s">
        <v>24</v>
      </c>
      <c r="C2611" s="7">
        <v>1310</v>
      </c>
      <c r="D2611" t="str">
        <f t="shared" si="49"/>
        <v>MAR</v>
      </c>
    </row>
    <row r="2612" spans="1:4" ht="20.399999999999999" thickTop="1" thickBot="1">
      <c r="A2612" s="9" t="s">
        <v>1002</v>
      </c>
      <c r="B2612" s="10"/>
      <c r="C2612" s="11"/>
      <c r="D2612" t="str">
        <f t="shared" si="49"/>
        <v>MOZ</v>
      </c>
    </row>
    <row r="2613" spans="1:4" ht="49.2" thickTop="1" thickBot="1">
      <c r="A2613" s="7"/>
      <c r="B2613" s="7" t="s">
        <v>9</v>
      </c>
      <c r="C2613" s="7">
        <v>2017</v>
      </c>
      <c r="D2613" t="str">
        <f t="shared" si="49"/>
        <v>MOZ</v>
      </c>
    </row>
    <row r="2614" spans="1:4" ht="39.6" thickTop="1" thickBot="1">
      <c r="A2614" s="7"/>
      <c r="B2614" s="7" t="s">
        <v>10</v>
      </c>
      <c r="C2614" s="7">
        <v>2018</v>
      </c>
      <c r="D2614" t="str">
        <f t="shared" si="49"/>
        <v>MOZ</v>
      </c>
    </row>
    <row r="2615" spans="1:4" ht="30" thickTop="1" thickBot="1">
      <c r="A2615" s="7"/>
      <c r="B2615" s="7" t="s">
        <v>25</v>
      </c>
      <c r="C2615" s="8">
        <v>786380</v>
      </c>
      <c r="D2615" t="str">
        <f t="shared" si="49"/>
        <v>MOZ</v>
      </c>
    </row>
    <row r="2616" spans="1:4" ht="58.8" thickTop="1" thickBot="1">
      <c r="A2616" s="7"/>
      <c r="B2616" s="7" t="s">
        <v>26</v>
      </c>
      <c r="C2616" s="7" t="s">
        <v>1003</v>
      </c>
      <c r="D2616" t="str">
        <f t="shared" si="49"/>
        <v>MOZ</v>
      </c>
    </row>
    <row r="2617" spans="1:4" ht="20.399999999999999" thickTop="1" thickBot="1">
      <c r="A2617" s="7"/>
      <c r="B2617" s="7" t="s">
        <v>28</v>
      </c>
      <c r="C2617" s="7" t="s">
        <v>1004</v>
      </c>
      <c r="D2617" t="str">
        <f t="shared" si="49"/>
        <v>MOZ</v>
      </c>
    </row>
    <row r="2618" spans="1:4" ht="20.399999999999999" thickTop="1" thickBot="1">
      <c r="A2618" s="7"/>
      <c r="B2618" s="7" t="s">
        <v>30</v>
      </c>
      <c r="C2618" s="7" t="s">
        <v>1004</v>
      </c>
      <c r="D2618" t="str">
        <f t="shared" si="49"/>
        <v>MOZ</v>
      </c>
    </row>
    <row r="2619" spans="1:4" ht="20.399999999999999" thickTop="1" thickBot="1">
      <c r="A2619" s="7"/>
      <c r="B2619" s="7" t="s">
        <v>32</v>
      </c>
      <c r="C2619" s="7" t="s">
        <v>33</v>
      </c>
      <c r="D2619" t="str">
        <f t="shared" si="49"/>
        <v>MOZ</v>
      </c>
    </row>
    <row r="2620" spans="1:4" ht="20.399999999999999" thickTop="1" thickBot="1">
      <c r="A2620" s="7"/>
      <c r="B2620" s="7" t="s">
        <v>1</v>
      </c>
      <c r="C2620" s="7" t="s">
        <v>50</v>
      </c>
      <c r="D2620" t="str">
        <f t="shared" si="49"/>
        <v>MOZ</v>
      </c>
    </row>
    <row r="2621" spans="1:4" ht="30" thickTop="1" thickBot="1">
      <c r="A2621" s="7"/>
      <c r="B2621" s="7" t="s">
        <v>3</v>
      </c>
      <c r="C2621" s="7" t="s">
        <v>4</v>
      </c>
      <c r="D2621" t="str">
        <f t="shared" si="49"/>
        <v>MOZ</v>
      </c>
    </row>
    <row r="2622" spans="1:4" ht="20.399999999999999" thickTop="1" thickBot="1">
      <c r="A2622" s="7"/>
      <c r="B2622" s="7" t="s">
        <v>5</v>
      </c>
      <c r="C2622" s="7" t="s">
        <v>51</v>
      </c>
      <c r="D2622" t="str">
        <f t="shared" si="49"/>
        <v>MOZ</v>
      </c>
    </row>
    <row r="2623" spans="1:4" ht="30" thickTop="1" thickBot="1">
      <c r="A2623" s="7"/>
      <c r="B2623" s="7" t="s">
        <v>7</v>
      </c>
      <c r="C2623" s="7" t="s">
        <v>8</v>
      </c>
      <c r="D2623" t="str">
        <f t="shared" si="49"/>
        <v>MOZ</v>
      </c>
    </row>
    <row r="2624" spans="1:4" ht="15.6" thickTop="1" thickBot="1">
      <c r="A2624" s="7"/>
      <c r="B2624" s="7" t="s">
        <v>11</v>
      </c>
      <c r="C2624" s="7" t="s">
        <v>1005</v>
      </c>
      <c r="D2624" t="str">
        <f t="shared" si="49"/>
        <v>MOZ</v>
      </c>
    </row>
    <row r="2625" spans="1:4" ht="15.6" thickTop="1" thickBot="1">
      <c r="A2625" s="7"/>
      <c r="B2625" s="7" t="s">
        <v>13</v>
      </c>
      <c r="C2625" s="7" t="s">
        <v>1006</v>
      </c>
      <c r="D2625" t="str">
        <f t="shared" si="49"/>
        <v>MOZ</v>
      </c>
    </row>
    <row r="2626" spans="1:4" ht="15.6" thickTop="1" thickBot="1">
      <c r="A2626" s="7"/>
      <c r="B2626" s="7" t="s">
        <v>15</v>
      </c>
      <c r="C2626" s="7" t="s">
        <v>1007</v>
      </c>
      <c r="D2626" t="str">
        <f t="shared" ref="D2626:D2689" si="50">IF(ISNUMBER(FIND(":", A2626)), LEFT(A2626, FIND(":", A2626) - 1), D2625)</f>
        <v>MOZ</v>
      </c>
    </row>
    <row r="2627" spans="1:4" ht="15.6" thickTop="1" thickBot="1">
      <c r="A2627" s="7"/>
      <c r="B2627" s="7" t="s">
        <v>16</v>
      </c>
      <c r="C2627" s="7" t="s">
        <v>1006</v>
      </c>
      <c r="D2627" t="str">
        <f t="shared" si="50"/>
        <v>MOZ</v>
      </c>
    </row>
    <row r="2628" spans="1:4" ht="15.6" thickTop="1" thickBot="1">
      <c r="A2628" s="7"/>
      <c r="B2628" s="7" t="s">
        <v>17</v>
      </c>
      <c r="C2628" s="7" t="s">
        <v>1007</v>
      </c>
      <c r="D2628" t="str">
        <f t="shared" si="50"/>
        <v>MOZ</v>
      </c>
    </row>
    <row r="2629" spans="1:4" ht="15.6" thickTop="1" thickBot="1">
      <c r="A2629" s="7"/>
      <c r="B2629" s="7" t="s">
        <v>18</v>
      </c>
      <c r="C2629" s="7" t="s">
        <v>1007</v>
      </c>
      <c r="D2629" t="str">
        <f t="shared" si="50"/>
        <v>MOZ</v>
      </c>
    </row>
    <row r="2630" spans="1:4" ht="15.6" thickTop="1" thickBot="1">
      <c r="A2630" s="7"/>
      <c r="B2630" s="7" t="s">
        <v>19</v>
      </c>
      <c r="C2630" s="7" t="s">
        <v>1008</v>
      </c>
      <c r="D2630" t="str">
        <f t="shared" si="50"/>
        <v>MOZ</v>
      </c>
    </row>
    <row r="2631" spans="1:4" ht="15.6" thickTop="1" thickBot="1">
      <c r="A2631" s="7"/>
      <c r="B2631" s="7" t="s">
        <v>21</v>
      </c>
      <c r="C2631" s="7" t="s">
        <v>1007</v>
      </c>
      <c r="D2631" t="str">
        <f t="shared" si="50"/>
        <v>MOZ</v>
      </c>
    </row>
    <row r="2632" spans="1:4" ht="15.6" thickTop="1" thickBot="1">
      <c r="A2632" s="7"/>
      <c r="B2632" s="7" t="s">
        <v>22</v>
      </c>
      <c r="C2632" s="7" t="s">
        <v>1006</v>
      </c>
      <c r="D2632" t="str">
        <f t="shared" si="50"/>
        <v>MOZ</v>
      </c>
    </row>
    <row r="2633" spans="1:4" ht="15.6" thickTop="1" thickBot="1">
      <c r="A2633" s="7"/>
      <c r="B2633" s="7" t="s">
        <v>23</v>
      </c>
      <c r="C2633" s="7" t="s">
        <v>1007</v>
      </c>
      <c r="D2633" t="str">
        <f t="shared" si="50"/>
        <v>MOZ</v>
      </c>
    </row>
    <row r="2634" spans="1:4" ht="15.6" thickTop="1" thickBot="1">
      <c r="A2634" s="7"/>
      <c r="B2634" s="7" t="s">
        <v>24</v>
      </c>
      <c r="C2634" s="7">
        <v>1320</v>
      </c>
      <c r="D2634" t="str">
        <f t="shared" si="50"/>
        <v>MOZ</v>
      </c>
    </row>
    <row r="2635" spans="1:4" ht="20.399999999999999" thickTop="1" thickBot="1">
      <c r="A2635" s="9" t="s">
        <v>1009</v>
      </c>
      <c r="B2635" s="10"/>
      <c r="C2635" s="11"/>
      <c r="D2635" t="str">
        <f t="shared" si="50"/>
        <v>MMR</v>
      </c>
    </row>
    <row r="2636" spans="1:4" ht="49.2" thickTop="1" thickBot="1">
      <c r="A2636" s="7"/>
      <c r="B2636" s="7" t="s">
        <v>9</v>
      </c>
      <c r="C2636" s="7">
        <v>2017</v>
      </c>
      <c r="D2636" t="str">
        <f t="shared" si="50"/>
        <v>MMR</v>
      </c>
    </row>
    <row r="2637" spans="1:4" ht="39.6" thickTop="1" thickBot="1">
      <c r="A2637" s="7"/>
      <c r="B2637" s="7" t="s">
        <v>10</v>
      </c>
      <c r="C2637" s="7">
        <v>2018</v>
      </c>
      <c r="D2637" t="str">
        <f t="shared" si="50"/>
        <v>MMR</v>
      </c>
    </row>
    <row r="2638" spans="1:4" ht="30" thickTop="1" thickBot="1">
      <c r="A2638" s="7"/>
      <c r="B2638" s="7" t="s">
        <v>25</v>
      </c>
      <c r="C2638" s="8">
        <v>653310</v>
      </c>
      <c r="D2638" t="str">
        <f t="shared" si="50"/>
        <v>MMR</v>
      </c>
    </row>
    <row r="2639" spans="1:4" ht="30" thickTop="1" thickBot="1">
      <c r="A2639" s="7"/>
      <c r="B2639" s="7" t="s">
        <v>26</v>
      </c>
      <c r="C2639" s="7" t="s">
        <v>1010</v>
      </c>
      <c r="D2639" t="str">
        <f t="shared" si="50"/>
        <v>MMR</v>
      </c>
    </row>
    <row r="2640" spans="1:4" ht="20.399999999999999" thickTop="1" thickBot="1">
      <c r="A2640" s="7"/>
      <c r="B2640" s="7" t="s">
        <v>28</v>
      </c>
      <c r="C2640" s="7" t="s">
        <v>1011</v>
      </c>
      <c r="D2640" t="str">
        <f t="shared" si="50"/>
        <v>MMR</v>
      </c>
    </row>
    <row r="2641" spans="1:4" ht="20.399999999999999" thickTop="1" thickBot="1">
      <c r="A2641" s="7"/>
      <c r="B2641" s="7" t="s">
        <v>30</v>
      </c>
      <c r="C2641" s="7" t="s">
        <v>1011</v>
      </c>
      <c r="D2641" t="str">
        <f t="shared" si="50"/>
        <v>MMR</v>
      </c>
    </row>
    <row r="2642" spans="1:4" ht="20.399999999999999" thickTop="1" thickBot="1">
      <c r="A2642" s="7"/>
      <c r="B2642" s="7" t="s">
        <v>32</v>
      </c>
      <c r="C2642" s="7" t="s">
        <v>33</v>
      </c>
      <c r="D2642" t="str">
        <f t="shared" si="50"/>
        <v>MMR</v>
      </c>
    </row>
    <row r="2643" spans="1:4" ht="20.399999999999999" thickTop="1" thickBot="1">
      <c r="A2643" s="7"/>
      <c r="B2643" s="7" t="s">
        <v>1</v>
      </c>
      <c r="C2643" s="7" t="s">
        <v>152</v>
      </c>
      <c r="D2643" t="str">
        <f t="shared" si="50"/>
        <v>MMR</v>
      </c>
    </row>
    <row r="2644" spans="1:4" ht="30" thickTop="1" thickBot="1">
      <c r="A2644" s="7"/>
      <c r="B2644" s="7" t="s">
        <v>3</v>
      </c>
      <c r="C2644" s="7" t="s">
        <v>69</v>
      </c>
      <c r="D2644" t="str">
        <f t="shared" si="50"/>
        <v>MMR</v>
      </c>
    </row>
    <row r="2645" spans="1:4" ht="20.399999999999999" thickTop="1" thickBot="1">
      <c r="A2645" s="7"/>
      <c r="B2645" s="7" t="s">
        <v>5</v>
      </c>
      <c r="C2645" s="7" t="s">
        <v>153</v>
      </c>
      <c r="D2645" t="str">
        <f t="shared" si="50"/>
        <v>MMR</v>
      </c>
    </row>
    <row r="2646" spans="1:4" ht="30" thickTop="1" thickBot="1">
      <c r="A2646" s="7"/>
      <c r="B2646" s="7" t="s">
        <v>7</v>
      </c>
      <c r="C2646" s="7" t="s">
        <v>70</v>
      </c>
      <c r="D2646" t="str">
        <f t="shared" si="50"/>
        <v>MMR</v>
      </c>
    </row>
    <row r="2647" spans="1:4" ht="15.6" thickTop="1" thickBot="1">
      <c r="A2647" s="7"/>
      <c r="B2647" s="7" t="s">
        <v>11</v>
      </c>
      <c r="C2647" s="7" t="s">
        <v>256</v>
      </c>
      <c r="D2647" t="str">
        <f t="shared" si="50"/>
        <v>MMR</v>
      </c>
    </row>
    <row r="2648" spans="1:4" ht="15.6" thickTop="1" thickBot="1">
      <c r="A2648" s="7"/>
      <c r="B2648" s="7" t="s">
        <v>13</v>
      </c>
      <c r="C2648" s="7" t="s">
        <v>1012</v>
      </c>
      <c r="D2648" t="str">
        <f t="shared" si="50"/>
        <v>MMR</v>
      </c>
    </row>
    <row r="2649" spans="1:4" ht="15.6" thickTop="1" thickBot="1">
      <c r="A2649" s="7"/>
      <c r="B2649" s="7" t="s">
        <v>15</v>
      </c>
      <c r="C2649" s="7" t="s">
        <v>1013</v>
      </c>
      <c r="D2649" t="str">
        <f t="shared" si="50"/>
        <v>MMR</v>
      </c>
    </row>
    <row r="2650" spans="1:4" ht="15.6" thickTop="1" thickBot="1">
      <c r="A2650" s="7"/>
      <c r="B2650" s="7" t="s">
        <v>16</v>
      </c>
      <c r="C2650" s="7" t="s">
        <v>1014</v>
      </c>
      <c r="D2650" t="str">
        <f t="shared" si="50"/>
        <v>MMR</v>
      </c>
    </row>
    <row r="2651" spans="1:4" ht="15.6" thickTop="1" thickBot="1">
      <c r="A2651" s="7"/>
      <c r="B2651" s="7" t="s">
        <v>17</v>
      </c>
      <c r="C2651" s="7" t="s">
        <v>1015</v>
      </c>
      <c r="D2651" t="str">
        <f t="shared" si="50"/>
        <v>MMR</v>
      </c>
    </row>
    <row r="2652" spans="1:4" ht="15.6" thickTop="1" thickBot="1">
      <c r="A2652" s="7"/>
      <c r="B2652" s="7" t="s">
        <v>18</v>
      </c>
      <c r="C2652" s="7" t="s">
        <v>1016</v>
      </c>
      <c r="D2652" t="str">
        <f t="shared" si="50"/>
        <v>MMR</v>
      </c>
    </row>
    <row r="2653" spans="1:4" ht="15.6" thickTop="1" thickBot="1">
      <c r="A2653" s="7"/>
      <c r="B2653" s="7" t="s">
        <v>19</v>
      </c>
      <c r="C2653" s="7" t="s">
        <v>1017</v>
      </c>
      <c r="D2653" t="str">
        <f t="shared" si="50"/>
        <v>MMR</v>
      </c>
    </row>
    <row r="2654" spans="1:4" ht="15.6" thickTop="1" thickBot="1">
      <c r="A2654" s="7"/>
      <c r="B2654" s="7" t="s">
        <v>21</v>
      </c>
      <c r="C2654" s="7" t="s">
        <v>1015</v>
      </c>
      <c r="D2654" t="str">
        <f t="shared" si="50"/>
        <v>MMR</v>
      </c>
    </row>
    <row r="2655" spans="1:4" ht="15.6" thickTop="1" thickBot="1">
      <c r="A2655" s="7"/>
      <c r="B2655" s="7" t="s">
        <v>22</v>
      </c>
      <c r="C2655" s="7" t="s">
        <v>1012</v>
      </c>
      <c r="D2655" t="str">
        <f t="shared" si="50"/>
        <v>MMR</v>
      </c>
    </row>
    <row r="2656" spans="1:4" ht="15.6" thickTop="1" thickBot="1">
      <c r="A2656" s="7"/>
      <c r="B2656" s="7" t="s">
        <v>23</v>
      </c>
      <c r="C2656" s="7" t="s">
        <v>1015</v>
      </c>
      <c r="D2656" t="str">
        <f t="shared" si="50"/>
        <v>MMR</v>
      </c>
    </row>
    <row r="2657" spans="1:4" ht="15.6" thickTop="1" thickBot="1">
      <c r="A2657" s="7"/>
      <c r="B2657" s="7" t="s">
        <v>24</v>
      </c>
      <c r="C2657" s="7">
        <v>3270</v>
      </c>
      <c r="D2657" t="str">
        <f t="shared" si="50"/>
        <v>MMR</v>
      </c>
    </row>
    <row r="2658" spans="1:4" ht="20.399999999999999" thickTop="1" thickBot="1">
      <c r="A2658" s="9" t="s">
        <v>1018</v>
      </c>
      <c r="B2658" s="10"/>
      <c r="C2658" s="11"/>
      <c r="D2658" t="str">
        <f t="shared" si="50"/>
        <v>NAM</v>
      </c>
    </row>
    <row r="2659" spans="1:4" ht="49.2" thickTop="1" thickBot="1">
      <c r="A2659" s="7"/>
      <c r="B2659" s="7" t="s">
        <v>9</v>
      </c>
      <c r="C2659" s="7">
        <v>2017</v>
      </c>
      <c r="D2659" t="str">
        <f t="shared" si="50"/>
        <v>NAM</v>
      </c>
    </row>
    <row r="2660" spans="1:4" ht="39.6" thickTop="1" thickBot="1">
      <c r="A2660" s="7"/>
      <c r="B2660" s="7" t="s">
        <v>10</v>
      </c>
      <c r="C2660" s="7">
        <v>2018</v>
      </c>
      <c r="D2660" t="str">
        <f t="shared" si="50"/>
        <v>NAM</v>
      </c>
    </row>
    <row r="2661" spans="1:4" ht="30" thickTop="1" thickBot="1">
      <c r="A2661" s="7"/>
      <c r="B2661" s="7" t="s">
        <v>25</v>
      </c>
      <c r="C2661" s="8">
        <v>823290</v>
      </c>
      <c r="D2661" t="str">
        <f t="shared" si="50"/>
        <v>NAM</v>
      </c>
    </row>
    <row r="2662" spans="1:4" ht="49.2" thickTop="1" thickBot="1">
      <c r="A2662" s="7"/>
      <c r="B2662" s="7" t="s">
        <v>26</v>
      </c>
      <c r="C2662" s="7" t="s">
        <v>1019</v>
      </c>
      <c r="D2662" t="str">
        <f t="shared" si="50"/>
        <v>NAM</v>
      </c>
    </row>
    <row r="2663" spans="1:4" ht="20.399999999999999" thickTop="1" thickBot="1">
      <c r="A2663" s="7"/>
      <c r="B2663" s="7" t="s">
        <v>28</v>
      </c>
      <c r="C2663" s="7" t="s">
        <v>1020</v>
      </c>
      <c r="D2663" t="str">
        <f t="shared" si="50"/>
        <v>NAM</v>
      </c>
    </row>
    <row r="2664" spans="1:4" ht="20.399999999999999" thickTop="1" thickBot="1">
      <c r="A2664" s="7"/>
      <c r="B2664" s="7" t="s">
        <v>30</v>
      </c>
      <c r="C2664" s="7" t="s">
        <v>1021</v>
      </c>
      <c r="D2664" t="str">
        <f t="shared" si="50"/>
        <v>NAM</v>
      </c>
    </row>
    <row r="2665" spans="1:4" ht="20.399999999999999" thickTop="1" thickBot="1">
      <c r="A2665" s="7"/>
      <c r="B2665" s="7" t="s">
        <v>32</v>
      </c>
      <c r="C2665" s="7" t="s">
        <v>33</v>
      </c>
      <c r="D2665" t="str">
        <f t="shared" si="50"/>
        <v>NAM</v>
      </c>
    </row>
    <row r="2666" spans="1:4" ht="20.399999999999999" thickTop="1" thickBot="1">
      <c r="A2666" s="7"/>
      <c r="B2666" s="7" t="s">
        <v>1</v>
      </c>
      <c r="C2666" s="7" t="s">
        <v>50</v>
      </c>
      <c r="D2666" t="str">
        <f t="shared" si="50"/>
        <v>NAM</v>
      </c>
    </row>
    <row r="2667" spans="1:4" ht="30" thickTop="1" thickBot="1">
      <c r="A2667" s="7"/>
      <c r="B2667" s="7" t="s">
        <v>3</v>
      </c>
      <c r="C2667" s="7" t="s">
        <v>36</v>
      </c>
      <c r="D2667" t="str">
        <f t="shared" si="50"/>
        <v>NAM</v>
      </c>
    </row>
    <row r="2668" spans="1:4" ht="20.399999999999999" thickTop="1" thickBot="1">
      <c r="A2668" s="7"/>
      <c r="B2668" s="7" t="s">
        <v>5</v>
      </c>
      <c r="C2668" s="7" t="s">
        <v>51</v>
      </c>
      <c r="D2668" t="str">
        <f t="shared" si="50"/>
        <v>NAM</v>
      </c>
    </row>
    <row r="2669" spans="1:4" ht="30" thickTop="1" thickBot="1">
      <c r="A2669" s="7"/>
      <c r="B2669" s="7" t="s">
        <v>7</v>
      </c>
      <c r="C2669" s="7" t="s">
        <v>38</v>
      </c>
      <c r="D2669" t="str">
        <f t="shared" si="50"/>
        <v>NAM</v>
      </c>
    </row>
    <row r="2670" spans="1:4" ht="15.6" thickTop="1" thickBot="1">
      <c r="A2670" s="7"/>
      <c r="B2670" s="7" t="s">
        <v>11</v>
      </c>
      <c r="C2670" s="7" t="s">
        <v>1022</v>
      </c>
      <c r="D2670" t="str">
        <f t="shared" si="50"/>
        <v>NAM</v>
      </c>
    </row>
    <row r="2671" spans="1:4" ht="15.6" thickTop="1" thickBot="1">
      <c r="A2671" s="7"/>
      <c r="B2671" s="7" t="s">
        <v>13</v>
      </c>
      <c r="C2671" s="7" t="s">
        <v>1023</v>
      </c>
      <c r="D2671" t="str">
        <f t="shared" si="50"/>
        <v>NAM</v>
      </c>
    </row>
    <row r="2672" spans="1:4" ht="15.6" thickTop="1" thickBot="1">
      <c r="A2672" s="7"/>
      <c r="B2672" s="7" t="s">
        <v>15</v>
      </c>
      <c r="C2672" s="7" t="s">
        <v>1022</v>
      </c>
      <c r="D2672" t="str">
        <f t="shared" si="50"/>
        <v>NAM</v>
      </c>
    </row>
    <row r="2673" spans="1:4" ht="15.6" thickTop="1" thickBot="1">
      <c r="A2673" s="7"/>
      <c r="B2673" s="7" t="s">
        <v>22</v>
      </c>
      <c r="C2673" s="7" t="s">
        <v>1024</v>
      </c>
      <c r="D2673" t="str">
        <f t="shared" si="50"/>
        <v>NAM</v>
      </c>
    </row>
    <row r="2674" spans="1:4" ht="15.6" thickTop="1" thickBot="1">
      <c r="A2674" s="7"/>
      <c r="B2674" s="7" t="s">
        <v>23</v>
      </c>
      <c r="C2674" s="7" t="s">
        <v>1022</v>
      </c>
      <c r="D2674" t="str">
        <f t="shared" si="50"/>
        <v>NAM</v>
      </c>
    </row>
    <row r="2675" spans="1:4" ht="15.6" thickTop="1" thickBot="1">
      <c r="A2675" s="7"/>
      <c r="B2675" s="7" t="s">
        <v>24</v>
      </c>
      <c r="C2675" s="7">
        <v>1325</v>
      </c>
      <c r="D2675" t="str">
        <f t="shared" si="50"/>
        <v>NAM</v>
      </c>
    </row>
    <row r="2676" spans="1:4" ht="15.6" thickTop="1" thickBot="1">
      <c r="A2676" s="7"/>
      <c r="B2676" s="7" t="s">
        <v>18</v>
      </c>
      <c r="C2676" s="7" t="s">
        <v>1025</v>
      </c>
      <c r="D2676" t="str">
        <f t="shared" si="50"/>
        <v>NAM</v>
      </c>
    </row>
    <row r="2677" spans="1:4" ht="15.6" thickTop="1" thickBot="1">
      <c r="A2677" s="7"/>
      <c r="B2677" s="7" t="s">
        <v>19</v>
      </c>
      <c r="C2677" s="7" t="s">
        <v>1026</v>
      </c>
      <c r="D2677" t="str">
        <f t="shared" si="50"/>
        <v>NAM</v>
      </c>
    </row>
    <row r="2678" spans="1:4" ht="15.6" thickTop="1" thickBot="1">
      <c r="A2678" s="7"/>
      <c r="B2678" s="7" t="s">
        <v>21</v>
      </c>
      <c r="C2678" s="7" t="s">
        <v>1022</v>
      </c>
      <c r="D2678" t="str">
        <f t="shared" si="50"/>
        <v>NAM</v>
      </c>
    </row>
    <row r="2679" spans="1:4" ht="15.6" thickTop="1" thickBot="1">
      <c r="A2679" s="7"/>
      <c r="B2679" s="7" t="s">
        <v>16</v>
      </c>
      <c r="C2679" s="7" t="s">
        <v>1027</v>
      </c>
      <c r="D2679" t="str">
        <f t="shared" si="50"/>
        <v>NAM</v>
      </c>
    </row>
    <row r="2680" spans="1:4" ht="15.6" thickTop="1" thickBot="1">
      <c r="A2680" s="7"/>
      <c r="B2680" s="7" t="s">
        <v>17</v>
      </c>
      <c r="C2680" s="7" t="s">
        <v>1022</v>
      </c>
      <c r="D2680" t="str">
        <f t="shared" si="50"/>
        <v>NAM</v>
      </c>
    </row>
    <row r="2681" spans="1:4" ht="15.6" thickTop="1" thickBot="1">
      <c r="A2681" s="9" t="s">
        <v>1028</v>
      </c>
      <c r="B2681" s="10"/>
      <c r="C2681" s="11"/>
      <c r="D2681" t="str">
        <f t="shared" si="50"/>
        <v>NRU</v>
      </c>
    </row>
    <row r="2682" spans="1:4" ht="20.399999999999999" thickTop="1" thickBot="1">
      <c r="A2682" s="7"/>
      <c r="B2682" s="7" t="s">
        <v>28</v>
      </c>
      <c r="C2682" s="7" t="s">
        <v>1029</v>
      </c>
      <c r="D2682" t="str">
        <f t="shared" si="50"/>
        <v>NRU</v>
      </c>
    </row>
    <row r="2683" spans="1:4" ht="20.399999999999999" thickTop="1" thickBot="1">
      <c r="A2683" s="7"/>
      <c r="B2683" s="7" t="s">
        <v>30</v>
      </c>
      <c r="C2683" s="7" t="s">
        <v>1029</v>
      </c>
      <c r="D2683" t="str">
        <f t="shared" si="50"/>
        <v>NRU</v>
      </c>
    </row>
    <row r="2684" spans="1:4" ht="20.399999999999999" thickTop="1" thickBot="1">
      <c r="A2684" s="7"/>
      <c r="B2684" s="7" t="s">
        <v>32</v>
      </c>
      <c r="C2684" s="7" t="s">
        <v>33</v>
      </c>
      <c r="D2684" t="str">
        <f t="shared" si="50"/>
        <v>NRU</v>
      </c>
    </row>
    <row r="2685" spans="1:4" ht="20.399999999999999" thickTop="1" thickBot="1">
      <c r="A2685" s="7"/>
      <c r="B2685" s="7" t="s">
        <v>1</v>
      </c>
      <c r="C2685" s="7" t="s">
        <v>107</v>
      </c>
      <c r="D2685" t="str">
        <f t="shared" si="50"/>
        <v>NRU</v>
      </c>
    </row>
    <row r="2686" spans="1:4" ht="30" thickTop="1" thickBot="1">
      <c r="A2686" s="7"/>
      <c r="B2686" s="7" t="s">
        <v>3</v>
      </c>
      <c r="C2686" s="7" t="s">
        <v>36</v>
      </c>
      <c r="D2686" t="str">
        <f t="shared" si="50"/>
        <v>NRU</v>
      </c>
    </row>
    <row r="2687" spans="1:4" ht="20.399999999999999" thickTop="1" thickBot="1">
      <c r="A2687" s="7"/>
      <c r="B2687" s="7" t="s">
        <v>5</v>
      </c>
      <c r="C2687" s="7" t="s">
        <v>108</v>
      </c>
      <c r="D2687" t="str">
        <f t="shared" si="50"/>
        <v>NRU</v>
      </c>
    </row>
    <row r="2688" spans="1:4" ht="30" thickTop="1" thickBot="1">
      <c r="A2688" s="7"/>
      <c r="B2688" s="7" t="s">
        <v>7</v>
      </c>
      <c r="C2688" s="7" t="s">
        <v>38</v>
      </c>
      <c r="D2688" t="str">
        <f t="shared" si="50"/>
        <v>NRU</v>
      </c>
    </row>
    <row r="2689" spans="1:4" ht="15.6" thickTop="1" thickBot="1">
      <c r="A2689" s="7"/>
      <c r="B2689" s="7" t="s">
        <v>11</v>
      </c>
      <c r="C2689" s="7" t="s">
        <v>1030</v>
      </c>
      <c r="D2689" t="str">
        <f t="shared" si="50"/>
        <v>NRU</v>
      </c>
    </row>
    <row r="2690" spans="1:4" ht="15.6" thickTop="1" thickBot="1">
      <c r="A2690" s="7"/>
      <c r="B2690" s="7" t="s">
        <v>13</v>
      </c>
      <c r="C2690" s="7" t="s">
        <v>1031</v>
      </c>
      <c r="D2690" t="str">
        <f t="shared" ref="D2690:D2753" si="51">IF(ISNUMBER(FIND(":", A2690)), LEFT(A2690, FIND(":", A2690) - 1), D2689)</f>
        <v>NRU</v>
      </c>
    </row>
    <row r="2691" spans="1:4" ht="15.6" thickTop="1" thickBot="1">
      <c r="A2691" s="7"/>
      <c r="B2691" s="7" t="s">
        <v>15</v>
      </c>
      <c r="C2691" s="7" t="s">
        <v>1032</v>
      </c>
      <c r="D2691" t="str">
        <f t="shared" si="51"/>
        <v>NRU</v>
      </c>
    </row>
    <row r="2692" spans="1:4" ht="15.6" thickTop="1" thickBot="1">
      <c r="A2692" s="7"/>
      <c r="B2692" s="7" t="s">
        <v>16</v>
      </c>
      <c r="C2692" s="7" t="s">
        <v>1031</v>
      </c>
      <c r="D2692" t="str">
        <f t="shared" si="51"/>
        <v>NRU</v>
      </c>
    </row>
    <row r="2693" spans="1:4" ht="15.6" thickTop="1" thickBot="1">
      <c r="A2693" s="7"/>
      <c r="B2693" s="7" t="s">
        <v>17</v>
      </c>
      <c r="C2693" s="7" t="s">
        <v>1032</v>
      </c>
      <c r="D2693" t="str">
        <f t="shared" si="51"/>
        <v>NRU</v>
      </c>
    </row>
    <row r="2694" spans="1:4" ht="15.6" thickTop="1" thickBot="1">
      <c r="A2694" s="7"/>
      <c r="B2694" s="7" t="s">
        <v>18</v>
      </c>
      <c r="C2694" s="7" t="s">
        <v>1032</v>
      </c>
      <c r="D2694" t="str">
        <f t="shared" si="51"/>
        <v>NRU</v>
      </c>
    </row>
    <row r="2695" spans="1:4" ht="15.6" thickTop="1" thickBot="1">
      <c r="A2695" s="7"/>
      <c r="B2695" s="7" t="s">
        <v>19</v>
      </c>
      <c r="C2695" s="7" t="s">
        <v>1033</v>
      </c>
      <c r="D2695" t="str">
        <f t="shared" si="51"/>
        <v>NRU</v>
      </c>
    </row>
    <row r="2696" spans="1:4" ht="15.6" thickTop="1" thickBot="1">
      <c r="A2696" s="7"/>
      <c r="B2696" s="7" t="s">
        <v>21</v>
      </c>
      <c r="C2696" s="7" t="s">
        <v>1032</v>
      </c>
      <c r="D2696" t="str">
        <f t="shared" si="51"/>
        <v>NRU</v>
      </c>
    </row>
    <row r="2697" spans="1:4" ht="15.6" thickTop="1" thickBot="1">
      <c r="A2697" s="7"/>
      <c r="B2697" s="7" t="s">
        <v>22</v>
      </c>
      <c r="C2697" s="7" t="s">
        <v>1034</v>
      </c>
      <c r="D2697" t="str">
        <f t="shared" si="51"/>
        <v>NRU</v>
      </c>
    </row>
    <row r="2698" spans="1:4" ht="15.6" thickTop="1" thickBot="1">
      <c r="A2698" s="7"/>
      <c r="B2698" s="7" t="s">
        <v>23</v>
      </c>
      <c r="C2698" s="7" t="s">
        <v>1032</v>
      </c>
      <c r="D2698" t="str">
        <f t="shared" si="51"/>
        <v>NRU</v>
      </c>
    </row>
    <row r="2699" spans="1:4" ht="15.6" thickTop="1" thickBot="1">
      <c r="A2699" s="7"/>
      <c r="B2699" s="7" t="s">
        <v>24</v>
      </c>
      <c r="C2699" s="7">
        <v>5110</v>
      </c>
      <c r="D2699" t="str">
        <f t="shared" si="51"/>
        <v>NRU</v>
      </c>
    </row>
    <row r="2700" spans="1:4" ht="49.2" thickTop="1" thickBot="1">
      <c r="A2700" s="7"/>
      <c r="B2700" s="7" t="s">
        <v>9</v>
      </c>
      <c r="C2700" s="7">
        <v>2017</v>
      </c>
      <c r="D2700" t="str">
        <f t="shared" si="51"/>
        <v>NRU</v>
      </c>
    </row>
    <row r="2701" spans="1:4" ht="39.6" thickTop="1" thickBot="1">
      <c r="A2701" s="7"/>
      <c r="B2701" s="7" t="s">
        <v>10</v>
      </c>
      <c r="C2701" s="7">
        <v>2018</v>
      </c>
      <c r="D2701" t="str">
        <f t="shared" si="51"/>
        <v>NRU</v>
      </c>
    </row>
    <row r="2702" spans="1:4" ht="15.6" thickTop="1" thickBot="1">
      <c r="A2702" s="9" t="s">
        <v>1035</v>
      </c>
      <c r="B2702" s="10"/>
      <c r="C2702" s="11"/>
      <c r="D2702" t="str">
        <f t="shared" si="51"/>
        <v>NPL</v>
      </c>
    </row>
    <row r="2703" spans="1:4" ht="49.2" thickTop="1" thickBot="1">
      <c r="A2703" s="7"/>
      <c r="B2703" s="7" t="s">
        <v>9</v>
      </c>
      <c r="C2703" s="7">
        <v>2017</v>
      </c>
      <c r="D2703" t="str">
        <f t="shared" si="51"/>
        <v>NPL</v>
      </c>
    </row>
    <row r="2704" spans="1:4" ht="39.6" thickTop="1" thickBot="1">
      <c r="A2704" s="7"/>
      <c r="B2704" s="7" t="s">
        <v>10</v>
      </c>
      <c r="C2704" s="7">
        <v>2018</v>
      </c>
      <c r="D2704" t="str">
        <f t="shared" si="51"/>
        <v>NPL</v>
      </c>
    </row>
    <row r="2705" spans="1:4" ht="30" thickTop="1" thickBot="1">
      <c r="A2705" s="7"/>
      <c r="B2705" s="7" t="s">
        <v>25</v>
      </c>
      <c r="C2705" s="8">
        <v>143350</v>
      </c>
      <c r="D2705" t="str">
        <f t="shared" si="51"/>
        <v>NPL</v>
      </c>
    </row>
    <row r="2706" spans="1:4" ht="39.6" thickTop="1" thickBot="1">
      <c r="A2706" s="7"/>
      <c r="B2706" s="7" t="s">
        <v>26</v>
      </c>
      <c r="C2706" s="7" t="s">
        <v>1036</v>
      </c>
      <c r="D2706" t="str">
        <f t="shared" si="51"/>
        <v>NPL</v>
      </c>
    </row>
    <row r="2707" spans="1:4" ht="20.399999999999999" thickTop="1" thickBot="1">
      <c r="A2707" s="7"/>
      <c r="B2707" s="7" t="s">
        <v>28</v>
      </c>
      <c r="C2707" s="7" t="s">
        <v>1037</v>
      </c>
      <c r="D2707" t="str">
        <f t="shared" si="51"/>
        <v>NPL</v>
      </c>
    </row>
    <row r="2708" spans="1:4" ht="20.399999999999999" thickTop="1" thickBot="1">
      <c r="A2708" s="7"/>
      <c r="B2708" s="7" t="s">
        <v>30</v>
      </c>
      <c r="C2708" s="7" t="s">
        <v>1038</v>
      </c>
      <c r="D2708" t="str">
        <f t="shared" si="51"/>
        <v>NPL</v>
      </c>
    </row>
    <row r="2709" spans="1:4" ht="20.399999999999999" thickTop="1" thickBot="1">
      <c r="A2709" s="7"/>
      <c r="B2709" s="7" t="s">
        <v>32</v>
      </c>
      <c r="C2709" s="7" t="s">
        <v>33</v>
      </c>
      <c r="D2709" t="str">
        <f t="shared" si="51"/>
        <v>NPL</v>
      </c>
    </row>
    <row r="2710" spans="1:4" ht="15.6" thickTop="1" thickBot="1">
      <c r="A2710" s="7"/>
      <c r="B2710" s="7" t="s">
        <v>11</v>
      </c>
      <c r="C2710" s="7" t="s">
        <v>1039</v>
      </c>
      <c r="D2710" t="str">
        <f t="shared" si="51"/>
        <v>NPL</v>
      </c>
    </row>
    <row r="2711" spans="1:4" ht="15.6" thickTop="1" thickBot="1">
      <c r="A2711" s="7"/>
      <c r="B2711" s="7" t="s">
        <v>13</v>
      </c>
      <c r="C2711" s="7" t="s">
        <v>1040</v>
      </c>
      <c r="D2711" t="str">
        <f t="shared" si="51"/>
        <v>NPL</v>
      </c>
    </row>
    <row r="2712" spans="1:4" ht="15.6" thickTop="1" thickBot="1">
      <c r="A2712" s="7"/>
      <c r="B2712" s="7" t="s">
        <v>15</v>
      </c>
      <c r="C2712" s="7" t="s">
        <v>1039</v>
      </c>
      <c r="D2712" t="str">
        <f t="shared" si="51"/>
        <v>NPL</v>
      </c>
    </row>
    <row r="2713" spans="1:4" ht="15.6" thickTop="1" thickBot="1">
      <c r="A2713" s="7"/>
      <c r="B2713" s="7" t="s">
        <v>22</v>
      </c>
      <c r="C2713" s="7" t="s">
        <v>1040</v>
      </c>
      <c r="D2713" t="str">
        <f t="shared" si="51"/>
        <v>NPL</v>
      </c>
    </row>
    <row r="2714" spans="1:4" ht="15.6" thickTop="1" thickBot="1">
      <c r="A2714" s="7"/>
      <c r="B2714" s="7" t="s">
        <v>23</v>
      </c>
      <c r="C2714" s="7" t="s">
        <v>1041</v>
      </c>
      <c r="D2714" t="str">
        <f t="shared" si="51"/>
        <v>NPL</v>
      </c>
    </row>
    <row r="2715" spans="1:4" ht="15.6" thickTop="1" thickBot="1">
      <c r="A2715" s="7"/>
      <c r="B2715" s="7" t="s">
        <v>24</v>
      </c>
      <c r="C2715" s="7">
        <v>3280</v>
      </c>
      <c r="D2715" t="str">
        <f t="shared" si="51"/>
        <v>NPL</v>
      </c>
    </row>
    <row r="2716" spans="1:4" ht="15.6" thickTop="1" thickBot="1">
      <c r="A2716" s="7"/>
      <c r="B2716" s="7" t="s">
        <v>18</v>
      </c>
      <c r="C2716" s="7" t="s">
        <v>1041</v>
      </c>
      <c r="D2716" t="str">
        <f t="shared" si="51"/>
        <v>NPL</v>
      </c>
    </row>
    <row r="2717" spans="1:4" ht="15.6" thickTop="1" thickBot="1">
      <c r="A2717" s="7"/>
      <c r="B2717" s="7" t="s">
        <v>19</v>
      </c>
      <c r="C2717" s="7" t="s">
        <v>1042</v>
      </c>
      <c r="D2717" t="str">
        <f t="shared" si="51"/>
        <v>NPL</v>
      </c>
    </row>
    <row r="2718" spans="1:4" ht="15.6" thickTop="1" thickBot="1">
      <c r="A2718" s="7"/>
      <c r="B2718" s="7" t="s">
        <v>21</v>
      </c>
      <c r="C2718" s="7" t="s">
        <v>1039</v>
      </c>
      <c r="D2718" t="str">
        <f t="shared" si="51"/>
        <v>NPL</v>
      </c>
    </row>
    <row r="2719" spans="1:4" ht="15.6" thickTop="1" thickBot="1">
      <c r="A2719" s="7"/>
      <c r="B2719" s="7" t="s">
        <v>16</v>
      </c>
      <c r="C2719" s="7" t="s">
        <v>1040</v>
      </c>
      <c r="D2719" t="str">
        <f t="shared" si="51"/>
        <v>NPL</v>
      </c>
    </row>
    <row r="2720" spans="1:4" ht="15.6" thickTop="1" thickBot="1">
      <c r="A2720" s="7"/>
      <c r="B2720" s="7" t="s">
        <v>17</v>
      </c>
      <c r="C2720" s="7" t="s">
        <v>1041</v>
      </c>
      <c r="D2720" t="str">
        <f t="shared" si="51"/>
        <v>NPL</v>
      </c>
    </row>
    <row r="2721" spans="1:4" ht="20.399999999999999" thickTop="1" thickBot="1">
      <c r="A2721" s="7"/>
      <c r="B2721" s="7" t="s">
        <v>1</v>
      </c>
      <c r="C2721" s="7" t="s">
        <v>152</v>
      </c>
      <c r="D2721" t="str">
        <f t="shared" si="51"/>
        <v>NPL</v>
      </c>
    </row>
    <row r="2722" spans="1:4" ht="30" thickTop="1" thickBot="1">
      <c r="A2722" s="7"/>
      <c r="B2722" s="7" t="s">
        <v>3</v>
      </c>
      <c r="C2722" s="7" t="s">
        <v>4</v>
      </c>
      <c r="D2722" t="str">
        <f t="shared" si="51"/>
        <v>NPL</v>
      </c>
    </row>
    <row r="2723" spans="1:4" ht="20.399999999999999" thickTop="1" thickBot="1">
      <c r="A2723" s="7"/>
      <c r="B2723" s="7" t="s">
        <v>5</v>
      </c>
      <c r="C2723" s="7" t="s">
        <v>153</v>
      </c>
      <c r="D2723" t="str">
        <f t="shared" si="51"/>
        <v>NPL</v>
      </c>
    </row>
    <row r="2724" spans="1:4" ht="30" thickTop="1" thickBot="1">
      <c r="A2724" s="7"/>
      <c r="B2724" s="7" t="s">
        <v>7</v>
      </c>
      <c r="C2724" s="7" t="s">
        <v>8</v>
      </c>
      <c r="D2724" t="str">
        <f t="shared" si="51"/>
        <v>NPL</v>
      </c>
    </row>
    <row r="2725" spans="1:4" ht="39.6" thickTop="1" thickBot="1">
      <c r="A2725" s="9" t="s">
        <v>1043</v>
      </c>
      <c r="B2725" s="10"/>
      <c r="C2725" s="11"/>
      <c r="D2725" t="str">
        <f t="shared" si="51"/>
        <v>NLD</v>
      </c>
    </row>
    <row r="2726" spans="1:4" ht="49.2" thickTop="1" thickBot="1">
      <c r="A2726" s="7"/>
      <c r="B2726" s="7" t="s">
        <v>9</v>
      </c>
      <c r="C2726" s="7">
        <v>2017</v>
      </c>
      <c r="D2726" t="str">
        <f t="shared" si="51"/>
        <v>NLD</v>
      </c>
    </row>
    <row r="2727" spans="1:4" ht="39.6" thickTop="1" thickBot="1">
      <c r="A2727" s="7"/>
      <c r="B2727" s="7" t="s">
        <v>10</v>
      </c>
      <c r="C2727" s="7">
        <v>2018</v>
      </c>
      <c r="D2727" t="str">
        <f t="shared" si="51"/>
        <v>NLD</v>
      </c>
    </row>
    <row r="2728" spans="1:4" ht="30" thickTop="1" thickBot="1">
      <c r="A2728" s="7"/>
      <c r="B2728" s="7" t="s">
        <v>25</v>
      </c>
      <c r="C2728" s="8">
        <v>33760</v>
      </c>
      <c r="D2728" t="str">
        <f t="shared" si="51"/>
        <v>NLD</v>
      </c>
    </row>
    <row r="2729" spans="1:4" ht="20.399999999999999" thickTop="1" thickBot="1">
      <c r="A2729" s="7"/>
      <c r="B2729" s="7" t="s">
        <v>26</v>
      </c>
      <c r="C2729" s="7" t="s">
        <v>1044</v>
      </c>
      <c r="D2729" t="str">
        <f t="shared" si="51"/>
        <v>NLD</v>
      </c>
    </row>
    <row r="2730" spans="1:4" ht="20.399999999999999" thickTop="1" thickBot="1">
      <c r="A2730" s="7"/>
      <c r="B2730" s="7" t="s">
        <v>28</v>
      </c>
      <c r="C2730" s="7" t="s">
        <v>1045</v>
      </c>
      <c r="D2730" t="str">
        <f t="shared" si="51"/>
        <v>NLD</v>
      </c>
    </row>
    <row r="2731" spans="1:4" ht="20.399999999999999" thickTop="1" thickBot="1">
      <c r="A2731" s="7"/>
      <c r="B2731" s="7" t="s">
        <v>30</v>
      </c>
      <c r="C2731" s="7" t="s">
        <v>1046</v>
      </c>
      <c r="D2731" t="str">
        <f t="shared" si="51"/>
        <v>NLD</v>
      </c>
    </row>
    <row r="2732" spans="1:4" ht="20.399999999999999" thickTop="1" thickBot="1">
      <c r="A2732" s="7"/>
      <c r="B2732" s="7" t="s">
        <v>32</v>
      </c>
      <c r="C2732" s="7" t="s">
        <v>33</v>
      </c>
      <c r="D2732" t="str">
        <f t="shared" si="51"/>
        <v>NLD</v>
      </c>
    </row>
    <row r="2733" spans="1:4" ht="15.6" thickTop="1" thickBot="1">
      <c r="A2733" s="7"/>
      <c r="B2733" s="7" t="s">
        <v>11</v>
      </c>
      <c r="C2733" s="7" t="s">
        <v>1047</v>
      </c>
      <c r="D2733" t="str">
        <f t="shared" si="51"/>
        <v>NLD</v>
      </c>
    </row>
    <row r="2734" spans="1:4" ht="15.6" thickTop="1" thickBot="1">
      <c r="A2734" s="7"/>
      <c r="B2734" s="7" t="s">
        <v>13</v>
      </c>
      <c r="C2734" s="7" t="s">
        <v>1047</v>
      </c>
      <c r="D2734" t="str">
        <f t="shared" si="51"/>
        <v>NLD</v>
      </c>
    </row>
    <row r="2735" spans="1:4" ht="15.6" thickTop="1" thickBot="1">
      <c r="A2735" s="7"/>
      <c r="B2735" s="7" t="s">
        <v>15</v>
      </c>
      <c r="C2735" s="7" t="s">
        <v>1048</v>
      </c>
      <c r="D2735" t="str">
        <f t="shared" si="51"/>
        <v>NLD</v>
      </c>
    </row>
    <row r="2736" spans="1:4" ht="15.6" thickTop="1" thickBot="1">
      <c r="A2736" s="7"/>
      <c r="B2736" s="7" t="s">
        <v>16</v>
      </c>
      <c r="C2736" s="7" t="s">
        <v>1047</v>
      </c>
      <c r="D2736" t="str">
        <f t="shared" si="51"/>
        <v>NLD</v>
      </c>
    </row>
    <row r="2737" spans="1:4" ht="15.6" thickTop="1" thickBot="1">
      <c r="A2737" s="7"/>
      <c r="B2737" s="7" t="s">
        <v>17</v>
      </c>
      <c r="C2737" s="7" t="s">
        <v>1049</v>
      </c>
      <c r="D2737" t="str">
        <f t="shared" si="51"/>
        <v>NLD</v>
      </c>
    </row>
    <row r="2738" spans="1:4" ht="15.6" thickTop="1" thickBot="1">
      <c r="A2738" s="7"/>
      <c r="B2738" s="7" t="s">
        <v>18</v>
      </c>
      <c r="C2738" s="7" t="s">
        <v>1050</v>
      </c>
      <c r="D2738" t="str">
        <f t="shared" si="51"/>
        <v>NLD</v>
      </c>
    </row>
    <row r="2739" spans="1:4" ht="15.6" thickTop="1" thickBot="1">
      <c r="A2739" s="7"/>
      <c r="B2739" s="7" t="s">
        <v>19</v>
      </c>
      <c r="C2739" s="7" t="s">
        <v>1051</v>
      </c>
      <c r="D2739" t="str">
        <f t="shared" si="51"/>
        <v>NLD</v>
      </c>
    </row>
    <row r="2740" spans="1:4" ht="15.6" thickTop="1" thickBot="1">
      <c r="A2740" s="7"/>
      <c r="B2740" s="7" t="s">
        <v>21</v>
      </c>
      <c r="C2740" s="7" t="s">
        <v>1052</v>
      </c>
      <c r="D2740" t="str">
        <f t="shared" si="51"/>
        <v>NLD</v>
      </c>
    </row>
    <row r="2741" spans="1:4" ht="15.6" thickTop="1" thickBot="1">
      <c r="A2741" s="7"/>
      <c r="B2741" s="7" t="s">
        <v>22</v>
      </c>
      <c r="C2741" s="7" t="s">
        <v>1047</v>
      </c>
      <c r="D2741" t="str">
        <f t="shared" si="51"/>
        <v>NLD</v>
      </c>
    </row>
    <row r="2742" spans="1:4" ht="15.6" thickTop="1" thickBot="1">
      <c r="A2742" s="7"/>
      <c r="B2742" s="7" t="s">
        <v>23</v>
      </c>
      <c r="C2742" s="7" t="s">
        <v>1049</v>
      </c>
      <c r="D2742" t="str">
        <f t="shared" si="51"/>
        <v>NLD</v>
      </c>
    </row>
    <row r="2743" spans="1:4" ht="15.6" thickTop="1" thickBot="1">
      <c r="A2743" s="7"/>
      <c r="B2743" s="7" t="s">
        <v>24</v>
      </c>
      <c r="C2743" s="7">
        <v>4210</v>
      </c>
      <c r="D2743" t="str">
        <f t="shared" si="51"/>
        <v>NLD</v>
      </c>
    </row>
    <row r="2744" spans="1:4" ht="20.399999999999999" thickTop="1" thickBot="1">
      <c r="A2744" s="7"/>
      <c r="B2744" s="7" t="s">
        <v>1</v>
      </c>
      <c r="C2744" s="7" t="s">
        <v>35</v>
      </c>
      <c r="D2744" t="str">
        <f t="shared" si="51"/>
        <v>NLD</v>
      </c>
    </row>
    <row r="2745" spans="1:4" ht="30" thickTop="1" thickBot="1">
      <c r="A2745" s="7"/>
      <c r="B2745" s="7" t="s">
        <v>3</v>
      </c>
      <c r="C2745" s="7" t="s">
        <v>59</v>
      </c>
      <c r="D2745" t="str">
        <f t="shared" si="51"/>
        <v>NLD</v>
      </c>
    </row>
    <row r="2746" spans="1:4" ht="20.399999999999999" thickTop="1" thickBot="1">
      <c r="A2746" s="7"/>
      <c r="B2746" s="7" t="s">
        <v>5</v>
      </c>
      <c r="C2746" s="7" t="s">
        <v>37</v>
      </c>
      <c r="D2746" t="str">
        <f t="shared" si="51"/>
        <v>NLD</v>
      </c>
    </row>
    <row r="2747" spans="1:4" ht="30" thickTop="1" thickBot="1">
      <c r="A2747" s="7"/>
      <c r="B2747" s="7" t="s">
        <v>7</v>
      </c>
      <c r="C2747" s="7" t="s">
        <v>60</v>
      </c>
      <c r="D2747" t="str">
        <f t="shared" si="51"/>
        <v>NLD</v>
      </c>
    </row>
    <row r="2748" spans="1:4" ht="20.399999999999999" thickTop="1" thickBot="1">
      <c r="A2748" s="9" t="s">
        <v>1053</v>
      </c>
      <c r="B2748" s="10"/>
      <c r="C2748" s="11"/>
      <c r="D2748" t="str">
        <f t="shared" si="51"/>
        <v>NZL</v>
      </c>
    </row>
    <row r="2749" spans="1:4" ht="49.2" thickTop="1" thickBot="1">
      <c r="A2749" s="7"/>
      <c r="B2749" s="7" t="s">
        <v>9</v>
      </c>
      <c r="C2749" s="7">
        <v>2017</v>
      </c>
      <c r="D2749" t="str">
        <f t="shared" si="51"/>
        <v>NZL</v>
      </c>
    </row>
    <row r="2750" spans="1:4" ht="39.6" thickTop="1" thickBot="1">
      <c r="A2750" s="7"/>
      <c r="B2750" s="7" t="s">
        <v>10</v>
      </c>
      <c r="C2750" s="7">
        <v>2018</v>
      </c>
      <c r="D2750" t="str">
        <f t="shared" si="51"/>
        <v>NZL</v>
      </c>
    </row>
    <row r="2751" spans="1:4" ht="30" thickTop="1" thickBot="1">
      <c r="A2751" s="7"/>
      <c r="B2751" s="7" t="s">
        <v>25</v>
      </c>
      <c r="C2751" s="8">
        <v>263310</v>
      </c>
      <c r="D2751" t="str">
        <f t="shared" si="51"/>
        <v>NZL</v>
      </c>
    </row>
    <row r="2752" spans="1:4" ht="20.399999999999999" thickTop="1" thickBot="1">
      <c r="A2752" s="7"/>
      <c r="B2752" s="7" t="s">
        <v>26</v>
      </c>
      <c r="C2752" s="7" t="s">
        <v>1054</v>
      </c>
      <c r="D2752" t="str">
        <f t="shared" si="51"/>
        <v>NZL</v>
      </c>
    </row>
    <row r="2753" spans="1:4" ht="20.399999999999999" thickTop="1" thickBot="1">
      <c r="A2753" s="7"/>
      <c r="B2753" s="7" t="s">
        <v>28</v>
      </c>
      <c r="C2753" s="7" t="s">
        <v>1055</v>
      </c>
      <c r="D2753" t="str">
        <f t="shared" si="51"/>
        <v>NZL</v>
      </c>
    </row>
    <row r="2754" spans="1:4" ht="20.399999999999999" thickTop="1" thickBot="1">
      <c r="A2754" s="7"/>
      <c r="B2754" s="7" t="s">
        <v>30</v>
      </c>
      <c r="C2754" s="7" t="s">
        <v>1056</v>
      </c>
      <c r="D2754" t="str">
        <f t="shared" ref="D2754:D2817" si="52">IF(ISNUMBER(FIND(":", A2754)), LEFT(A2754, FIND(":", A2754) - 1), D2753)</f>
        <v>NZL</v>
      </c>
    </row>
    <row r="2755" spans="1:4" ht="20.399999999999999" thickTop="1" thickBot="1">
      <c r="A2755" s="7"/>
      <c r="B2755" s="7" t="s">
        <v>32</v>
      </c>
      <c r="C2755" s="7" t="s">
        <v>33</v>
      </c>
      <c r="D2755" t="str">
        <f t="shared" si="52"/>
        <v>NZL</v>
      </c>
    </row>
    <row r="2756" spans="1:4" ht="15.6" thickTop="1" thickBot="1">
      <c r="A2756" s="7"/>
      <c r="B2756" s="7" t="s">
        <v>11</v>
      </c>
      <c r="C2756" s="7" t="s">
        <v>370</v>
      </c>
      <c r="D2756" t="str">
        <f t="shared" si="52"/>
        <v>NZL</v>
      </c>
    </row>
    <row r="2757" spans="1:4" ht="15.6" thickTop="1" thickBot="1">
      <c r="A2757" s="7"/>
      <c r="B2757" s="7" t="s">
        <v>13</v>
      </c>
      <c r="C2757" s="7" t="s">
        <v>370</v>
      </c>
      <c r="D2757" t="str">
        <f t="shared" si="52"/>
        <v>NZL</v>
      </c>
    </row>
    <row r="2758" spans="1:4" ht="15.6" thickTop="1" thickBot="1">
      <c r="A2758" s="7"/>
      <c r="B2758" s="7" t="s">
        <v>15</v>
      </c>
      <c r="C2758" s="7" t="s">
        <v>1057</v>
      </c>
      <c r="D2758" t="str">
        <f t="shared" si="52"/>
        <v>NZL</v>
      </c>
    </row>
    <row r="2759" spans="1:4" ht="15.6" thickTop="1" thickBot="1">
      <c r="A2759" s="7"/>
      <c r="B2759" s="7" t="s">
        <v>22</v>
      </c>
      <c r="C2759" s="7" t="s">
        <v>370</v>
      </c>
      <c r="D2759" t="str">
        <f t="shared" si="52"/>
        <v>NZL</v>
      </c>
    </row>
    <row r="2760" spans="1:4" ht="15.6" thickTop="1" thickBot="1">
      <c r="A2760" s="7"/>
      <c r="B2760" s="7" t="s">
        <v>23</v>
      </c>
      <c r="C2760" s="7" t="s">
        <v>1057</v>
      </c>
      <c r="D2760" t="str">
        <f t="shared" si="52"/>
        <v>NZL</v>
      </c>
    </row>
    <row r="2761" spans="1:4" ht="15.6" thickTop="1" thickBot="1">
      <c r="A2761" s="7"/>
      <c r="B2761" s="7" t="s">
        <v>24</v>
      </c>
      <c r="C2761" s="7">
        <v>5150</v>
      </c>
      <c r="D2761" t="str">
        <f t="shared" si="52"/>
        <v>NZL</v>
      </c>
    </row>
    <row r="2762" spans="1:4" ht="15.6" thickTop="1" thickBot="1">
      <c r="A2762" s="7"/>
      <c r="B2762" s="7" t="s">
        <v>18</v>
      </c>
      <c r="C2762" s="7" t="s">
        <v>1057</v>
      </c>
      <c r="D2762" t="str">
        <f t="shared" si="52"/>
        <v>NZL</v>
      </c>
    </row>
    <row r="2763" spans="1:4" ht="15.6" thickTop="1" thickBot="1">
      <c r="A2763" s="7"/>
      <c r="B2763" s="7" t="s">
        <v>19</v>
      </c>
      <c r="C2763" s="7" t="s">
        <v>1058</v>
      </c>
      <c r="D2763" t="str">
        <f t="shared" si="52"/>
        <v>NZL</v>
      </c>
    </row>
    <row r="2764" spans="1:4" ht="15.6" thickTop="1" thickBot="1">
      <c r="A2764" s="7"/>
      <c r="B2764" s="7" t="s">
        <v>21</v>
      </c>
      <c r="C2764" s="7" t="s">
        <v>1059</v>
      </c>
      <c r="D2764" t="str">
        <f t="shared" si="52"/>
        <v>NZL</v>
      </c>
    </row>
    <row r="2765" spans="1:4" ht="15.6" thickTop="1" thickBot="1">
      <c r="A2765" s="7"/>
      <c r="B2765" s="7" t="s">
        <v>16</v>
      </c>
      <c r="C2765" s="7" t="s">
        <v>370</v>
      </c>
      <c r="D2765" t="str">
        <f t="shared" si="52"/>
        <v>NZL</v>
      </c>
    </row>
    <row r="2766" spans="1:4" ht="15.6" thickTop="1" thickBot="1">
      <c r="A2766" s="7"/>
      <c r="B2766" s="7" t="s">
        <v>17</v>
      </c>
      <c r="C2766" s="7" t="s">
        <v>1057</v>
      </c>
      <c r="D2766" t="str">
        <f t="shared" si="52"/>
        <v>NZL</v>
      </c>
    </row>
    <row r="2767" spans="1:4" ht="20.399999999999999" thickTop="1" thickBot="1">
      <c r="A2767" s="7"/>
      <c r="B2767" s="7" t="s">
        <v>1</v>
      </c>
      <c r="C2767" s="7" t="s">
        <v>107</v>
      </c>
      <c r="D2767" t="str">
        <f t="shared" si="52"/>
        <v>NZL</v>
      </c>
    </row>
    <row r="2768" spans="1:4" ht="30" thickTop="1" thickBot="1">
      <c r="A2768" s="7"/>
      <c r="B2768" s="7" t="s">
        <v>3</v>
      </c>
      <c r="C2768" s="7" t="s">
        <v>59</v>
      </c>
      <c r="D2768" t="str">
        <f t="shared" si="52"/>
        <v>NZL</v>
      </c>
    </row>
    <row r="2769" spans="1:4" ht="20.399999999999999" thickTop="1" thickBot="1">
      <c r="A2769" s="7"/>
      <c r="B2769" s="7" t="s">
        <v>5</v>
      </c>
      <c r="C2769" s="7" t="s">
        <v>108</v>
      </c>
      <c r="D2769" t="str">
        <f t="shared" si="52"/>
        <v>NZL</v>
      </c>
    </row>
    <row r="2770" spans="1:4" ht="30" thickTop="1" thickBot="1">
      <c r="A2770" s="7"/>
      <c r="B2770" s="7" t="s">
        <v>7</v>
      </c>
      <c r="C2770" s="7" t="s">
        <v>60</v>
      </c>
      <c r="D2770" t="str">
        <f t="shared" si="52"/>
        <v>NZL</v>
      </c>
    </row>
    <row r="2771" spans="1:4" ht="20.399999999999999" thickTop="1" thickBot="1">
      <c r="A2771" s="9" t="s">
        <v>1060</v>
      </c>
      <c r="B2771" s="10"/>
      <c r="C2771" s="11"/>
      <c r="D2771" t="str">
        <f t="shared" si="52"/>
        <v>NIC</v>
      </c>
    </row>
    <row r="2772" spans="1:4" ht="49.2" thickTop="1" thickBot="1">
      <c r="A2772" s="7"/>
      <c r="B2772" s="7" t="s">
        <v>9</v>
      </c>
      <c r="C2772" s="7">
        <v>2017</v>
      </c>
      <c r="D2772" t="str">
        <f t="shared" si="52"/>
        <v>NIC</v>
      </c>
    </row>
    <row r="2773" spans="1:4" ht="39.6" thickTop="1" thickBot="1">
      <c r="A2773" s="7"/>
      <c r="B2773" s="7" t="s">
        <v>10</v>
      </c>
      <c r="C2773" s="7">
        <v>2018</v>
      </c>
      <c r="D2773" t="str">
        <f t="shared" si="52"/>
        <v>NIC</v>
      </c>
    </row>
    <row r="2774" spans="1:4" ht="30" thickTop="1" thickBot="1">
      <c r="A2774" s="7"/>
      <c r="B2774" s="7" t="s">
        <v>25</v>
      </c>
      <c r="C2774" s="8">
        <v>120340</v>
      </c>
      <c r="D2774" t="str">
        <f t="shared" si="52"/>
        <v>NIC</v>
      </c>
    </row>
    <row r="2775" spans="1:4" ht="20.399999999999999" thickTop="1" thickBot="1">
      <c r="A2775" s="7"/>
      <c r="B2775" s="7" t="s">
        <v>26</v>
      </c>
      <c r="C2775" s="7" t="s">
        <v>90</v>
      </c>
      <c r="D2775" t="str">
        <f t="shared" si="52"/>
        <v>NIC</v>
      </c>
    </row>
    <row r="2776" spans="1:4" ht="20.399999999999999" thickTop="1" thickBot="1">
      <c r="A2776" s="7"/>
      <c r="B2776" s="7" t="s">
        <v>28</v>
      </c>
      <c r="C2776" s="7" t="s">
        <v>1061</v>
      </c>
      <c r="D2776" t="str">
        <f t="shared" si="52"/>
        <v>NIC</v>
      </c>
    </row>
    <row r="2777" spans="1:4" ht="20.399999999999999" thickTop="1" thickBot="1">
      <c r="A2777" s="7"/>
      <c r="B2777" s="7" t="s">
        <v>30</v>
      </c>
      <c r="C2777" s="7" t="s">
        <v>1061</v>
      </c>
      <c r="D2777" t="str">
        <f t="shared" si="52"/>
        <v>NIC</v>
      </c>
    </row>
    <row r="2778" spans="1:4" ht="20.399999999999999" thickTop="1" thickBot="1">
      <c r="A2778" s="7"/>
      <c r="B2778" s="7" t="s">
        <v>32</v>
      </c>
      <c r="C2778" s="7" t="s">
        <v>33</v>
      </c>
      <c r="D2778" t="str">
        <f t="shared" si="52"/>
        <v>NIC</v>
      </c>
    </row>
    <row r="2779" spans="1:4" ht="15.6" thickTop="1" thickBot="1">
      <c r="A2779" s="7"/>
      <c r="B2779" s="7" t="s">
        <v>11</v>
      </c>
      <c r="C2779" s="7" t="s">
        <v>1062</v>
      </c>
      <c r="D2779" t="str">
        <f t="shared" si="52"/>
        <v>NIC</v>
      </c>
    </row>
    <row r="2780" spans="1:4" ht="15.6" thickTop="1" thickBot="1">
      <c r="A2780" s="7"/>
      <c r="B2780" s="7" t="s">
        <v>13</v>
      </c>
      <c r="C2780" s="7" t="s">
        <v>1063</v>
      </c>
      <c r="D2780" t="str">
        <f t="shared" si="52"/>
        <v>NIC</v>
      </c>
    </row>
    <row r="2781" spans="1:4" ht="15.6" thickTop="1" thickBot="1">
      <c r="A2781" s="7"/>
      <c r="B2781" s="7" t="s">
        <v>15</v>
      </c>
      <c r="C2781" s="7" t="s">
        <v>1064</v>
      </c>
      <c r="D2781" t="str">
        <f t="shared" si="52"/>
        <v>NIC</v>
      </c>
    </row>
    <row r="2782" spans="1:4" ht="15.6" thickTop="1" thickBot="1">
      <c r="A2782" s="7"/>
      <c r="B2782" s="7" t="s">
        <v>22</v>
      </c>
      <c r="C2782" s="7" t="s">
        <v>1065</v>
      </c>
      <c r="D2782" t="str">
        <f t="shared" si="52"/>
        <v>NIC</v>
      </c>
    </row>
    <row r="2783" spans="1:4" ht="15.6" thickTop="1" thickBot="1">
      <c r="A2783" s="7"/>
      <c r="B2783" s="7" t="s">
        <v>23</v>
      </c>
      <c r="C2783" s="7" t="s">
        <v>1062</v>
      </c>
      <c r="D2783" t="str">
        <f t="shared" si="52"/>
        <v>NIC</v>
      </c>
    </row>
    <row r="2784" spans="1:4" ht="15.6" thickTop="1" thickBot="1">
      <c r="A2784" s="7"/>
      <c r="B2784" s="7" t="s">
        <v>24</v>
      </c>
      <c r="C2784" s="7">
        <v>2340</v>
      </c>
      <c r="D2784" t="str">
        <f t="shared" si="52"/>
        <v>NIC</v>
      </c>
    </row>
    <row r="2785" spans="1:4" ht="15.6" thickTop="1" thickBot="1">
      <c r="A2785" s="7"/>
      <c r="B2785" s="7" t="s">
        <v>18</v>
      </c>
      <c r="C2785" s="7" t="s">
        <v>1066</v>
      </c>
      <c r="D2785" t="str">
        <f t="shared" si="52"/>
        <v>NIC</v>
      </c>
    </row>
    <row r="2786" spans="1:4" ht="15.6" thickTop="1" thickBot="1">
      <c r="A2786" s="7"/>
      <c r="B2786" s="7" t="s">
        <v>19</v>
      </c>
      <c r="C2786" s="7" t="s">
        <v>1067</v>
      </c>
      <c r="D2786" t="str">
        <f t="shared" si="52"/>
        <v>NIC</v>
      </c>
    </row>
    <row r="2787" spans="1:4" ht="15.6" thickTop="1" thickBot="1">
      <c r="A2787" s="7"/>
      <c r="B2787" s="7" t="s">
        <v>21</v>
      </c>
      <c r="C2787" s="7" t="s">
        <v>1062</v>
      </c>
      <c r="D2787" t="str">
        <f t="shared" si="52"/>
        <v>NIC</v>
      </c>
    </row>
    <row r="2788" spans="1:4" ht="15.6" thickTop="1" thickBot="1">
      <c r="A2788" s="7"/>
      <c r="B2788" s="7" t="s">
        <v>16</v>
      </c>
      <c r="C2788" s="7" t="s">
        <v>1068</v>
      </c>
      <c r="D2788" t="str">
        <f t="shared" si="52"/>
        <v>NIC</v>
      </c>
    </row>
    <row r="2789" spans="1:4" ht="15.6" thickTop="1" thickBot="1">
      <c r="A2789" s="7"/>
      <c r="B2789" s="7" t="s">
        <v>17</v>
      </c>
      <c r="C2789" s="7" t="s">
        <v>1062</v>
      </c>
      <c r="D2789" t="str">
        <f t="shared" si="52"/>
        <v>NIC</v>
      </c>
    </row>
    <row r="2790" spans="1:4" ht="20.399999999999999" thickTop="1" thickBot="1">
      <c r="A2790" s="7"/>
      <c r="B2790" s="7" t="s">
        <v>1</v>
      </c>
      <c r="C2790" s="7" t="s">
        <v>79</v>
      </c>
      <c r="D2790" t="str">
        <f t="shared" si="52"/>
        <v>NIC</v>
      </c>
    </row>
    <row r="2791" spans="1:4" ht="30" thickTop="1" thickBot="1">
      <c r="A2791" s="7"/>
      <c r="B2791" s="7" t="s">
        <v>3</v>
      </c>
      <c r="C2791" s="7" t="s">
        <v>69</v>
      </c>
      <c r="D2791" t="str">
        <f t="shared" si="52"/>
        <v>NIC</v>
      </c>
    </row>
    <row r="2792" spans="1:4" ht="20.399999999999999" thickTop="1" thickBot="1">
      <c r="A2792" s="7"/>
      <c r="B2792" s="7" t="s">
        <v>5</v>
      </c>
      <c r="C2792" s="7" t="s">
        <v>80</v>
      </c>
      <c r="D2792" t="str">
        <f t="shared" si="52"/>
        <v>NIC</v>
      </c>
    </row>
    <row r="2793" spans="1:4" ht="30" thickTop="1" thickBot="1">
      <c r="A2793" s="7"/>
      <c r="B2793" s="7" t="s">
        <v>7</v>
      </c>
      <c r="C2793" s="7" t="s">
        <v>70</v>
      </c>
      <c r="D2793" t="str">
        <f t="shared" si="52"/>
        <v>NIC</v>
      </c>
    </row>
    <row r="2794" spans="1:4" ht="15.6" thickTop="1" thickBot="1">
      <c r="A2794" s="9" t="s">
        <v>1069</v>
      </c>
      <c r="B2794" s="10"/>
      <c r="C2794" s="11"/>
      <c r="D2794" t="str">
        <f t="shared" si="52"/>
        <v>NER</v>
      </c>
    </row>
    <row r="2795" spans="1:4" ht="49.2" thickTop="1" thickBot="1">
      <c r="A2795" s="7"/>
      <c r="B2795" s="7" t="s">
        <v>9</v>
      </c>
      <c r="C2795" s="7">
        <v>2017</v>
      </c>
      <c r="D2795" t="str">
        <f t="shared" si="52"/>
        <v>NER</v>
      </c>
    </row>
    <row r="2796" spans="1:4" ht="39.6" thickTop="1" thickBot="1">
      <c r="A2796" s="7"/>
      <c r="B2796" s="7" t="s">
        <v>10</v>
      </c>
      <c r="C2796" s="7">
        <v>2018</v>
      </c>
      <c r="D2796" t="str">
        <f t="shared" si="52"/>
        <v>NER</v>
      </c>
    </row>
    <row r="2797" spans="1:4" ht="30" thickTop="1" thickBot="1">
      <c r="A2797" s="7"/>
      <c r="B2797" s="7" t="s">
        <v>25</v>
      </c>
      <c r="C2797" s="8">
        <v>1266700</v>
      </c>
      <c r="D2797" t="str">
        <f t="shared" si="52"/>
        <v>NER</v>
      </c>
    </row>
    <row r="2798" spans="1:4" ht="30" thickTop="1" thickBot="1">
      <c r="A2798" s="7"/>
      <c r="B2798" s="7" t="s">
        <v>26</v>
      </c>
      <c r="C2798" s="7" t="s">
        <v>1070</v>
      </c>
      <c r="D2798" t="str">
        <f t="shared" si="52"/>
        <v>NER</v>
      </c>
    </row>
    <row r="2799" spans="1:4" ht="20.399999999999999" thickTop="1" thickBot="1">
      <c r="A2799" s="7"/>
      <c r="B2799" s="7" t="s">
        <v>28</v>
      </c>
      <c r="C2799" s="7" t="s">
        <v>1071</v>
      </c>
      <c r="D2799" t="str">
        <f t="shared" si="52"/>
        <v>NER</v>
      </c>
    </row>
    <row r="2800" spans="1:4" ht="20.399999999999999" thickTop="1" thickBot="1">
      <c r="A2800" s="7"/>
      <c r="B2800" s="7" t="s">
        <v>30</v>
      </c>
      <c r="C2800" s="7" t="s">
        <v>1071</v>
      </c>
      <c r="D2800" t="str">
        <f t="shared" si="52"/>
        <v>NER</v>
      </c>
    </row>
    <row r="2801" spans="1:4" ht="20.399999999999999" thickTop="1" thickBot="1">
      <c r="A2801" s="7"/>
      <c r="B2801" s="7" t="s">
        <v>32</v>
      </c>
      <c r="C2801" s="7" t="s">
        <v>33</v>
      </c>
      <c r="D2801" t="str">
        <f t="shared" si="52"/>
        <v>NER</v>
      </c>
    </row>
    <row r="2802" spans="1:4" ht="15.6" thickTop="1" thickBot="1">
      <c r="A2802" s="7"/>
      <c r="B2802" s="7" t="s">
        <v>11</v>
      </c>
      <c r="C2802" s="7" t="s">
        <v>1072</v>
      </c>
      <c r="D2802" t="str">
        <f t="shared" si="52"/>
        <v>NER</v>
      </c>
    </row>
    <row r="2803" spans="1:4" ht="15.6" thickTop="1" thickBot="1">
      <c r="A2803" s="7"/>
      <c r="B2803" s="7" t="s">
        <v>13</v>
      </c>
      <c r="C2803" s="7" t="s">
        <v>1073</v>
      </c>
      <c r="D2803" t="str">
        <f t="shared" si="52"/>
        <v>NER</v>
      </c>
    </row>
    <row r="2804" spans="1:4" ht="15.6" thickTop="1" thickBot="1">
      <c r="A2804" s="7"/>
      <c r="B2804" s="7" t="s">
        <v>15</v>
      </c>
      <c r="C2804" s="7" t="s">
        <v>1074</v>
      </c>
      <c r="D2804" t="str">
        <f t="shared" si="52"/>
        <v>NER</v>
      </c>
    </row>
    <row r="2805" spans="1:4" ht="15.6" thickTop="1" thickBot="1">
      <c r="A2805" s="7"/>
      <c r="B2805" s="7" t="s">
        <v>16</v>
      </c>
      <c r="C2805" s="7" t="s">
        <v>1075</v>
      </c>
      <c r="D2805" t="str">
        <f t="shared" si="52"/>
        <v>NER</v>
      </c>
    </row>
    <row r="2806" spans="1:4" ht="15.6" thickTop="1" thickBot="1">
      <c r="A2806" s="7"/>
      <c r="B2806" s="7" t="s">
        <v>17</v>
      </c>
      <c r="C2806" s="7" t="s">
        <v>1076</v>
      </c>
      <c r="D2806" t="str">
        <f t="shared" si="52"/>
        <v>NER</v>
      </c>
    </row>
    <row r="2807" spans="1:4" ht="15.6" thickTop="1" thickBot="1">
      <c r="A2807" s="7"/>
      <c r="B2807" s="7" t="s">
        <v>18</v>
      </c>
      <c r="C2807" s="7" t="s">
        <v>1077</v>
      </c>
      <c r="D2807" t="str">
        <f t="shared" si="52"/>
        <v>NER</v>
      </c>
    </row>
    <row r="2808" spans="1:4" ht="15.6" thickTop="1" thickBot="1">
      <c r="A2808" s="7"/>
      <c r="B2808" s="7" t="s">
        <v>19</v>
      </c>
      <c r="C2808" s="7" t="s">
        <v>1078</v>
      </c>
      <c r="D2808" t="str">
        <f t="shared" si="52"/>
        <v>NER</v>
      </c>
    </row>
    <row r="2809" spans="1:4" ht="15.6" thickTop="1" thickBot="1">
      <c r="A2809" s="7"/>
      <c r="B2809" s="7" t="s">
        <v>21</v>
      </c>
      <c r="C2809" s="7" t="s">
        <v>1074</v>
      </c>
      <c r="D2809" t="str">
        <f t="shared" si="52"/>
        <v>NER</v>
      </c>
    </row>
    <row r="2810" spans="1:4" ht="15.6" thickTop="1" thickBot="1">
      <c r="A2810" s="7"/>
      <c r="B2810" s="7" t="s">
        <v>22</v>
      </c>
      <c r="C2810" s="7" t="s">
        <v>1031</v>
      </c>
      <c r="D2810" t="str">
        <f t="shared" si="52"/>
        <v>NER</v>
      </c>
    </row>
    <row r="2811" spans="1:4" ht="15.6" thickTop="1" thickBot="1">
      <c r="A2811" s="7"/>
      <c r="B2811" s="7" t="s">
        <v>23</v>
      </c>
      <c r="C2811" s="7" t="s">
        <v>1076</v>
      </c>
      <c r="D2811" t="str">
        <f t="shared" si="52"/>
        <v>NER</v>
      </c>
    </row>
    <row r="2812" spans="1:4" ht="15.6" thickTop="1" thickBot="1">
      <c r="A2812" s="7"/>
      <c r="B2812" s="7" t="s">
        <v>24</v>
      </c>
      <c r="C2812" s="7">
        <v>1330</v>
      </c>
      <c r="D2812" t="str">
        <f t="shared" si="52"/>
        <v>NER</v>
      </c>
    </row>
    <row r="2813" spans="1:4" ht="20.399999999999999" thickTop="1" thickBot="1">
      <c r="A2813" s="7"/>
      <c r="B2813" s="7" t="s">
        <v>1</v>
      </c>
      <c r="C2813" s="7" t="s">
        <v>50</v>
      </c>
      <c r="D2813" t="str">
        <f t="shared" si="52"/>
        <v>NER</v>
      </c>
    </row>
    <row r="2814" spans="1:4" ht="30" thickTop="1" thickBot="1">
      <c r="A2814" s="7"/>
      <c r="B2814" s="7" t="s">
        <v>3</v>
      </c>
      <c r="C2814" s="7" t="s">
        <v>4</v>
      </c>
      <c r="D2814" t="str">
        <f t="shared" si="52"/>
        <v>NER</v>
      </c>
    </row>
    <row r="2815" spans="1:4" ht="20.399999999999999" thickTop="1" thickBot="1">
      <c r="A2815" s="7"/>
      <c r="B2815" s="7" t="s">
        <v>5</v>
      </c>
      <c r="C2815" s="7" t="s">
        <v>51</v>
      </c>
      <c r="D2815" t="str">
        <f t="shared" si="52"/>
        <v>NER</v>
      </c>
    </row>
    <row r="2816" spans="1:4" ht="30" thickTop="1" thickBot="1">
      <c r="A2816" s="7"/>
      <c r="B2816" s="7" t="s">
        <v>7</v>
      </c>
      <c r="C2816" s="7" t="s">
        <v>8</v>
      </c>
      <c r="D2816" t="str">
        <f t="shared" si="52"/>
        <v>NER</v>
      </c>
    </row>
    <row r="2817" spans="1:4" ht="15.6" thickTop="1" thickBot="1">
      <c r="A2817" s="9" t="s">
        <v>1079</v>
      </c>
      <c r="B2817" s="10"/>
      <c r="C2817" s="11"/>
      <c r="D2817" t="str">
        <f t="shared" si="52"/>
        <v>NGA</v>
      </c>
    </row>
    <row r="2818" spans="1:4" ht="49.2" thickTop="1" thickBot="1">
      <c r="A2818" s="7"/>
      <c r="B2818" s="7" t="s">
        <v>9</v>
      </c>
      <c r="C2818" s="7">
        <v>2017</v>
      </c>
      <c r="D2818" t="str">
        <f t="shared" ref="D2818:D2881" si="53">IF(ISNUMBER(FIND(":", A2818)), LEFT(A2818, FIND(":", A2818) - 1), D2817)</f>
        <v>NGA</v>
      </c>
    </row>
    <row r="2819" spans="1:4" ht="39.6" thickTop="1" thickBot="1">
      <c r="A2819" s="7"/>
      <c r="B2819" s="7" t="s">
        <v>10</v>
      </c>
      <c r="C2819" s="7">
        <v>2018</v>
      </c>
      <c r="D2819" t="str">
        <f t="shared" si="53"/>
        <v>NGA</v>
      </c>
    </row>
    <row r="2820" spans="1:4" ht="30" thickTop="1" thickBot="1">
      <c r="A2820" s="7"/>
      <c r="B2820" s="7" t="s">
        <v>25</v>
      </c>
      <c r="C2820" s="8">
        <v>910770</v>
      </c>
      <c r="D2820" t="str">
        <f t="shared" si="53"/>
        <v>NGA</v>
      </c>
    </row>
    <row r="2821" spans="1:4" ht="58.8" thickTop="1" thickBot="1">
      <c r="A2821" s="7"/>
      <c r="B2821" s="7" t="s">
        <v>26</v>
      </c>
      <c r="C2821" s="7" t="s">
        <v>1080</v>
      </c>
      <c r="D2821" t="str">
        <f t="shared" si="53"/>
        <v>NGA</v>
      </c>
    </row>
    <row r="2822" spans="1:4" ht="20.399999999999999" thickTop="1" thickBot="1">
      <c r="A2822" s="7"/>
      <c r="B2822" s="7" t="s">
        <v>28</v>
      </c>
      <c r="C2822" s="7" t="s">
        <v>1081</v>
      </c>
      <c r="D2822" t="str">
        <f t="shared" si="53"/>
        <v>NGA</v>
      </c>
    </row>
    <row r="2823" spans="1:4" ht="20.399999999999999" thickTop="1" thickBot="1">
      <c r="A2823" s="7"/>
      <c r="B2823" s="7" t="s">
        <v>30</v>
      </c>
      <c r="C2823" s="7" t="s">
        <v>1082</v>
      </c>
      <c r="D2823" t="str">
        <f t="shared" si="53"/>
        <v>NGA</v>
      </c>
    </row>
    <row r="2824" spans="1:4" ht="20.399999999999999" thickTop="1" thickBot="1">
      <c r="A2824" s="7"/>
      <c r="B2824" s="7" t="s">
        <v>32</v>
      </c>
      <c r="C2824" s="7" t="s">
        <v>33</v>
      </c>
      <c r="D2824" t="str">
        <f t="shared" si="53"/>
        <v>NGA</v>
      </c>
    </row>
    <row r="2825" spans="1:4" ht="15.6" thickTop="1" thickBot="1">
      <c r="A2825" s="7"/>
      <c r="B2825" s="7" t="s">
        <v>11</v>
      </c>
      <c r="C2825" s="7" t="s">
        <v>1077</v>
      </c>
      <c r="D2825" t="str">
        <f t="shared" si="53"/>
        <v>NGA</v>
      </c>
    </row>
    <row r="2826" spans="1:4" ht="15.6" thickTop="1" thickBot="1">
      <c r="A2826" s="7"/>
      <c r="B2826" s="7" t="s">
        <v>13</v>
      </c>
      <c r="C2826" s="7" t="s">
        <v>1068</v>
      </c>
      <c r="D2826" t="str">
        <f t="shared" si="53"/>
        <v>NGA</v>
      </c>
    </row>
    <row r="2827" spans="1:4" ht="15.6" thickTop="1" thickBot="1">
      <c r="A2827" s="7"/>
      <c r="B2827" s="7" t="s">
        <v>15</v>
      </c>
      <c r="C2827" s="7" t="s">
        <v>1077</v>
      </c>
      <c r="D2827" t="str">
        <f t="shared" si="53"/>
        <v>NGA</v>
      </c>
    </row>
    <row r="2828" spans="1:4" ht="15.6" thickTop="1" thickBot="1">
      <c r="A2828" s="7"/>
      <c r="B2828" s="7" t="s">
        <v>16</v>
      </c>
      <c r="C2828" s="7" t="s">
        <v>1073</v>
      </c>
      <c r="D2828" t="str">
        <f t="shared" si="53"/>
        <v>NGA</v>
      </c>
    </row>
    <row r="2829" spans="1:4" ht="15.6" thickTop="1" thickBot="1">
      <c r="A2829" s="7"/>
      <c r="B2829" s="7" t="s">
        <v>17</v>
      </c>
      <c r="C2829" s="7" t="s">
        <v>1083</v>
      </c>
      <c r="D2829" t="str">
        <f t="shared" si="53"/>
        <v>NGA</v>
      </c>
    </row>
    <row r="2830" spans="1:4" ht="15.6" thickTop="1" thickBot="1">
      <c r="A2830" s="7"/>
      <c r="B2830" s="7" t="s">
        <v>18</v>
      </c>
      <c r="C2830" s="7" t="s">
        <v>1074</v>
      </c>
      <c r="D2830" t="str">
        <f t="shared" si="53"/>
        <v>NGA</v>
      </c>
    </row>
    <row r="2831" spans="1:4" ht="15.6" thickTop="1" thickBot="1">
      <c r="A2831" s="7"/>
      <c r="B2831" s="7" t="s">
        <v>19</v>
      </c>
      <c r="C2831" s="7" t="s">
        <v>1084</v>
      </c>
      <c r="D2831" t="str">
        <f t="shared" si="53"/>
        <v>NGA</v>
      </c>
    </row>
    <row r="2832" spans="1:4" ht="15.6" thickTop="1" thickBot="1">
      <c r="A2832" s="7"/>
      <c r="B2832" s="7" t="s">
        <v>21</v>
      </c>
      <c r="C2832" s="7" t="s">
        <v>1085</v>
      </c>
      <c r="D2832" t="str">
        <f t="shared" si="53"/>
        <v>NGA</v>
      </c>
    </row>
    <row r="2833" spans="1:4" ht="15.6" thickTop="1" thickBot="1">
      <c r="A2833" s="7"/>
      <c r="B2833" s="7" t="s">
        <v>22</v>
      </c>
      <c r="C2833" s="7" t="s">
        <v>1068</v>
      </c>
      <c r="D2833" t="str">
        <f t="shared" si="53"/>
        <v>NGA</v>
      </c>
    </row>
    <row r="2834" spans="1:4" ht="15.6" thickTop="1" thickBot="1">
      <c r="A2834" s="7"/>
      <c r="B2834" s="7" t="s">
        <v>23</v>
      </c>
      <c r="C2834" s="7" t="s">
        <v>1083</v>
      </c>
      <c r="D2834" t="str">
        <f t="shared" si="53"/>
        <v>NGA</v>
      </c>
    </row>
    <row r="2835" spans="1:4" ht="15.6" thickTop="1" thickBot="1">
      <c r="A2835" s="7"/>
      <c r="B2835" s="7" t="s">
        <v>24</v>
      </c>
      <c r="C2835" s="7">
        <v>1340</v>
      </c>
      <c r="D2835" t="str">
        <f t="shared" si="53"/>
        <v>NGA</v>
      </c>
    </row>
    <row r="2836" spans="1:4" ht="20.399999999999999" thickTop="1" thickBot="1">
      <c r="A2836" s="7"/>
      <c r="B2836" s="7" t="s">
        <v>1</v>
      </c>
      <c r="C2836" s="7" t="s">
        <v>50</v>
      </c>
      <c r="D2836" t="str">
        <f t="shared" si="53"/>
        <v>NGA</v>
      </c>
    </row>
    <row r="2837" spans="1:4" ht="30" thickTop="1" thickBot="1">
      <c r="A2837" s="7"/>
      <c r="B2837" s="7" t="s">
        <v>3</v>
      </c>
      <c r="C2837" s="7" t="s">
        <v>69</v>
      </c>
      <c r="D2837" t="str">
        <f t="shared" si="53"/>
        <v>NGA</v>
      </c>
    </row>
    <row r="2838" spans="1:4" ht="20.399999999999999" thickTop="1" thickBot="1">
      <c r="A2838" s="7"/>
      <c r="B2838" s="7" t="s">
        <v>5</v>
      </c>
      <c r="C2838" s="7" t="s">
        <v>51</v>
      </c>
      <c r="D2838" t="str">
        <f t="shared" si="53"/>
        <v>NGA</v>
      </c>
    </row>
    <row r="2839" spans="1:4" ht="30" thickTop="1" thickBot="1">
      <c r="A2839" s="7"/>
      <c r="B2839" s="7" t="s">
        <v>7</v>
      </c>
      <c r="C2839" s="7" t="s">
        <v>70</v>
      </c>
      <c r="D2839" t="str">
        <f t="shared" si="53"/>
        <v>NGA</v>
      </c>
    </row>
    <row r="2840" spans="1:4" ht="15.6" thickTop="1" thickBot="1">
      <c r="A2840" s="9" t="s">
        <v>1086</v>
      </c>
      <c r="B2840" s="10"/>
      <c r="C2840" s="11"/>
      <c r="D2840" t="str">
        <f t="shared" si="53"/>
        <v>NIU</v>
      </c>
    </row>
    <row r="2841" spans="1:4" ht="20.399999999999999" thickTop="1" thickBot="1">
      <c r="A2841" s="7"/>
      <c r="B2841" s="7" t="s">
        <v>26</v>
      </c>
      <c r="C2841" s="7" t="s">
        <v>1087</v>
      </c>
      <c r="D2841" t="str">
        <f t="shared" si="53"/>
        <v>NIU</v>
      </c>
    </row>
    <row r="2842" spans="1:4" ht="20.399999999999999" thickTop="1" thickBot="1">
      <c r="A2842" s="7"/>
      <c r="B2842" s="7" t="s">
        <v>28</v>
      </c>
      <c r="C2842" s="7" t="s">
        <v>1088</v>
      </c>
      <c r="D2842" t="str">
        <f t="shared" si="53"/>
        <v>NIU</v>
      </c>
    </row>
    <row r="2843" spans="1:4" ht="20.399999999999999" thickTop="1" thickBot="1">
      <c r="A2843" s="7"/>
      <c r="B2843" s="7" t="s">
        <v>30</v>
      </c>
      <c r="C2843" s="7" t="s">
        <v>1089</v>
      </c>
      <c r="D2843" t="str">
        <f t="shared" si="53"/>
        <v>NIU</v>
      </c>
    </row>
    <row r="2844" spans="1:4" ht="20.399999999999999" thickTop="1" thickBot="1">
      <c r="A2844" s="7"/>
      <c r="B2844" s="7" t="s">
        <v>32</v>
      </c>
      <c r="C2844" s="7" t="s">
        <v>33</v>
      </c>
      <c r="D2844" t="str">
        <f t="shared" si="53"/>
        <v>NIU</v>
      </c>
    </row>
    <row r="2845" spans="1:4" ht="15.6" thickTop="1" thickBot="1">
      <c r="A2845" s="7"/>
      <c r="B2845" s="7" t="s">
        <v>11</v>
      </c>
      <c r="C2845" s="7" t="s">
        <v>370</v>
      </c>
      <c r="D2845" t="str">
        <f t="shared" si="53"/>
        <v>NIU</v>
      </c>
    </row>
    <row r="2846" spans="1:4" ht="15.6" thickTop="1" thickBot="1">
      <c r="A2846" s="7"/>
      <c r="B2846" s="7" t="s">
        <v>13</v>
      </c>
      <c r="C2846" s="7" t="s">
        <v>1075</v>
      </c>
      <c r="D2846" t="str">
        <f t="shared" si="53"/>
        <v>NIU</v>
      </c>
    </row>
    <row r="2847" spans="1:4" ht="15.6" thickTop="1" thickBot="1">
      <c r="A2847" s="7"/>
      <c r="B2847" s="7" t="s">
        <v>15</v>
      </c>
      <c r="C2847" s="7" t="s">
        <v>1090</v>
      </c>
      <c r="D2847" t="str">
        <f t="shared" si="53"/>
        <v>NIU</v>
      </c>
    </row>
    <row r="2848" spans="1:4" ht="15.6" thickTop="1" thickBot="1">
      <c r="A2848" s="7"/>
      <c r="B2848" s="7" t="s">
        <v>23</v>
      </c>
      <c r="C2848" s="7" t="s">
        <v>1090</v>
      </c>
      <c r="D2848" t="str">
        <f t="shared" si="53"/>
        <v>NIU</v>
      </c>
    </row>
    <row r="2849" spans="1:4" ht="15.6" thickTop="1" thickBot="1">
      <c r="A2849" s="7"/>
      <c r="B2849" s="7" t="s">
        <v>24</v>
      </c>
      <c r="C2849" s="7">
        <v>5170</v>
      </c>
      <c r="D2849" t="str">
        <f t="shared" si="53"/>
        <v>NIU</v>
      </c>
    </row>
    <row r="2850" spans="1:4" ht="15.6" thickTop="1" thickBot="1">
      <c r="A2850" s="7"/>
      <c r="B2850" s="7" t="s">
        <v>18</v>
      </c>
      <c r="C2850" s="7" t="s">
        <v>1090</v>
      </c>
      <c r="D2850" t="str">
        <f t="shared" si="53"/>
        <v>NIU</v>
      </c>
    </row>
    <row r="2851" spans="1:4" ht="15.6" thickTop="1" thickBot="1">
      <c r="A2851" s="7"/>
      <c r="B2851" s="7" t="s">
        <v>19</v>
      </c>
      <c r="C2851" s="7" t="s">
        <v>1091</v>
      </c>
      <c r="D2851" t="str">
        <f t="shared" si="53"/>
        <v>NIU</v>
      </c>
    </row>
    <row r="2852" spans="1:4" ht="15.6" thickTop="1" thickBot="1">
      <c r="A2852" s="7"/>
      <c r="B2852" s="7" t="s">
        <v>21</v>
      </c>
      <c r="C2852" s="7" t="s">
        <v>1090</v>
      </c>
      <c r="D2852" t="str">
        <f t="shared" si="53"/>
        <v>NIU</v>
      </c>
    </row>
    <row r="2853" spans="1:4" ht="15.6" thickTop="1" thickBot="1">
      <c r="A2853" s="7"/>
      <c r="B2853" s="7" t="s">
        <v>16</v>
      </c>
      <c r="C2853" s="7" t="s">
        <v>1063</v>
      </c>
      <c r="D2853" t="str">
        <f t="shared" si="53"/>
        <v>NIU</v>
      </c>
    </row>
    <row r="2854" spans="1:4" ht="15.6" thickTop="1" thickBot="1">
      <c r="A2854" s="7"/>
      <c r="B2854" s="7" t="s">
        <v>17</v>
      </c>
      <c r="C2854" s="7" t="s">
        <v>1090</v>
      </c>
      <c r="D2854" t="str">
        <f t="shared" si="53"/>
        <v>NIU</v>
      </c>
    </row>
    <row r="2855" spans="1:4" ht="20.399999999999999" thickTop="1" thickBot="1">
      <c r="A2855" s="7"/>
      <c r="B2855" s="7" t="s">
        <v>1</v>
      </c>
      <c r="C2855" s="7" t="s">
        <v>107</v>
      </c>
      <c r="D2855" t="str">
        <f t="shared" si="53"/>
        <v>NIU</v>
      </c>
    </row>
    <row r="2856" spans="1:4" ht="30" thickTop="1" thickBot="1">
      <c r="A2856" s="7"/>
      <c r="B2856" s="7" t="s">
        <v>3</v>
      </c>
      <c r="C2856" s="7" t="s">
        <v>1092</v>
      </c>
      <c r="D2856" t="str">
        <f t="shared" si="53"/>
        <v>NIU</v>
      </c>
    </row>
    <row r="2857" spans="1:4" ht="20.399999999999999" thickTop="1" thickBot="1">
      <c r="A2857" s="7"/>
      <c r="B2857" s="7" t="s">
        <v>5</v>
      </c>
      <c r="C2857" s="7" t="s">
        <v>108</v>
      </c>
      <c r="D2857" t="str">
        <f t="shared" si="53"/>
        <v>NIU</v>
      </c>
    </row>
    <row r="2858" spans="1:4" ht="30" thickTop="1" thickBot="1">
      <c r="A2858" s="7"/>
      <c r="B2858" s="7" t="s">
        <v>7</v>
      </c>
      <c r="C2858" s="7" t="s">
        <v>8</v>
      </c>
      <c r="D2858" t="str">
        <f t="shared" si="53"/>
        <v>NIU</v>
      </c>
    </row>
    <row r="2859" spans="1:4" ht="49.2" thickTop="1" thickBot="1">
      <c r="A2859" s="7"/>
      <c r="B2859" s="7" t="s">
        <v>9</v>
      </c>
      <c r="C2859" s="7">
        <v>2017</v>
      </c>
      <c r="D2859" t="str">
        <f t="shared" si="53"/>
        <v>NIU</v>
      </c>
    </row>
    <row r="2860" spans="1:4" ht="39.6" thickTop="1" thickBot="1">
      <c r="A2860" s="7"/>
      <c r="B2860" s="7" t="s">
        <v>10</v>
      </c>
      <c r="C2860" s="7">
        <v>2018</v>
      </c>
      <c r="D2860" t="str">
        <f t="shared" si="53"/>
        <v>NIU</v>
      </c>
    </row>
    <row r="2861" spans="1:4" ht="20.399999999999999" thickTop="1" thickBot="1">
      <c r="A2861" s="9" t="s">
        <v>1093</v>
      </c>
      <c r="B2861" s="10"/>
      <c r="C2861" s="11"/>
      <c r="D2861" t="str">
        <f t="shared" si="53"/>
        <v>NOR</v>
      </c>
    </row>
    <row r="2862" spans="1:4" ht="49.2" thickTop="1" thickBot="1">
      <c r="A2862" s="7"/>
      <c r="B2862" s="7" t="s">
        <v>9</v>
      </c>
      <c r="C2862" s="7">
        <v>2017</v>
      </c>
      <c r="D2862" t="str">
        <f t="shared" si="53"/>
        <v>NOR</v>
      </c>
    </row>
    <row r="2863" spans="1:4" ht="39.6" thickTop="1" thickBot="1">
      <c r="A2863" s="7"/>
      <c r="B2863" s="7" t="s">
        <v>10</v>
      </c>
      <c r="C2863" s="7">
        <v>2018</v>
      </c>
      <c r="D2863" t="str">
        <f t="shared" si="53"/>
        <v>NOR</v>
      </c>
    </row>
    <row r="2864" spans="1:4" ht="30" thickTop="1" thickBot="1">
      <c r="A2864" s="7"/>
      <c r="B2864" s="7" t="s">
        <v>25</v>
      </c>
      <c r="C2864" s="8">
        <v>305470</v>
      </c>
      <c r="D2864" t="str">
        <f t="shared" si="53"/>
        <v>NOR</v>
      </c>
    </row>
    <row r="2865" spans="1:4" ht="39.6" thickTop="1" thickBot="1">
      <c r="A2865" s="7"/>
      <c r="B2865" s="7" t="s">
        <v>26</v>
      </c>
      <c r="C2865" s="7" t="s">
        <v>1094</v>
      </c>
      <c r="D2865" t="str">
        <f t="shared" si="53"/>
        <v>NOR</v>
      </c>
    </row>
    <row r="2866" spans="1:4" ht="20.399999999999999" thickTop="1" thickBot="1">
      <c r="A2866" s="7"/>
      <c r="B2866" s="7" t="s">
        <v>28</v>
      </c>
      <c r="C2866" s="7" t="s">
        <v>1095</v>
      </c>
      <c r="D2866" t="str">
        <f t="shared" si="53"/>
        <v>NOR</v>
      </c>
    </row>
    <row r="2867" spans="1:4" ht="20.399999999999999" thickTop="1" thickBot="1">
      <c r="A2867" s="7"/>
      <c r="B2867" s="7" t="s">
        <v>30</v>
      </c>
      <c r="C2867" s="7" t="s">
        <v>1096</v>
      </c>
      <c r="D2867" t="str">
        <f t="shared" si="53"/>
        <v>NOR</v>
      </c>
    </row>
    <row r="2868" spans="1:4" ht="20.399999999999999" thickTop="1" thickBot="1">
      <c r="A2868" s="7"/>
      <c r="B2868" s="7" t="s">
        <v>32</v>
      </c>
      <c r="C2868" s="7" t="s">
        <v>33</v>
      </c>
      <c r="D2868" t="str">
        <f t="shared" si="53"/>
        <v>NOR</v>
      </c>
    </row>
    <row r="2869" spans="1:4" ht="15.6" thickTop="1" thickBot="1">
      <c r="A2869" s="7"/>
      <c r="B2869" s="7" t="s">
        <v>11</v>
      </c>
      <c r="C2869" s="7" t="s">
        <v>1097</v>
      </c>
      <c r="D2869" t="str">
        <f t="shared" si="53"/>
        <v>NOR</v>
      </c>
    </row>
    <row r="2870" spans="1:4" ht="15.6" thickTop="1" thickBot="1">
      <c r="A2870" s="7"/>
      <c r="B2870" s="7" t="s">
        <v>13</v>
      </c>
      <c r="C2870" s="7" t="s">
        <v>1098</v>
      </c>
      <c r="D2870" t="str">
        <f t="shared" si="53"/>
        <v>NOR</v>
      </c>
    </row>
    <row r="2871" spans="1:4" ht="15.6" thickTop="1" thickBot="1">
      <c r="A2871" s="7"/>
      <c r="B2871" s="7" t="s">
        <v>15</v>
      </c>
      <c r="C2871" s="7" t="s">
        <v>1099</v>
      </c>
      <c r="D2871" t="str">
        <f t="shared" si="53"/>
        <v>NOR</v>
      </c>
    </row>
    <row r="2872" spans="1:4" ht="15.6" thickTop="1" thickBot="1">
      <c r="A2872" s="7"/>
      <c r="B2872" s="7" t="s">
        <v>16</v>
      </c>
      <c r="C2872" s="7" t="s">
        <v>1098</v>
      </c>
      <c r="D2872" t="str">
        <f t="shared" si="53"/>
        <v>NOR</v>
      </c>
    </row>
    <row r="2873" spans="1:4" ht="15.6" thickTop="1" thickBot="1">
      <c r="A2873" s="7"/>
      <c r="B2873" s="7" t="s">
        <v>17</v>
      </c>
      <c r="C2873" s="7" t="s">
        <v>1099</v>
      </c>
      <c r="D2873" t="str">
        <f t="shared" si="53"/>
        <v>NOR</v>
      </c>
    </row>
    <row r="2874" spans="1:4" ht="15.6" thickTop="1" thickBot="1">
      <c r="A2874" s="7"/>
      <c r="B2874" s="7" t="s">
        <v>18</v>
      </c>
      <c r="C2874" s="7" t="s">
        <v>1099</v>
      </c>
      <c r="D2874" t="str">
        <f t="shared" si="53"/>
        <v>NOR</v>
      </c>
    </row>
    <row r="2875" spans="1:4" ht="15.6" thickTop="1" thickBot="1">
      <c r="A2875" s="7"/>
      <c r="B2875" s="7" t="s">
        <v>19</v>
      </c>
      <c r="C2875" s="7" t="s">
        <v>1100</v>
      </c>
      <c r="D2875" t="str">
        <f t="shared" si="53"/>
        <v>NOR</v>
      </c>
    </row>
    <row r="2876" spans="1:4" ht="15.6" thickTop="1" thickBot="1">
      <c r="A2876" s="7"/>
      <c r="B2876" s="7" t="s">
        <v>21</v>
      </c>
      <c r="C2876" s="7" t="s">
        <v>1099</v>
      </c>
      <c r="D2876" t="str">
        <f t="shared" si="53"/>
        <v>NOR</v>
      </c>
    </row>
    <row r="2877" spans="1:4" ht="15.6" thickTop="1" thickBot="1">
      <c r="A2877" s="7"/>
      <c r="B2877" s="7" t="s">
        <v>22</v>
      </c>
      <c r="C2877" s="7" t="s">
        <v>1098</v>
      </c>
      <c r="D2877" t="str">
        <f t="shared" si="53"/>
        <v>NOR</v>
      </c>
    </row>
    <row r="2878" spans="1:4" ht="15.6" thickTop="1" thickBot="1">
      <c r="A2878" s="7"/>
      <c r="B2878" s="7" t="s">
        <v>23</v>
      </c>
      <c r="C2878" s="7" t="s">
        <v>1099</v>
      </c>
      <c r="D2878" t="str">
        <f t="shared" si="53"/>
        <v>NOR</v>
      </c>
    </row>
    <row r="2879" spans="1:4" ht="15.6" thickTop="1" thickBot="1">
      <c r="A2879" s="7"/>
      <c r="B2879" s="7" t="s">
        <v>24</v>
      </c>
      <c r="C2879" s="7">
        <v>4220</v>
      </c>
      <c r="D2879" t="str">
        <f t="shared" si="53"/>
        <v>NOR</v>
      </c>
    </row>
    <row r="2880" spans="1:4" ht="20.399999999999999" thickTop="1" thickBot="1">
      <c r="A2880" s="7"/>
      <c r="B2880" s="7" t="s">
        <v>1</v>
      </c>
      <c r="C2880" s="7" t="s">
        <v>35</v>
      </c>
      <c r="D2880" t="str">
        <f t="shared" si="53"/>
        <v>NOR</v>
      </c>
    </row>
    <row r="2881" spans="1:4" ht="30" thickTop="1" thickBot="1">
      <c r="A2881" s="7"/>
      <c r="B2881" s="7" t="s">
        <v>3</v>
      </c>
      <c r="C2881" s="7" t="s">
        <v>59</v>
      </c>
      <c r="D2881" t="str">
        <f t="shared" si="53"/>
        <v>NOR</v>
      </c>
    </row>
    <row r="2882" spans="1:4" ht="20.399999999999999" thickTop="1" thickBot="1">
      <c r="A2882" s="7"/>
      <c r="B2882" s="7" t="s">
        <v>5</v>
      </c>
      <c r="C2882" s="7" t="s">
        <v>37</v>
      </c>
      <c r="D2882" t="str">
        <f t="shared" ref="D2882:D2945" si="54">IF(ISNUMBER(FIND(":", A2882)), LEFT(A2882, FIND(":", A2882) - 1), D2881)</f>
        <v>NOR</v>
      </c>
    </row>
    <row r="2883" spans="1:4" ht="30" thickTop="1" thickBot="1">
      <c r="A2883" s="7"/>
      <c r="B2883" s="7" t="s">
        <v>7</v>
      </c>
      <c r="C2883" s="7" t="s">
        <v>60</v>
      </c>
      <c r="D2883" t="str">
        <f t="shared" si="54"/>
        <v>NOR</v>
      </c>
    </row>
    <row r="2884" spans="1:4" ht="15.6" thickTop="1" thickBot="1">
      <c r="A2884" s="9" t="s">
        <v>1101</v>
      </c>
      <c r="B2884" s="10"/>
      <c r="C2884" s="11"/>
      <c r="D2884" t="str">
        <f t="shared" si="54"/>
        <v>OMN</v>
      </c>
    </row>
    <row r="2885" spans="1:4" ht="49.2" thickTop="1" thickBot="1">
      <c r="A2885" s="7"/>
      <c r="B2885" s="7" t="s">
        <v>9</v>
      </c>
      <c r="C2885" s="7">
        <v>2017</v>
      </c>
      <c r="D2885" t="str">
        <f t="shared" si="54"/>
        <v>OMN</v>
      </c>
    </row>
    <row r="2886" spans="1:4" ht="39.6" thickTop="1" thickBot="1">
      <c r="A2886" s="7"/>
      <c r="B2886" s="7" t="s">
        <v>10</v>
      </c>
      <c r="C2886" s="7">
        <v>2018</v>
      </c>
      <c r="D2886" t="str">
        <f t="shared" si="54"/>
        <v>OMN</v>
      </c>
    </row>
    <row r="2887" spans="1:4" ht="30" thickTop="1" thickBot="1">
      <c r="A2887" s="7"/>
      <c r="B2887" s="7" t="s">
        <v>25</v>
      </c>
      <c r="C2887" s="8">
        <v>309500</v>
      </c>
      <c r="D2887" t="str">
        <f t="shared" si="54"/>
        <v>OMN</v>
      </c>
    </row>
    <row r="2888" spans="1:4" ht="49.2" thickTop="1" thickBot="1">
      <c r="A2888" s="7"/>
      <c r="B2888" s="7" t="s">
        <v>26</v>
      </c>
      <c r="C2888" s="7" t="s">
        <v>1102</v>
      </c>
      <c r="D2888" t="str">
        <f t="shared" si="54"/>
        <v>OMN</v>
      </c>
    </row>
    <row r="2889" spans="1:4" ht="20.399999999999999" thickTop="1" thickBot="1">
      <c r="A2889" s="7"/>
      <c r="B2889" s="7" t="s">
        <v>28</v>
      </c>
      <c r="C2889" s="7" t="s">
        <v>1103</v>
      </c>
      <c r="D2889" t="str">
        <f t="shared" si="54"/>
        <v>OMN</v>
      </c>
    </row>
    <row r="2890" spans="1:4" ht="20.399999999999999" thickTop="1" thickBot="1">
      <c r="A2890" s="7"/>
      <c r="B2890" s="7" t="s">
        <v>30</v>
      </c>
      <c r="C2890" s="7" t="s">
        <v>1103</v>
      </c>
      <c r="D2890" t="str">
        <f t="shared" si="54"/>
        <v>OMN</v>
      </c>
    </row>
    <row r="2891" spans="1:4" ht="20.399999999999999" thickTop="1" thickBot="1">
      <c r="A2891" s="7"/>
      <c r="B2891" s="7" t="s">
        <v>32</v>
      </c>
      <c r="C2891" s="7" t="s">
        <v>33</v>
      </c>
      <c r="D2891" t="str">
        <f t="shared" si="54"/>
        <v>OMN</v>
      </c>
    </row>
    <row r="2892" spans="1:4" ht="15.6" thickTop="1" thickBot="1">
      <c r="A2892" s="7"/>
      <c r="B2892" s="7" t="s">
        <v>13</v>
      </c>
      <c r="C2892" s="7" t="s">
        <v>952</v>
      </c>
      <c r="D2892" t="str">
        <f t="shared" si="54"/>
        <v>OMN</v>
      </c>
    </row>
    <row r="2893" spans="1:4" ht="15.6" thickTop="1" thickBot="1">
      <c r="A2893" s="7"/>
      <c r="B2893" s="7" t="s">
        <v>23</v>
      </c>
      <c r="C2893" s="7" t="s">
        <v>1104</v>
      </c>
      <c r="D2893" t="str">
        <f t="shared" si="54"/>
        <v>OMN</v>
      </c>
    </row>
    <row r="2894" spans="1:4" ht="15.6" thickTop="1" thickBot="1">
      <c r="A2894" s="7"/>
      <c r="B2894" s="7" t="s">
        <v>24</v>
      </c>
      <c r="C2894" s="7">
        <v>3285</v>
      </c>
      <c r="D2894" t="str">
        <f t="shared" si="54"/>
        <v>OMN</v>
      </c>
    </row>
    <row r="2895" spans="1:4" ht="15.6" thickTop="1" thickBot="1">
      <c r="A2895" s="7"/>
      <c r="B2895" s="7" t="s">
        <v>21</v>
      </c>
      <c r="C2895" s="7" t="s">
        <v>1105</v>
      </c>
      <c r="D2895" t="str">
        <f t="shared" si="54"/>
        <v>OMN</v>
      </c>
    </row>
    <row r="2896" spans="1:4" ht="15.6" thickTop="1" thickBot="1">
      <c r="A2896" s="7"/>
      <c r="B2896" s="7" t="s">
        <v>22</v>
      </c>
      <c r="C2896" s="7" t="s">
        <v>1106</v>
      </c>
      <c r="D2896" t="str">
        <f t="shared" si="54"/>
        <v>OMN</v>
      </c>
    </row>
    <row r="2897" spans="1:4" ht="15.6" thickTop="1" thickBot="1">
      <c r="A2897" s="7"/>
      <c r="B2897" s="7" t="s">
        <v>18</v>
      </c>
      <c r="C2897" s="7" t="s">
        <v>1105</v>
      </c>
      <c r="D2897" t="str">
        <f t="shared" si="54"/>
        <v>OMN</v>
      </c>
    </row>
    <row r="2898" spans="1:4" ht="15.6" thickTop="1" thickBot="1">
      <c r="A2898" s="7"/>
      <c r="B2898" s="7" t="s">
        <v>19</v>
      </c>
      <c r="C2898" s="7" t="s">
        <v>1107</v>
      </c>
      <c r="D2898" t="str">
        <f t="shared" si="54"/>
        <v>OMN</v>
      </c>
    </row>
    <row r="2899" spans="1:4" ht="15.6" thickTop="1" thickBot="1">
      <c r="A2899" s="7"/>
      <c r="B2899" s="7" t="s">
        <v>17</v>
      </c>
      <c r="C2899" s="7" t="s">
        <v>1104</v>
      </c>
      <c r="D2899" t="str">
        <f t="shared" si="54"/>
        <v>OMN</v>
      </c>
    </row>
    <row r="2900" spans="1:4" ht="15.6" thickTop="1" thickBot="1">
      <c r="A2900" s="7"/>
      <c r="B2900" s="7" t="s">
        <v>15</v>
      </c>
      <c r="C2900" s="7" t="s">
        <v>1105</v>
      </c>
      <c r="D2900" t="str">
        <f t="shared" si="54"/>
        <v>OMN</v>
      </c>
    </row>
    <row r="2901" spans="1:4" ht="15.6" thickTop="1" thickBot="1">
      <c r="A2901" s="7"/>
      <c r="B2901" s="7" t="s">
        <v>16</v>
      </c>
      <c r="C2901" s="7" t="s">
        <v>1106</v>
      </c>
      <c r="D2901" t="str">
        <f t="shared" si="54"/>
        <v>OMN</v>
      </c>
    </row>
    <row r="2902" spans="1:4" ht="30" thickTop="1" thickBot="1">
      <c r="A2902" s="7"/>
      <c r="B2902" s="7" t="s">
        <v>1</v>
      </c>
      <c r="C2902" s="7" t="s">
        <v>2</v>
      </c>
      <c r="D2902" t="str">
        <f t="shared" si="54"/>
        <v>OMN</v>
      </c>
    </row>
    <row r="2903" spans="1:4" ht="30" thickTop="1" thickBot="1">
      <c r="A2903" s="7"/>
      <c r="B2903" s="7" t="s">
        <v>3</v>
      </c>
      <c r="C2903" s="7" t="s">
        <v>59</v>
      </c>
      <c r="D2903" t="str">
        <f t="shared" si="54"/>
        <v>OMN</v>
      </c>
    </row>
    <row r="2904" spans="1:4" ht="20.399999999999999" thickTop="1" thickBot="1">
      <c r="A2904" s="7"/>
      <c r="B2904" s="7" t="s">
        <v>5</v>
      </c>
      <c r="C2904" s="7" t="s">
        <v>6</v>
      </c>
      <c r="D2904" t="str">
        <f t="shared" si="54"/>
        <v>OMN</v>
      </c>
    </row>
    <row r="2905" spans="1:4" ht="30" thickTop="1" thickBot="1">
      <c r="A2905" s="7"/>
      <c r="B2905" s="7" t="s">
        <v>7</v>
      </c>
      <c r="C2905" s="7" t="s">
        <v>60</v>
      </c>
      <c r="D2905" t="str">
        <f t="shared" si="54"/>
        <v>OMN</v>
      </c>
    </row>
    <row r="2906" spans="1:4" ht="20.399999999999999" thickTop="1" thickBot="1">
      <c r="A2906" s="9" t="s">
        <v>1108</v>
      </c>
      <c r="B2906" s="10"/>
      <c r="C2906" s="11"/>
      <c r="D2906" t="str">
        <f t="shared" si="54"/>
        <v>PAK</v>
      </c>
    </row>
    <row r="2907" spans="1:4" ht="49.2" thickTop="1" thickBot="1">
      <c r="A2907" s="7"/>
      <c r="B2907" s="7" t="s">
        <v>9</v>
      </c>
      <c r="C2907" s="7">
        <v>2017</v>
      </c>
      <c r="D2907" t="str">
        <f t="shared" si="54"/>
        <v>PAK</v>
      </c>
    </row>
    <row r="2908" spans="1:4" ht="39.6" thickTop="1" thickBot="1">
      <c r="A2908" s="7"/>
      <c r="B2908" s="7" t="s">
        <v>10</v>
      </c>
      <c r="C2908" s="7">
        <v>2018</v>
      </c>
      <c r="D2908" t="str">
        <f t="shared" si="54"/>
        <v>PAK</v>
      </c>
    </row>
    <row r="2909" spans="1:4" ht="30" thickTop="1" thickBot="1">
      <c r="A2909" s="7"/>
      <c r="B2909" s="7" t="s">
        <v>25</v>
      </c>
      <c r="C2909" s="8">
        <v>770880</v>
      </c>
      <c r="D2909" t="str">
        <f t="shared" si="54"/>
        <v>PAK</v>
      </c>
    </row>
    <row r="2910" spans="1:4" ht="106.8" thickTop="1" thickBot="1">
      <c r="A2910" s="7"/>
      <c r="B2910" s="7" t="s">
        <v>26</v>
      </c>
      <c r="C2910" s="7" t="s">
        <v>1109</v>
      </c>
      <c r="D2910" t="str">
        <f t="shared" si="54"/>
        <v>PAK</v>
      </c>
    </row>
    <row r="2911" spans="1:4" ht="20.399999999999999" thickTop="1" thickBot="1">
      <c r="A2911" s="7"/>
      <c r="B2911" s="7" t="s">
        <v>28</v>
      </c>
      <c r="C2911" s="7" t="s">
        <v>1110</v>
      </c>
      <c r="D2911" t="str">
        <f t="shared" si="54"/>
        <v>PAK</v>
      </c>
    </row>
    <row r="2912" spans="1:4" ht="20.399999999999999" thickTop="1" thickBot="1">
      <c r="A2912" s="7"/>
      <c r="B2912" s="7" t="s">
        <v>30</v>
      </c>
      <c r="C2912" s="7" t="s">
        <v>1110</v>
      </c>
      <c r="D2912" t="str">
        <f t="shared" si="54"/>
        <v>PAK</v>
      </c>
    </row>
    <row r="2913" spans="1:4" ht="20.399999999999999" thickTop="1" thickBot="1">
      <c r="A2913" s="7"/>
      <c r="B2913" s="7" t="s">
        <v>32</v>
      </c>
      <c r="C2913" s="7" t="s">
        <v>33</v>
      </c>
      <c r="D2913" t="str">
        <f t="shared" si="54"/>
        <v>PAK</v>
      </c>
    </row>
    <row r="2914" spans="1:4" ht="15.6" thickTop="1" thickBot="1">
      <c r="A2914" s="7"/>
      <c r="B2914" s="7" t="s">
        <v>11</v>
      </c>
      <c r="C2914" s="7" t="s">
        <v>1111</v>
      </c>
      <c r="D2914" t="str">
        <f t="shared" si="54"/>
        <v>PAK</v>
      </c>
    </row>
    <row r="2915" spans="1:4" ht="15.6" thickTop="1" thickBot="1">
      <c r="A2915" s="7"/>
      <c r="B2915" s="7" t="s">
        <v>13</v>
      </c>
      <c r="C2915" s="7" t="s">
        <v>1111</v>
      </c>
      <c r="D2915" t="str">
        <f t="shared" si="54"/>
        <v>PAK</v>
      </c>
    </row>
    <row r="2916" spans="1:4" ht="15.6" thickTop="1" thickBot="1">
      <c r="A2916" s="7"/>
      <c r="B2916" s="7" t="s">
        <v>15</v>
      </c>
      <c r="C2916" s="7" t="s">
        <v>1112</v>
      </c>
      <c r="D2916" t="str">
        <f t="shared" si="54"/>
        <v>PAK</v>
      </c>
    </row>
    <row r="2917" spans="1:4" ht="15.6" thickTop="1" thickBot="1">
      <c r="A2917" s="7"/>
      <c r="B2917" s="7" t="s">
        <v>16</v>
      </c>
      <c r="C2917" s="7" t="s">
        <v>1111</v>
      </c>
      <c r="D2917" t="str">
        <f t="shared" si="54"/>
        <v>PAK</v>
      </c>
    </row>
    <row r="2918" spans="1:4" ht="15.6" thickTop="1" thickBot="1">
      <c r="A2918" s="7"/>
      <c r="B2918" s="7" t="s">
        <v>17</v>
      </c>
      <c r="C2918" s="7" t="s">
        <v>1112</v>
      </c>
      <c r="D2918" t="str">
        <f t="shared" si="54"/>
        <v>PAK</v>
      </c>
    </row>
    <row r="2919" spans="1:4" ht="15.6" thickTop="1" thickBot="1">
      <c r="A2919" s="7"/>
      <c r="B2919" s="7" t="s">
        <v>18</v>
      </c>
      <c r="C2919" s="7" t="s">
        <v>1112</v>
      </c>
      <c r="D2919" t="str">
        <f t="shared" si="54"/>
        <v>PAK</v>
      </c>
    </row>
    <row r="2920" spans="1:4" ht="15.6" thickTop="1" thickBot="1">
      <c r="A2920" s="7"/>
      <c r="B2920" s="7" t="s">
        <v>19</v>
      </c>
      <c r="C2920" s="7" t="s">
        <v>1113</v>
      </c>
      <c r="D2920" t="str">
        <f t="shared" si="54"/>
        <v>PAK</v>
      </c>
    </row>
    <row r="2921" spans="1:4" ht="15.6" thickTop="1" thickBot="1">
      <c r="A2921" s="7"/>
      <c r="B2921" s="7" t="s">
        <v>21</v>
      </c>
      <c r="C2921" s="7" t="s">
        <v>1112</v>
      </c>
      <c r="D2921" t="str">
        <f t="shared" si="54"/>
        <v>PAK</v>
      </c>
    </row>
    <row r="2922" spans="1:4" ht="15.6" thickTop="1" thickBot="1">
      <c r="A2922" s="7"/>
      <c r="B2922" s="7" t="s">
        <v>22</v>
      </c>
      <c r="C2922" s="7" t="s">
        <v>1111</v>
      </c>
      <c r="D2922" t="str">
        <f t="shared" si="54"/>
        <v>PAK</v>
      </c>
    </row>
    <row r="2923" spans="1:4" ht="15.6" thickTop="1" thickBot="1">
      <c r="A2923" s="7"/>
      <c r="B2923" s="7" t="s">
        <v>23</v>
      </c>
      <c r="C2923" s="7" t="s">
        <v>1112</v>
      </c>
      <c r="D2923" t="str">
        <f t="shared" si="54"/>
        <v>PAK</v>
      </c>
    </row>
    <row r="2924" spans="1:4" ht="15.6" thickTop="1" thickBot="1">
      <c r="A2924" s="7"/>
      <c r="B2924" s="7" t="s">
        <v>24</v>
      </c>
      <c r="C2924" s="7">
        <v>3290</v>
      </c>
      <c r="D2924" t="str">
        <f t="shared" si="54"/>
        <v>PAK</v>
      </c>
    </row>
    <row r="2925" spans="1:4" ht="30" thickTop="1" thickBot="1">
      <c r="A2925" s="7"/>
      <c r="B2925" s="7" t="s">
        <v>1</v>
      </c>
      <c r="C2925" s="7" t="s">
        <v>2</v>
      </c>
      <c r="D2925" t="str">
        <f t="shared" si="54"/>
        <v>PAK</v>
      </c>
    </row>
    <row r="2926" spans="1:4" ht="30" thickTop="1" thickBot="1">
      <c r="A2926" s="7"/>
      <c r="B2926" s="7" t="s">
        <v>3</v>
      </c>
      <c r="C2926" s="7" t="s">
        <v>69</v>
      </c>
      <c r="D2926" t="str">
        <f t="shared" si="54"/>
        <v>PAK</v>
      </c>
    </row>
    <row r="2927" spans="1:4" ht="20.399999999999999" thickTop="1" thickBot="1">
      <c r="A2927" s="7"/>
      <c r="B2927" s="7" t="s">
        <v>5</v>
      </c>
      <c r="C2927" s="7" t="s">
        <v>6</v>
      </c>
      <c r="D2927" t="str">
        <f t="shared" si="54"/>
        <v>PAK</v>
      </c>
    </row>
    <row r="2928" spans="1:4" ht="30" thickTop="1" thickBot="1">
      <c r="A2928" s="7"/>
      <c r="B2928" s="7" t="s">
        <v>7</v>
      </c>
      <c r="C2928" s="7" t="s">
        <v>70</v>
      </c>
      <c r="D2928" t="str">
        <f t="shared" si="54"/>
        <v>PAK</v>
      </c>
    </row>
    <row r="2929" spans="1:4" ht="15.6" thickTop="1" thickBot="1">
      <c r="A2929" s="9" t="s">
        <v>1114</v>
      </c>
      <c r="B2929" s="10"/>
      <c r="C2929" s="11"/>
      <c r="D2929" t="str">
        <f t="shared" si="54"/>
        <v>PLW</v>
      </c>
    </row>
    <row r="2930" spans="1:4" ht="49.2" thickTop="1" thickBot="1">
      <c r="A2930" s="7"/>
      <c r="B2930" s="7" t="s">
        <v>9</v>
      </c>
      <c r="C2930" s="7">
        <v>2017</v>
      </c>
      <c r="D2930" t="str">
        <f t="shared" si="54"/>
        <v>PLW</v>
      </c>
    </row>
    <row r="2931" spans="1:4" ht="39.6" thickTop="1" thickBot="1">
      <c r="A2931" s="7"/>
      <c r="B2931" s="7" t="s">
        <v>10</v>
      </c>
      <c r="C2931" s="7">
        <v>2018</v>
      </c>
      <c r="D2931" t="str">
        <f t="shared" si="54"/>
        <v>PLW</v>
      </c>
    </row>
    <row r="2932" spans="1:4" ht="30" thickTop="1" thickBot="1">
      <c r="A2932" s="7"/>
      <c r="B2932" s="7" t="s">
        <v>25</v>
      </c>
      <c r="C2932" s="7">
        <v>460</v>
      </c>
      <c r="D2932" t="str">
        <f t="shared" si="54"/>
        <v>PLW</v>
      </c>
    </row>
    <row r="2933" spans="1:4" ht="49.2" thickTop="1" thickBot="1">
      <c r="A2933" s="7"/>
      <c r="B2933" s="7" t="s">
        <v>26</v>
      </c>
      <c r="C2933" s="7" t="s">
        <v>1115</v>
      </c>
      <c r="D2933" t="str">
        <f t="shared" si="54"/>
        <v>PLW</v>
      </c>
    </row>
    <row r="2934" spans="1:4" ht="20.399999999999999" thickTop="1" thickBot="1">
      <c r="A2934" s="7"/>
      <c r="B2934" s="7" t="s">
        <v>28</v>
      </c>
      <c r="C2934" s="7" t="s">
        <v>1116</v>
      </c>
      <c r="D2934" t="str">
        <f t="shared" si="54"/>
        <v>PLW</v>
      </c>
    </row>
    <row r="2935" spans="1:4" ht="20.399999999999999" thickTop="1" thickBot="1">
      <c r="A2935" s="7"/>
      <c r="B2935" s="7" t="s">
        <v>30</v>
      </c>
      <c r="C2935" s="7" t="s">
        <v>1117</v>
      </c>
      <c r="D2935" t="str">
        <f t="shared" si="54"/>
        <v>PLW</v>
      </c>
    </row>
    <row r="2936" spans="1:4" ht="20.399999999999999" thickTop="1" thickBot="1">
      <c r="A2936" s="7"/>
      <c r="B2936" s="7" t="s">
        <v>32</v>
      </c>
      <c r="C2936" s="7" t="s">
        <v>33</v>
      </c>
      <c r="D2936" t="str">
        <f t="shared" si="54"/>
        <v>PLW</v>
      </c>
    </row>
    <row r="2937" spans="1:4" ht="15.6" thickTop="1" thickBot="1">
      <c r="A2937" s="7"/>
      <c r="B2937" s="7" t="s">
        <v>13</v>
      </c>
      <c r="C2937" s="7" t="s">
        <v>1118</v>
      </c>
      <c r="D2937" t="str">
        <f t="shared" si="54"/>
        <v>PLW</v>
      </c>
    </row>
    <row r="2938" spans="1:4" ht="15.6" thickTop="1" thickBot="1">
      <c r="A2938" s="7"/>
      <c r="B2938" s="7" t="s">
        <v>15</v>
      </c>
      <c r="C2938" s="7" t="s">
        <v>1119</v>
      </c>
      <c r="D2938" t="str">
        <f t="shared" si="54"/>
        <v>PLW</v>
      </c>
    </row>
    <row r="2939" spans="1:4" ht="15.6" thickTop="1" thickBot="1">
      <c r="A2939" s="7"/>
      <c r="B2939" s="7" t="s">
        <v>23</v>
      </c>
      <c r="C2939" s="7" t="s">
        <v>1119</v>
      </c>
      <c r="D2939" t="str">
        <f t="shared" si="54"/>
        <v>PLW</v>
      </c>
    </row>
    <row r="2940" spans="1:4" ht="15.6" thickTop="1" thickBot="1">
      <c r="A2940" s="7"/>
      <c r="B2940" s="7" t="s">
        <v>24</v>
      </c>
      <c r="C2940" s="7">
        <v>5180</v>
      </c>
      <c r="D2940" t="str">
        <f t="shared" si="54"/>
        <v>PLW</v>
      </c>
    </row>
    <row r="2941" spans="1:4" ht="15.6" thickTop="1" thickBot="1">
      <c r="A2941" s="7"/>
      <c r="B2941" s="7" t="s">
        <v>18</v>
      </c>
      <c r="C2941" s="7" t="s">
        <v>1119</v>
      </c>
      <c r="D2941" t="str">
        <f t="shared" si="54"/>
        <v>PLW</v>
      </c>
    </row>
    <row r="2942" spans="1:4" ht="15.6" thickTop="1" thickBot="1">
      <c r="A2942" s="7"/>
      <c r="B2942" s="7" t="s">
        <v>19</v>
      </c>
      <c r="C2942" s="7" t="s">
        <v>1120</v>
      </c>
      <c r="D2942" t="str">
        <f t="shared" si="54"/>
        <v>PLW</v>
      </c>
    </row>
    <row r="2943" spans="1:4" ht="15.6" thickTop="1" thickBot="1">
      <c r="A2943" s="7"/>
      <c r="B2943" s="7" t="s">
        <v>21</v>
      </c>
      <c r="C2943" s="7" t="s">
        <v>1121</v>
      </c>
      <c r="D2943" t="str">
        <f t="shared" si="54"/>
        <v>PLW</v>
      </c>
    </row>
    <row r="2944" spans="1:4" ht="15.6" thickTop="1" thickBot="1">
      <c r="A2944" s="7"/>
      <c r="B2944" s="7" t="s">
        <v>16</v>
      </c>
      <c r="C2944" s="7" t="s">
        <v>1122</v>
      </c>
      <c r="D2944" t="str">
        <f t="shared" si="54"/>
        <v>PLW</v>
      </c>
    </row>
    <row r="2945" spans="1:4" ht="15.6" thickTop="1" thickBot="1">
      <c r="A2945" s="7"/>
      <c r="B2945" s="7" t="s">
        <v>17</v>
      </c>
      <c r="C2945" s="7" t="s">
        <v>1119</v>
      </c>
      <c r="D2945" t="str">
        <f t="shared" si="54"/>
        <v>PLW</v>
      </c>
    </row>
    <row r="2946" spans="1:4" ht="20.399999999999999" thickTop="1" thickBot="1">
      <c r="A2946" s="7"/>
      <c r="B2946" s="7" t="s">
        <v>1</v>
      </c>
      <c r="C2946" s="7" t="s">
        <v>107</v>
      </c>
      <c r="D2946" t="str">
        <f t="shared" ref="D2946:D3009" si="55">IF(ISNUMBER(FIND(":", A2946)), LEFT(A2946, FIND(":", A2946) - 1), D2945)</f>
        <v>PLW</v>
      </c>
    </row>
    <row r="2947" spans="1:4" ht="30" thickTop="1" thickBot="1">
      <c r="A2947" s="7"/>
      <c r="B2947" s="7" t="s">
        <v>3</v>
      </c>
      <c r="C2947" s="7" t="s">
        <v>59</v>
      </c>
      <c r="D2947" t="str">
        <f t="shared" si="55"/>
        <v>PLW</v>
      </c>
    </row>
    <row r="2948" spans="1:4" ht="20.399999999999999" thickTop="1" thickBot="1">
      <c r="A2948" s="7"/>
      <c r="B2948" s="7" t="s">
        <v>5</v>
      </c>
      <c r="C2948" s="7" t="s">
        <v>108</v>
      </c>
      <c r="D2948" t="str">
        <f t="shared" si="55"/>
        <v>PLW</v>
      </c>
    </row>
    <row r="2949" spans="1:4" ht="30" thickTop="1" thickBot="1">
      <c r="A2949" s="7"/>
      <c r="B2949" s="7" t="s">
        <v>7</v>
      </c>
      <c r="C2949" s="7" t="s">
        <v>60</v>
      </c>
      <c r="D2949" t="str">
        <f t="shared" si="55"/>
        <v>PLW</v>
      </c>
    </row>
    <row r="2950" spans="1:4" ht="20.399999999999999" thickTop="1" thickBot="1">
      <c r="A2950" s="9" t="s">
        <v>1123</v>
      </c>
      <c r="B2950" s="10"/>
      <c r="C2950" s="11"/>
      <c r="D2950" t="str">
        <f t="shared" si="55"/>
        <v>PAN</v>
      </c>
    </row>
    <row r="2951" spans="1:4" ht="49.2" thickTop="1" thickBot="1">
      <c r="A2951" s="7"/>
      <c r="B2951" s="7" t="s">
        <v>9</v>
      </c>
      <c r="C2951" s="7">
        <v>2017</v>
      </c>
      <c r="D2951" t="str">
        <f t="shared" si="55"/>
        <v>PAN</v>
      </c>
    </row>
    <row r="2952" spans="1:4" ht="39.6" thickTop="1" thickBot="1">
      <c r="A2952" s="7"/>
      <c r="B2952" s="7" t="s">
        <v>10</v>
      </c>
      <c r="C2952" s="7">
        <v>2018</v>
      </c>
      <c r="D2952" t="str">
        <f t="shared" si="55"/>
        <v>PAN</v>
      </c>
    </row>
    <row r="2953" spans="1:4" ht="30" thickTop="1" thickBot="1">
      <c r="A2953" s="7"/>
      <c r="B2953" s="7" t="s">
        <v>25</v>
      </c>
      <c r="C2953" s="8">
        <v>74340</v>
      </c>
      <c r="D2953" t="str">
        <f t="shared" si="55"/>
        <v>PAN</v>
      </c>
    </row>
    <row r="2954" spans="1:4" ht="20.399999999999999" thickTop="1" thickBot="1">
      <c r="A2954" s="7"/>
      <c r="B2954" s="7" t="s">
        <v>26</v>
      </c>
      <c r="C2954" s="7" t="s">
        <v>378</v>
      </c>
      <c r="D2954" t="str">
        <f t="shared" si="55"/>
        <v>PAN</v>
      </c>
    </row>
    <row r="2955" spans="1:4" ht="20.399999999999999" thickTop="1" thickBot="1">
      <c r="A2955" s="7"/>
      <c r="B2955" s="7" t="s">
        <v>28</v>
      </c>
      <c r="C2955" s="7" t="s">
        <v>1124</v>
      </c>
      <c r="D2955" t="str">
        <f t="shared" si="55"/>
        <v>PAN</v>
      </c>
    </row>
    <row r="2956" spans="1:4" ht="20.399999999999999" thickTop="1" thickBot="1">
      <c r="A2956" s="7"/>
      <c r="B2956" s="7" t="s">
        <v>30</v>
      </c>
      <c r="C2956" s="7" t="s">
        <v>1124</v>
      </c>
      <c r="D2956" t="str">
        <f t="shared" si="55"/>
        <v>PAN</v>
      </c>
    </row>
    <row r="2957" spans="1:4" ht="20.399999999999999" thickTop="1" thickBot="1">
      <c r="A2957" s="7"/>
      <c r="B2957" s="7" t="s">
        <v>32</v>
      </c>
      <c r="C2957" s="7" t="s">
        <v>33</v>
      </c>
      <c r="D2957" t="str">
        <f t="shared" si="55"/>
        <v>PAN</v>
      </c>
    </row>
    <row r="2958" spans="1:4" ht="15.6" thickTop="1" thickBot="1">
      <c r="A2958" s="7"/>
      <c r="B2958" s="7" t="s">
        <v>11</v>
      </c>
      <c r="C2958" s="7" t="s">
        <v>1125</v>
      </c>
      <c r="D2958" t="str">
        <f t="shared" si="55"/>
        <v>PAN</v>
      </c>
    </row>
    <row r="2959" spans="1:4" ht="15.6" thickTop="1" thickBot="1">
      <c r="A2959" s="7"/>
      <c r="B2959" s="7" t="s">
        <v>13</v>
      </c>
      <c r="C2959" s="7" t="s">
        <v>1126</v>
      </c>
      <c r="D2959" t="str">
        <f t="shared" si="55"/>
        <v>PAN</v>
      </c>
    </row>
    <row r="2960" spans="1:4" ht="15.6" thickTop="1" thickBot="1">
      <c r="A2960" s="7"/>
      <c r="B2960" s="7" t="s">
        <v>15</v>
      </c>
      <c r="C2960" s="7" t="s">
        <v>1127</v>
      </c>
      <c r="D2960" t="str">
        <f t="shared" si="55"/>
        <v>PAN</v>
      </c>
    </row>
    <row r="2961" spans="1:4" ht="15.6" thickTop="1" thickBot="1">
      <c r="A2961" s="7"/>
      <c r="B2961" s="7" t="s">
        <v>16</v>
      </c>
      <c r="C2961" s="7" t="s">
        <v>1125</v>
      </c>
      <c r="D2961" t="str">
        <f t="shared" si="55"/>
        <v>PAN</v>
      </c>
    </row>
    <row r="2962" spans="1:4" ht="15.6" thickTop="1" thickBot="1">
      <c r="A2962" s="7"/>
      <c r="B2962" s="7" t="s">
        <v>17</v>
      </c>
      <c r="C2962" s="7" t="s">
        <v>1127</v>
      </c>
      <c r="D2962" t="str">
        <f t="shared" si="55"/>
        <v>PAN</v>
      </c>
    </row>
    <row r="2963" spans="1:4" ht="15.6" thickTop="1" thickBot="1">
      <c r="A2963" s="7"/>
      <c r="B2963" s="7" t="s">
        <v>18</v>
      </c>
      <c r="C2963" s="7" t="s">
        <v>1128</v>
      </c>
      <c r="D2963" t="str">
        <f t="shared" si="55"/>
        <v>PAN</v>
      </c>
    </row>
    <row r="2964" spans="1:4" ht="15.6" thickTop="1" thickBot="1">
      <c r="A2964" s="7"/>
      <c r="B2964" s="7" t="s">
        <v>19</v>
      </c>
      <c r="C2964" s="7" t="s">
        <v>1129</v>
      </c>
      <c r="D2964" t="str">
        <f t="shared" si="55"/>
        <v>PAN</v>
      </c>
    </row>
    <row r="2965" spans="1:4" ht="15.6" thickTop="1" thickBot="1">
      <c r="A2965" s="7"/>
      <c r="B2965" s="7" t="s">
        <v>21</v>
      </c>
      <c r="C2965" s="7" t="s">
        <v>1127</v>
      </c>
      <c r="D2965" t="str">
        <f t="shared" si="55"/>
        <v>PAN</v>
      </c>
    </row>
    <row r="2966" spans="1:4" ht="15.6" thickTop="1" thickBot="1">
      <c r="A2966" s="7"/>
      <c r="B2966" s="7" t="s">
        <v>22</v>
      </c>
      <c r="C2966" s="7" t="s">
        <v>1126</v>
      </c>
      <c r="D2966" t="str">
        <f t="shared" si="55"/>
        <v>PAN</v>
      </c>
    </row>
    <row r="2967" spans="1:4" ht="15.6" thickTop="1" thickBot="1">
      <c r="A2967" s="7"/>
      <c r="B2967" s="7" t="s">
        <v>23</v>
      </c>
      <c r="C2967" s="7" t="s">
        <v>1127</v>
      </c>
      <c r="D2967" t="str">
        <f t="shared" si="55"/>
        <v>PAN</v>
      </c>
    </row>
    <row r="2968" spans="1:4" ht="15.6" thickTop="1" thickBot="1">
      <c r="A2968" s="7"/>
      <c r="B2968" s="7" t="s">
        <v>24</v>
      </c>
      <c r="C2968" s="7">
        <v>2350</v>
      </c>
      <c r="D2968" t="str">
        <f t="shared" si="55"/>
        <v>PAN</v>
      </c>
    </row>
    <row r="2969" spans="1:4" ht="20.399999999999999" thickTop="1" thickBot="1">
      <c r="A2969" s="7"/>
      <c r="B2969" s="7" t="s">
        <v>1</v>
      </c>
      <c r="C2969" s="7" t="s">
        <v>79</v>
      </c>
      <c r="D2969" t="str">
        <f t="shared" si="55"/>
        <v>PAN</v>
      </c>
    </row>
    <row r="2970" spans="1:4" ht="30" thickTop="1" thickBot="1">
      <c r="A2970" s="7"/>
      <c r="B2970" s="7" t="s">
        <v>3</v>
      </c>
      <c r="C2970" s="7" t="s">
        <v>59</v>
      </c>
      <c r="D2970" t="str">
        <f t="shared" si="55"/>
        <v>PAN</v>
      </c>
    </row>
    <row r="2971" spans="1:4" ht="20.399999999999999" thickTop="1" thickBot="1">
      <c r="A2971" s="7"/>
      <c r="B2971" s="7" t="s">
        <v>5</v>
      </c>
      <c r="C2971" s="7" t="s">
        <v>80</v>
      </c>
      <c r="D2971" t="str">
        <f t="shared" si="55"/>
        <v>PAN</v>
      </c>
    </row>
    <row r="2972" spans="1:4" ht="30" thickTop="1" thickBot="1">
      <c r="A2972" s="7"/>
      <c r="B2972" s="7" t="s">
        <v>7</v>
      </c>
      <c r="C2972" s="7" t="s">
        <v>60</v>
      </c>
      <c r="D2972" t="str">
        <f t="shared" si="55"/>
        <v>PAN</v>
      </c>
    </row>
    <row r="2973" spans="1:4" ht="20.399999999999999" thickTop="1" thickBot="1">
      <c r="A2973" s="9" t="s">
        <v>1130</v>
      </c>
      <c r="B2973" s="10"/>
      <c r="C2973" s="11"/>
      <c r="D2973" t="str">
        <f t="shared" si="55"/>
        <v>PNG</v>
      </c>
    </row>
    <row r="2974" spans="1:4" ht="49.2" thickTop="1" thickBot="1">
      <c r="A2974" s="7"/>
      <c r="B2974" s="7" t="s">
        <v>9</v>
      </c>
      <c r="C2974" s="7">
        <v>2017</v>
      </c>
      <c r="D2974" t="str">
        <f t="shared" si="55"/>
        <v>PNG</v>
      </c>
    </row>
    <row r="2975" spans="1:4" ht="39.6" thickTop="1" thickBot="1">
      <c r="A2975" s="7"/>
      <c r="B2975" s="7" t="s">
        <v>10</v>
      </c>
      <c r="C2975" s="7">
        <v>2018</v>
      </c>
      <c r="D2975" t="str">
        <f t="shared" si="55"/>
        <v>PNG</v>
      </c>
    </row>
    <row r="2976" spans="1:4" ht="30" thickTop="1" thickBot="1">
      <c r="A2976" s="7"/>
      <c r="B2976" s="7" t="s">
        <v>25</v>
      </c>
      <c r="C2976" s="8">
        <v>452860</v>
      </c>
      <c r="D2976" t="str">
        <f t="shared" si="55"/>
        <v>PNG</v>
      </c>
    </row>
    <row r="2977" spans="1:4" ht="58.8" thickTop="1" thickBot="1">
      <c r="A2977" s="7"/>
      <c r="B2977" s="7" t="s">
        <v>26</v>
      </c>
      <c r="C2977" s="7" t="s">
        <v>1131</v>
      </c>
      <c r="D2977" t="str">
        <f t="shared" si="55"/>
        <v>PNG</v>
      </c>
    </row>
    <row r="2978" spans="1:4" ht="30" thickTop="1" thickBot="1">
      <c r="A2978" s="7"/>
      <c r="B2978" s="7" t="s">
        <v>28</v>
      </c>
      <c r="C2978" s="7" t="s">
        <v>1132</v>
      </c>
      <c r="D2978" t="str">
        <f t="shared" si="55"/>
        <v>PNG</v>
      </c>
    </row>
    <row r="2979" spans="1:4" ht="30" thickTop="1" thickBot="1">
      <c r="A2979" s="7"/>
      <c r="B2979" s="7" t="s">
        <v>30</v>
      </c>
      <c r="C2979" s="7" t="s">
        <v>1133</v>
      </c>
      <c r="D2979" t="str">
        <f t="shared" si="55"/>
        <v>PNG</v>
      </c>
    </row>
    <row r="2980" spans="1:4" ht="20.399999999999999" thickTop="1" thickBot="1">
      <c r="A2980" s="7"/>
      <c r="B2980" s="7" t="s">
        <v>32</v>
      </c>
      <c r="C2980" s="7" t="s">
        <v>33</v>
      </c>
      <c r="D2980" t="str">
        <f t="shared" si="55"/>
        <v>PNG</v>
      </c>
    </row>
    <row r="2981" spans="1:4" ht="15.6" thickTop="1" thickBot="1">
      <c r="A2981" s="7"/>
      <c r="B2981" s="7" t="s">
        <v>11</v>
      </c>
      <c r="C2981" s="7" t="s">
        <v>1134</v>
      </c>
      <c r="D2981" t="str">
        <f t="shared" si="55"/>
        <v>PNG</v>
      </c>
    </row>
    <row r="2982" spans="1:4" ht="15.6" thickTop="1" thickBot="1">
      <c r="A2982" s="7"/>
      <c r="B2982" s="7" t="s">
        <v>13</v>
      </c>
      <c r="C2982" s="7" t="s">
        <v>1135</v>
      </c>
      <c r="D2982" t="str">
        <f t="shared" si="55"/>
        <v>PNG</v>
      </c>
    </row>
    <row r="2983" spans="1:4" ht="15.6" thickTop="1" thickBot="1">
      <c r="A2983" s="7"/>
      <c r="B2983" s="7" t="s">
        <v>15</v>
      </c>
      <c r="C2983" s="7" t="s">
        <v>1134</v>
      </c>
      <c r="D2983" t="str">
        <f t="shared" si="55"/>
        <v>PNG</v>
      </c>
    </row>
    <row r="2984" spans="1:4" ht="15.6" thickTop="1" thickBot="1">
      <c r="A2984" s="7"/>
      <c r="B2984" s="7" t="s">
        <v>16</v>
      </c>
      <c r="C2984" s="7" t="s">
        <v>1136</v>
      </c>
      <c r="D2984" t="str">
        <f t="shared" si="55"/>
        <v>PNG</v>
      </c>
    </row>
    <row r="2985" spans="1:4" ht="15.6" thickTop="1" thickBot="1">
      <c r="A2985" s="7"/>
      <c r="B2985" s="7" t="s">
        <v>17</v>
      </c>
      <c r="C2985" s="7" t="s">
        <v>1134</v>
      </c>
      <c r="D2985" t="str">
        <f t="shared" si="55"/>
        <v>PNG</v>
      </c>
    </row>
    <row r="2986" spans="1:4" ht="15.6" thickTop="1" thickBot="1">
      <c r="A2986" s="7"/>
      <c r="B2986" s="7" t="s">
        <v>18</v>
      </c>
      <c r="C2986" s="7" t="s">
        <v>1134</v>
      </c>
      <c r="D2986" t="str">
        <f t="shared" si="55"/>
        <v>PNG</v>
      </c>
    </row>
    <row r="2987" spans="1:4" ht="15.6" thickTop="1" thickBot="1">
      <c r="A2987" s="7"/>
      <c r="B2987" s="7" t="s">
        <v>19</v>
      </c>
      <c r="C2987" s="7" t="s">
        <v>1137</v>
      </c>
      <c r="D2987" t="str">
        <f t="shared" si="55"/>
        <v>PNG</v>
      </c>
    </row>
    <row r="2988" spans="1:4" ht="15.6" thickTop="1" thickBot="1">
      <c r="A2988" s="7"/>
      <c r="B2988" s="7" t="s">
        <v>21</v>
      </c>
      <c r="C2988" s="7" t="s">
        <v>1134</v>
      </c>
      <c r="D2988" t="str">
        <f t="shared" si="55"/>
        <v>PNG</v>
      </c>
    </row>
    <row r="2989" spans="1:4" ht="15.6" thickTop="1" thickBot="1">
      <c r="A2989" s="7"/>
      <c r="B2989" s="7" t="s">
        <v>22</v>
      </c>
      <c r="C2989" s="7" t="s">
        <v>1073</v>
      </c>
      <c r="D2989" t="str">
        <f t="shared" si="55"/>
        <v>PNG</v>
      </c>
    </row>
    <row r="2990" spans="1:4" ht="15.6" thickTop="1" thickBot="1">
      <c r="A2990" s="7"/>
      <c r="B2990" s="7" t="s">
        <v>23</v>
      </c>
      <c r="C2990" s="7" t="s">
        <v>1134</v>
      </c>
      <c r="D2990" t="str">
        <f t="shared" si="55"/>
        <v>PNG</v>
      </c>
    </row>
    <row r="2991" spans="1:4" ht="15.6" thickTop="1" thickBot="1">
      <c r="A2991" s="7"/>
      <c r="B2991" s="7" t="s">
        <v>24</v>
      </c>
      <c r="C2991" s="7">
        <v>5195</v>
      </c>
      <c r="D2991" t="str">
        <f t="shared" si="55"/>
        <v>PNG</v>
      </c>
    </row>
    <row r="2992" spans="1:4" ht="20.399999999999999" thickTop="1" thickBot="1">
      <c r="A2992" s="7"/>
      <c r="B2992" s="7" t="s">
        <v>1</v>
      </c>
      <c r="C2992" s="7" t="s">
        <v>107</v>
      </c>
      <c r="D2992" t="str">
        <f t="shared" si="55"/>
        <v>PNG</v>
      </c>
    </row>
    <row r="2993" spans="1:4" ht="30" thickTop="1" thickBot="1">
      <c r="A2993" s="7"/>
      <c r="B2993" s="7" t="s">
        <v>3</v>
      </c>
      <c r="C2993" s="7" t="s">
        <v>69</v>
      </c>
      <c r="D2993" t="str">
        <f t="shared" si="55"/>
        <v>PNG</v>
      </c>
    </row>
    <row r="2994" spans="1:4" ht="20.399999999999999" thickTop="1" thickBot="1">
      <c r="A2994" s="7"/>
      <c r="B2994" s="7" t="s">
        <v>5</v>
      </c>
      <c r="C2994" s="7" t="s">
        <v>108</v>
      </c>
      <c r="D2994" t="str">
        <f t="shared" si="55"/>
        <v>PNG</v>
      </c>
    </row>
    <row r="2995" spans="1:4" ht="30" thickTop="1" thickBot="1">
      <c r="A2995" s="7"/>
      <c r="B2995" s="7" t="s">
        <v>7</v>
      </c>
      <c r="C2995" s="7" t="s">
        <v>70</v>
      </c>
      <c r="D2995" t="str">
        <f t="shared" si="55"/>
        <v>PNG</v>
      </c>
    </row>
    <row r="2996" spans="1:4" ht="20.399999999999999" thickTop="1" thickBot="1">
      <c r="A2996" s="9" t="s">
        <v>1138</v>
      </c>
      <c r="B2996" s="10"/>
      <c r="C2996" s="11"/>
      <c r="D2996" t="str">
        <f t="shared" si="55"/>
        <v>PRY</v>
      </c>
    </row>
    <row r="2997" spans="1:4" ht="49.2" thickTop="1" thickBot="1">
      <c r="A2997" s="7"/>
      <c r="B2997" s="7" t="s">
        <v>9</v>
      </c>
      <c r="C2997" s="7">
        <v>2017</v>
      </c>
      <c r="D2997" t="str">
        <f t="shared" si="55"/>
        <v>PRY</v>
      </c>
    </row>
    <row r="2998" spans="1:4" ht="39.6" thickTop="1" thickBot="1">
      <c r="A2998" s="7"/>
      <c r="B2998" s="7" t="s">
        <v>10</v>
      </c>
      <c r="C2998" s="7">
        <v>2018</v>
      </c>
      <c r="D2998" t="str">
        <f t="shared" si="55"/>
        <v>PRY</v>
      </c>
    </row>
    <row r="2999" spans="1:4" ht="30" thickTop="1" thickBot="1">
      <c r="A2999" s="7"/>
      <c r="B2999" s="7" t="s">
        <v>25</v>
      </c>
      <c r="C2999" s="8">
        <v>397300</v>
      </c>
      <c r="D2999" t="str">
        <f t="shared" si="55"/>
        <v>PRY</v>
      </c>
    </row>
    <row r="3000" spans="1:4" ht="20.399999999999999" thickTop="1" thickBot="1">
      <c r="A3000" s="7"/>
      <c r="B3000" s="7" t="s">
        <v>26</v>
      </c>
      <c r="C3000" s="7" t="s">
        <v>1139</v>
      </c>
      <c r="D3000" t="str">
        <f t="shared" si="55"/>
        <v>PRY</v>
      </c>
    </row>
    <row r="3001" spans="1:4" ht="20.399999999999999" thickTop="1" thickBot="1">
      <c r="A3001" s="7"/>
      <c r="B3001" s="7" t="s">
        <v>28</v>
      </c>
      <c r="C3001" s="7" t="s">
        <v>1140</v>
      </c>
      <c r="D3001" t="str">
        <f t="shared" si="55"/>
        <v>PRY</v>
      </c>
    </row>
    <row r="3002" spans="1:4" ht="20.399999999999999" thickTop="1" thickBot="1">
      <c r="A3002" s="7"/>
      <c r="B3002" s="7" t="s">
        <v>30</v>
      </c>
      <c r="C3002" s="7" t="s">
        <v>1140</v>
      </c>
      <c r="D3002" t="str">
        <f t="shared" si="55"/>
        <v>PRY</v>
      </c>
    </row>
    <row r="3003" spans="1:4" ht="20.399999999999999" thickTop="1" thickBot="1">
      <c r="A3003" s="7"/>
      <c r="B3003" s="7" t="s">
        <v>32</v>
      </c>
      <c r="C3003" s="7" t="s">
        <v>33</v>
      </c>
      <c r="D3003" t="str">
        <f t="shared" si="55"/>
        <v>PRY</v>
      </c>
    </row>
    <row r="3004" spans="1:4" ht="15.6" thickTop="1" thickBot="1">
      <c r="A3004" s="7"/>
      <c r="B3004" s="7" t="s">
        <v>11</v>
      </c>
      <c r="C3004" s="7" t="s">
        <v>1141</v>
      </c>
      <c r="D3004" t="str">
        <f t="shared" si="55"/>
        <v>PRY</v>
      </c>
    </row>
    <row r="3005" spans="1:4" ht="15.6" thickTop="1" thickBot="1">
      <c r="A3005" s="7"/>
      <c r="B3005" s="7" t="s">
        <v>13</v>
      </c>
      <c r="C3005" s="7" t="s">
        <v>1125</v>
      </c>
      <c r="D3005" t="str">
        <f t="shared" si="55"/>
        <v>PRY</v>
      </c>
    </row>
    <row r="3006" spans="1:4" ht="15.6" thickTop="1" thickBot="1">
      <c r="A3006" s="7"/>
      <c r="B3006" s="7" t="s">
        <v>15</v>
      </c>
      <c r="C3006" s="7" t="s">
        <v>1142</v>
      </c>
      <c r="D3006" t="str">
        <f t="shared" si="55"/>
        <v>PRY</v>
      </c>
    </row>
    <row r="3007" spans="1:4" ht="15.6" thickTop="1" thickBot="1">
      <c r="A3007" s="7"/>
      <c r="B3007" s="7" t="s">
        <v>22</v>
      </c>
      <c r="C3007" s="7" t="s">
        <v>1141</v>
      </c>
      <c r="D3007" t="str">
        <f t="shared" si="55"/>
        <v>PRY</v>
      </c>
    </row>
    <row r="3008" spans="1:4" ht="15.6" thickTop="1" thickBot="1">
      <c r="A3008" s="7"/>
      <c r="B3008" s="7" t="s">
        <v>23</v>
      </c>
      <c r="C3008" s="7" t="s">
        <v>1143</v>
      </c>
      <c r="D3008" t="str">
        <f t="shared" si="55"/>
        <v>PRY</v>
      </c>
    </row>
    <row r="3009" spans="1:4" ht="15.6" thickTop="1" thickBot="1">
      <c r="A3009" s="7"/>
      <c r="B3009" s="7" t="s">
        <v>24</v>
      </c>
      <c r="C3009" s="7">
        <v>2360</v>
      </c>
      <c r="D3009" t="str">
        <f t="shared" si="55"/>
        <v>PRY</v>
      </c>
    </row>
    <row r="3010" spans="1:4" ht="15.6" thickTop="1" thickBot="1">
      <c r="A3010" s="7"/>
      <c r="B3010" s="7" t="s">
        <v>18</v>
      </c>
      <c r="C3010" s="7" t="s">
        <v>1144</v>
      </c>
      <c r="D3010" t="str">
        <f t="shared" ref="D3010:D3073" si="56">IF(ISNUMBER(FIND(":", A3010)), LEFT(A3010, FIND(":", A3010) - 1), D3009)</f>
        <v>PRY</v>
      </c>
    </row>
    <row r="3011" spans="1:4" ht="15.6" thickTop="1" thickBot="1">
      <c r="A3011" s="7"/>
      <c r="B3011" s="7" t="s">
        <v>19</v>
      </c>
      <c r="C3011" s="7" t="s">
        <v>1145</v>
      </c>
      <c r="D3011" t="str">
        <f t="shared" si="56"/>
        <v>PRY</v>
      </c>
    </row>
    <row r="3012" spans="1:4" ht="15.6" thickTop="1" thickBot="1">
      <c r="A3012" s="7"/>
      <c r="B3012" s="7" t="s">
        <v>21</v>
      </c>
      <c r="C3012" s="7" t="s">
        <v>1142</v>
      </c>
      <c r="D3012" t="str">
        <f t="shared" si="56"/>
        <v>PRY</v>
      </c>
    </row>
    <row r="3013" spans="1:4" ht="15.6" thickTop="1" thickBot="1">
      <c r="A3013" s="7"/>
      <c r="B3013" s="7" t="s">
        <v>16</v>
      </c>
      <c r="C3013" s="7" t="s">
        <v>1141</v>
      </c>
      <c r="D3013" t="str">
        <f t="shared" si="56"/>
        <v>PRY</v>
      </c>
    </row>
    <row r="3014" spans="1:4" ht="15.6" thickTop="1" thickBot="1">
      <c r="A3014" s="7"/>
      <c r="B3014" s="7" t="s">
        <v>17</v>
      </c>
      <c r="C3014" s="7" t="s">
        <v>1143</v>
      </c>
      <c r="D3014" t="str">
        <f t="shared" si="56"/>
        <v>PRY</v>
      </c>
    </row>
    <row r="3015" spans="1:4" ht="20.399999999999999" thickTop="1" thickBot="1">
      <c r="A3015" s="7"/>
      <c r="B3015" s="7" t="s">
        <v>1</v>
      </c>
      <c r="C3015" s="7" t="s">
        <v>79</v>
      </c>
      <c r="D3015" t="str">
        <f t="shared" si="56"/>
        <v>PRY</v>
      </c>
    </row>
    <row r="3016" spans="1:4" ht="30" thickTop="1" thickBot="1">
      <c r="A3016" s="7"/>
      <c r="B3016" s="7" t="s">
        <v>3</v>
      </c>
      <c r="C3016" s="7" t="s">
        <v>36</v>
      </c>
      <c r="D3016" t="str">
        <f t="shared" si="56"/>
        <v>PRY</v>
      </c>
    </row>
    <row r="3017" spans="1:4" ht="20.399999999999999" thickTop="1" thickBot="1">
      <c r="A3017" s="7"/>
      <c r="B3017" s="7" t="s">
        <v>5</v>
      </c>
      <c r="C3017" s="7" t="s">
        <v>80</v>
      </c>
      <c r="D3017" t="str">
        <f t="shared" si="56"/>
        <v>PRY</v>
      </c>
    </row>
    <row r="3018" spans="1:4" ht="30" thickTop="1" thickBot="1">
      <c r="A3018" s="7"/>
      <c r="B3018" s="7" t="s">
        <v>7</v>
      </c>
      <c r="C3018" s="7" t="s">
        <v>38</v>
      </c>
      <c r="D3018" t="str">
        <f t="shared" si="56"/>
        <v>PRY</v>
      </c>
    </row>
    <row r="3019" spans="1:4" ht="15.6" thickTop="1" thickBot="1">
      <c r="A3019" s="9" t="s">
        <v>1146</v>
      </c>
      <c r="B3019" s="10"/>
      <c r="C3019" s="11"/>
      <c r="D3019" t="str">
        <f t="shared" si="56"/>
        <v>PER</v>
      </c>
    </row>
    <row r="3020" spans="1:4" ht="30" thickTop="1" thickBot="1">
      <c r="A3020" s="7"/>
      <c r="B3020" s="7" t="s">
        <v>25</v>
      </c>
      <c r="C3020" s="8">
        <v>1280000</v>
      </c>
      <c r="D3020" t="str">
        <f t="shared" si="56"/>
        <v>PER</v>
      </c>
    </row>
    <row r="3021" spans="1:4" ht="39.6" thickTop="1" thickBot="1">
      <c r="A3021" s="7"/>
      <c r="B3021" s="7" t="s">
        <v>26</v>
      </c>
      <c r="C3021" s="7" t="s">
        <v>1147</v>
      </c>
      <c r="D3021" t="str">
        <f t="shared" si="56"/>
        <v>PER</v>
      </c>
    </row>
    <row r="3022" spans="1:4" ht="20.399999999999999" thickTop="1" thickBot="1">
      <c r="A3022" s="7"/>
      <c r="B3022" s="7" t="s">
        <v>28</v>
      </c>
      <c r="C3022" s="7" t="s">
        <v>1148</v>
      </c>
      <c r="D3022" t="str">
        <f t="shared" si="56"/>
        <v>PER</v>
      </c>
    </row>
    <row r="3023" spans="1:4" ht="20.399999999999999" thickTop="1" thickBot="1">
      <c r="A3023" s="7"/>
      <c r="B3023" s="7" t="s">
        <v>30</v>
      </c>
      <c r="C3023" s="7" t="s">
        <v>1149</v>
      </c>
      <c r="D3023" t="str">
        <f t="shared" si="56"/>
        <v>PER</v>
      </c>
    </row>
    <row r="3024" spans="1:4" ht="20.399999999999999" thickTop="1" thickBot="1">
      <c r="A3024" s="7"/>
      <c r="B3024" s="7" t="s">
        <v>32</v>
      </c>
      <c r="C3024" s="7" t="s">
        <v>33</v>
      </c>
      <c r="D3024" t="str">
        <f t="shared" si="56"/>
        <v>PER</v>
      </c>
    </row>
    <row r="3025" spans="1:4" ht="49.2" thickTop="1" thickBot="1">
      <c r="A3025" s="7"/>
      <c r="B3025" s="7" t="s">
        <v>9</v>
      </c>
      <c r="C3025" s="7">
        <v>2017</v>
      </c>
      <c r="D3025" t="str">
        <f t="shared" si="56"/>
        <v>PER</v>
      </c>
    </row>
    <row r="3026" spans="1:4" ht="39.6" thickTop="1" thickBot="1">
      <c r="A3026" s="7"/>
      <c r="B3026" s="7" t="s">
        <v>10</v>
      </c>
      <c r="C3026" s="7">
        <v>2018</v>
      </c>
      <c r="D3026" t="str">
        <f t="shared" si="56"/>
        <v>PER</v>
      </c>
    </row>
    <row r="3027" spans="1:4" ht="15.6" thickTop="1" thickBot="1">
      <c r="A3027" s="7"/>
      <c r="B3027" s="7" t="s">
        <v>11</v>
      </c>
      <c r="C3027" s="7" t="s">
        <v>1150</v>
      </c>
      <c r="D3027" t="str">
        <f t="shared" si="56"/>
        <v>PER</v>
      </c>
    </row>
    <row r="3028" spans="1:4" ht="15.6" thickTop="1" thickBot="1">
      <c r="A3028" s="7"/>
      <c r="B3028" s="7" t="s">
        <v>13</v>
      </c>
      <c r="C3028" s="7" t="s">
        <v>1150</v>
      </c>
      <c r="D3028" t="str">
        <f t="shared" si="56"/>
        <v>PER</v>
      </c>
    </row>
    <row r="3029" spans="1:4" ht="15.6" thickTop="1" thickBot="1">
      <c r="A3029" s="7"/>
      <c r="B3029" s="7" t="s">
        <v>15</v>
      </c>
      <c r="C3029" s="7" t="s">
        <v>1151</v>
      </c>
      <c r="D3029" t="str">
        <f t="shared" si="56"/>
        <v>PER</v>
      </c>
    </row>
    <row r="3030" spans="1:4" ht="15.6" thickTop="1" thickBot="1">
      <c r="A3030" s="7"/>
      <c r="B3030" s="7" t="s">
        <v>16</v>
      </c>
      <c r="C3030" s="7" t="s">
        <v>1150</v>
      </c>
      <c r="D3030" t="str">
        <f t="shared" si="56"/>
        <v>PER</v>
      </c>
    </row>
    <row r="3031" spans="1:4" ht="15.6" thickTop="1" thickBot="1">
      <c r="A3031" s="7"/>
      <c r="B3031" s="7" t="s">
        <v>17</v>
      </c>
      <c r="C3031" s="7" t="s">
        <v>1151</v>
      </c>
      <c r="D3031" t="str">
        <f t="shared" si="56"/>
        <v>PER</v>
      </c>
    </row>
    <row r="3032" spans="1:4" ht="15.6" thickTop="1" thickBot="1">
      <c r="A3032" s="7"/>
      <c r="B3032" s="7" t="s">
        <v>18</v>
      </c>
      <c r="C3032" s="7" t="s">
        <v>1152</v>
      </c>
      <c r="D3032" t="str">
        <f t="shared" si="56"/>
        <v>PER</v>
      </c>
    </row>
    <row r="3033" spans="1:4" ht="15.6" thickTop="1" thickBot="1">
      <c r="A3033" s="7"/>
      <c r="B3033" s="7" t="s">
        <v>19</v>
      </c>
      <c r="C3033" s="7" t="s">
        <v>1153</v>
      </c>
      <c r="D3033" t="str">
        <f t="shared" si="56"/>
        <v>PER</v>
      </c>
    </row>
    <row r="3034" spans="1:4" ht="15.6" thickTop="1" thickBot="1">
      <c r="A3034" s="7"/>
      <c r="B3034" s="7" t="s">
        <v>21</v>
      </c>
      <c r="C3034" s="7" t="s">
        <v>1151</v>
      </c>
      <c r="D3034" t="str">
        <f t="shared" si="56"/>
        <v>PER</v>
      </c>
    </row>
    <row r="3035" spans="1:4" ht="15.6" thickTop="1" thickBot="1">
      <c r="A3035" s="7"/>
      <c r="B3035" s="7" t="s">
        <v>22</v>
      </c>
      <c r="C3035" s="7" t="s">
        <v>1154</v>
      </c>
      <c r="D3035" t="str">
        <f t="shared" si="56"/>
        <v>PER</v>
      </c>
    </row>
    <row r="3036" spans="1:4" ht="15.6" thickTop="1" thickBot="1">
      <c r="A3036" s="7"/>
      <c r="B3036" s="7" t="s">
        <v>23</v>
      </c>
      <c r="C3036" s="7" t="s">
        <v>1151</v>
      </c>
      <c r="D3036" t="str">
        <f t="shared" si="56"/>
        <v>PER</v>
      </c>
    </row>
    <row r="3037" spans="1:4" ht="15.6" thickTop="1" thickBot="1">
      <c r="A3037" s="7"/>
      <c r="B3037" s="7" t="s">
        <v>24</v>
      </c>
      <c r="C3037" s="7">
        <v>2370</v>
      </c>
      <c r="D3037" t="str">
        <f t="shared" si="56"/>
        <v>PER</v>
      </c>
    </row>
    <row r="3038" spans="1:4" ht="20.399999999999999" thickTop="1" thickBot="1">
      <c r="A3038" s="7"/>
      <c r="B3038" s="7" t="s">
        <v>1</v>
      </c>
      <c r="C3038" s="7" t="s">
        <v>79</v>
      </c>
      <c r="D3038" t="str">
        <f t="shared" si="56"/>
        <v>PER</v>
      </c>
    </row>
    <row r="3039" spans="1:4" ht="30" thickTop="1" thickBot="1">
      <c r="A3039" s="7"/>
      <c r="B3039" s="7" t="s">
        <v>3</v>
      </c>
      <c r="C3039" s="7" t="s">
        <v>36</v>
      </c>
      <c r="D3039" t="str">
        <f t="shared" si="56"/>
        <v>PER</v>
      </c>
    </row>
    <row r="3040" spans="1:4" ht="20.399999999999999" thickTop="1" thickBot="1">
      <c r="A3040" s="7"/>
      <c r="B3040" s="7" t="s">
        <v>5</v>
      </c>
      <c r="C3040" s="7" t="s">
        <v>80</v>
      </c>
      <c r="D3040" t="str">
        <f t="shared" si="56"/>
        <v>PER</v>
      </c>
    </row>
    <row r="3041" spans="1:4" ht="30" thickTop="1" thickBot="1">
      <c r="A3041" s="7"/>
      <c r="B3041" s="7" t="s">
        <v>7</v>
      </c>
      <c r="C3041" s="7" t="s">
        <v>38</v>
      </c>
      <c r="D3041" t="str">
        <f t="shared" si="56"/>
        <v>PER</v>
      </c>
    </row>
    <row r="3042" spans="1:4" ht="20.399999999999999" thickTop="1" thickBot="1">
      <c r="A3042" s="9" t="s">
        <v>1155</v>
      </c>
      <c r="B3042" s="10"/>
      <c r="C3042" s="11"/>
      <c r="D3042" t="str">
        <f t="shared" si="56"/>
        <v>PHL</v>
      </c>
    </row>
    <row r="3043" spans="1:4" ht="30" thickTop="1" thickBot="1">
      <c r="A3043" s="7"/>
      <c r="B3043" s="7" t="s">
        <v>25</v>
      </c>
      <c r="C3043" s="8">
        <v>298170</v>
      </c>
      <c r="D3043" t="str">
        <f t="shared" si="56"/>
        <v>PHL</v>
      </c>
    </row>
    <row r="3044" spans="1:4" ht="39.6" thickTop="1" thickBot="1">
      <c r="A3044" s="7"/>
      <c r="B3044" s="7" t="s">
        <v>26</v>
      </c>
      <c r="C3044" s="7" t="s">
        <v>1156</v>
      </c>
      <c r="D3044" t="str">
        <f t="shared" si="56"/>
        <v>PHL</v>
      </c>
    </row>
    <row r="3045" spans="1:4" ht="20.399999999999999" thickTop="1" thickBot="1">
      <c r="A3045" s="7"/>
      <c r="B3045" s="7" t="s">
        <v>28</v>
      </c>
      <c r="C3045" s="7" t="s">
        <v>1157</v>
      </c>
      <c r="D3045" t="str">
        <f t="shared" si="56"/>
        <v>PHL</v>
      </c>
    </row>
    <row r="3046" spans="1:4" ht="20.399999999999999" thickTop="1" thickBot="1">
      <c r="A3046" s="7"/>
      <c r="B3046" s="7" t="s">
        <v>30</v>
      </c>
      <c r="C3046" s="7" t="s">
        <v>1158</v>
      </c>
      <c r="D3046" t="str">
        <f t="shared" si="56"/>
        <v>PHL</v>
      </c>
    </row>
    <row r="3047" spans="1:4" ht="20.399999999999999" thickTop="1" thickBot="1">
      <c r="A3047" s="7"/>
      <c r="B3047" s="7" t="s">
        <v>32</v>
      </c>
      <c r="C3047" s="7" t="s">
        <v>33</v>
      </c>
      <c r="D3047" t="str">
        <f t="shared" si="56"/>
        <v>PHL</v>
      </c>
    </row>
    <row r="3048" spans="1:4" ht="49.2" thickTop="1" thickBot="1">
      <c r="A3048" s="7"/>
      <c r="B3048" s="7" t="s">
        <v>9</v>
      </c>
      <c r="C3048" s="7">
        <v>2017</v>
      </c>
      <c r="D3048" t="str">
        <f t="shared" si="56"/>
        <v>PHL</v>
      </c>
    </row>
    <row r="3049" spans="1:4" ht="39.6" thickTop="1" thickBot="1">
      <c r="A3049" s="7"/>
      <c r="B3049" s="7" t="s">
        <v>10</v>
      </c>
      <c r="C3049" s="7">
        <v>2018</v>
      </c>
      <c r="D3049" t="str">
        <f t="shared" si="56"/>
        <v>PHL</v>
      </c>
    </row>
    <row r="3050" spans="1:4" ht="15.6" thickTop="1" thickBot="1">
      <c r="A3050" s="7"/>
      <c r="B3050" s="7" t="s">
        <v>11</v>
      </c>
      <c r="C3050" s="7" t="s">
        <v>1159</v>
      </c>
      <c r="D3050" t="str">
        <f t="shared" si="56"/>
        <v>PHL</v>
      </c>
    </row>
    <row r="3051" spans="1:4" ht="15.6" thickTop="1" thickBot="1">
      <c r="A3051" s="7"/>
      <c r="B3051" s="7" t="s">
        <v>13</v>
      </c>
      <c r="C3051" s="7" t="s">
        <v>1159</v>
      </c>
      <c r="D3051" t="str">
        <f t="shared" si="56"/>
        <v>PHL</v>
      </c>
    </row>
    <row r="3052" spans="1:4" ht="15.6" thickTop="1" thickBot="1">
      <c r="A3052" s="7"/>
      <c r="B3052" s="7" t="s">
        <v>15</v>
      </c>
      <c r="C3052" s="7" t="s">
        <v>1160</v>
      </c>
      <c r="D3052" t="str">
        <f t="shared" si="56"/>
        <v>PHL</v>
      </c>
    </row>
    <row r="3053" spans="1:4" ht="15.6" thickTop="1" thickBot="1">
      <c r="A3053" s="7"/>
      <c r="B3053" s="7" t="s">
        <v>16</v>
      </c>
      <c r="C3053" s="7" t="s">
        <v>1161</v>
      </c>
      <c r="D3053" t="str">
        <f t="shared" si="56"/>
        <v>PHL</v>
      </c>
    </row>
    <row r="3054" spans="1:4" ht="15.6" thickTop="1" thickBot="1">
      <c r="A3054" s="7"/>
      <c r="B3054" s="7" t="s">
        <v>17</v>
      </c>
      <c r="C3054" s="7" t="s">
        <v>1162</v>
      </c>
      <c r="D3054" t="str">
        <f t="shared" si="56"/>
        <v>PHL</v>
      </c>
    </row>
    <row r="3055" spans="1:4" ht="15.6" thickTop="1" thickBot="1">
      <c r="A3055" s="7"/>
      <c r="B3055" s="7" t="s">
        <v>18</v>
      </c>
      <c r="C3055" s="7" t="s">
        <v>1162</v>
      </c>
      <c r="D3055" t="str">
        <f t="shared" si="56"/>
        <v>PHL</v>
      </c>
    </row>
    <row r="3056" spans="1:4" ht="15.6" thickTop="1" thickBot="1">
      <c r="A3056" s="7"/>
      <c r="B3056" s="7" t="s">
        <v>19</v>
      </c>
      <c r="C3056" s="7" t="s">
        <v>1163</v>
      </c>
      <c r="D3056" t="str">
        <f t="shared" si="56"/>
        <v>PHL</v>
      </c>
    </row>
    <row r="3057" spans="1:4" ht="15.6" thickTop="1" thickBot="1">
      <c r="A3057" s="7"/>
      <c r="B3057" s="7" t="s">
        <v>21</v>
      </c>
      <c r="C3057" s="7" t="s">
        <v>1162</v>
      </c>
      <c r="D3057" t="str">
        <f t="shared" si="56"/>
        <v>PHL</v>
      </c>
    </row>
    <row r="3058" spans="1:4" ht="15.6" thickTop="1" thickBot="1">
      <c r="A3058" s="7"/>
      <c r="B3058" s="7" t="s">
        <v>22</v>
      </c>
      <c r="C3058" s="7" t="s">
        <v>1161</v>
      </c>
      <c r="D3058" t="str">
        <f t="shared" si="56"/>
        <v>PHL</v>
      </c>
    </row>
    <row r="3059" spans="1:4" ht="15.6" thickTop="1" thickBot="1">
      <c r="A3059" s="7"/>
      <c r="B3059" s="7" t="s">
        <v>23</v>
      </c>
      <c r="C3059" s="7" t="s">
        <v>1162</v>
      </c>
      <c r="D3059" t="str">
        <f t="shared" si="56"/>
        <v>PHL</v>
      </c>
    </row>
    <row r="3060" spans="1:4" ht="15.6" thickTop="1" thickBot="1">
      <c r="A3060" s="7"/>
      <c r="B3060" s="7" t="s">
        <v>24</v>
      </c>
      <c r="C3060" s="7">
        <v>3300</v>
      </c>
      <c r="D3060" t="str">
        <f t="shared" si="56"/>
        <v>PHL</v>
      </c>
    </row>
    <row r="3061" spans="1:4" ht="20.399999999999999" thickTop="1" thickBot="1">
      <c r="A3061" s="7"/>
      <c r="B3061" s="7" t="s">
        <v>1</v>
      </c>
      <c r="C3061" s="7" t="s">
        <v>107</v>
      </c>
      <c r="D3061" t="str">
        <f t="shared" si="56"/>
        <v>PHL</v>
      </c>
    </row>
    <row r="3062" spans="1:4" ht="30" thickTop="1" thickBot="1">
      <c r="A3062" s="7"/>
      <c r="B3062" s="7" t="s">
        <v>3</v>
      </c>
      <c r="C3062" s="7" t="s">
        <v>69</v>
      </c>
      <c r="D3062" t="str">
        <f t="shared" si="56"/>
        <v>PHL</v>
      </c>
    </row>
    <row r="3063" spans="1:4" ht="20.399999999999999" thickTop="1" thickBot="1">
      <c r="A3063" s="7"/>
      <c r="B3063" s="7" t="s">
        <v>5</v>
      </c>
      <c r="C3063" s="7" t="s">
        <v>108</v>
      </c>
      <c r="D3063" t="str">
        <f t="shared" si="56"/>
        <v>PHL</v>
      </c>
    </row>
    <row r="3064" spans="1:4" ht="30" thickTop="1" thickBot="1">
      <c r="A3064" s="7"/>
      <c r="B3064" s="7" t="s">
        <v>7</v>
      </c>
      <c r="C3064" s="7" t="s">
        <v>70</v>
      </c>
      <c r="D3064" t="str">
        <f t="shared" si="56"/>
        <v>PHL</v>
      </c>
    </row>
    <row r="3065" spans="1:4" ht="15.6" thickTop="1" thickBot="1">
      <c r="A3065" s="9" t="s">
        <v>1164</v>
      </c>
      <c r="B3065" s="10"/>
      <c r="C3065" s="11"/>
      <c r="D3065" t="str">
        <f t="shared" si="56"/>
        <v>POL</v>
      </c>
    </row>
    <row r="3066" spans="1:4" ht="30" thickTop="1" thickBot="1">
      <c r="A3066" s="7"/>
      <c r="B3066" s="7" t="s">
        <v>25</v>
      </c>
      <c r="C3066" s="8">
        <v>304220</v>
      </c>
      <c r="D3066" t="str">
        <f t="shared" si="56"/>
        <v>POL</v>
      </c>
    </row>
    <row r="3067" spans="1:4" ht="20.399999999999999" thickTop="1" thickBot="1">
      <c r="A3067" s="7"/>
      <c r="B3067" s="7" t="s">
        <v>26</v>
      </c>
      <c r="C3067" s="7" t="s">
        <v>1165</v>
      </c>
      <c r="D3067" t="str">
        <f t="shared" si="56"/>
        <v>POL</v>
      </c>
    </row>
    <row r="3068" spans="1:4" ht="20.399999999999999" thickTop="1" thickBot="1">
      <c r="A3068" s="7"/>
      <c r="B3068" s="7" t="s">
        <v>28</v>
      </c>
      <c r="C3068" s="7" t="s">
        <v>1166</v>
      </c>
      <c r="D3068" t="str">
        <f t="shared" si="56"/>
        <v>POL</v>
      </c>
    </row>
    <row r="3069" spans="1:4" ht="20.399999999999999" thickTop="1" thickBot="1">
      <c r="A3069" s="7"/>
      <c r="B3069" s="7" t="s">
        <v>30</v>
      </c>
      <c r="C3069" s="7" t="s">
        <v>1167</v>
      </c>
      <c r="D3069" t="str">
        <f t="shared" si="56"/>
        <v>POL</v>
      </c>
    </row>
    <row r="3070" spans="1:4" ht="20.399999999999999" thickTop="1" thickBot="1">
      <c r="A3070" s="7"/>
      <c r="B3070" s="7" t="s">
        <v>32</v>
      </c>
      <c r="C3070" s="7" t="s">
        <v>33</v>
      </c>
      <c r="D3070" t="str">
        <f t="shared" si="56"/>
        <v>POL</v>
      </c>
    </row>
    <row r="3071" spans="1:4" ht="49.2" thickTop="1" thickBot="1">
      <c r="A3071" s="7"/>
      <c r="B3071" s="7" t="s">
        <v>9</v>
      </c>
      <c r="C3071" s="7">
        <v>2017</v>
      </c>
      <c r="D3071" t="str">
        <f t="shared" si="56"/>
        <v>POL</v>
      </c>
    </row>
    <row r="3072" spans="1:4" ht="39.6" thickTop="1" thickBot="1">
      <c r="A3072" s="7"/>
      <c r="B3072" s="7" t="s">
        <v>10</v>
      </c>
      <c r="C3072" s="7">
        <v>2018</v>
      </c>
      <c r="D3072" t="str">
        <f t="shared" si="56"/>
        <v>POL</v>
      </c>
    </row>
    <row r="3073" spans="1:4" ht="15.6" thickTop="1" thickBot="1">
      <c r="A3073" s="7"/>
      <c r="B3073" s="7" t="s">
        <v>11</v>
      </c>
      <c r="C3073" s="7" t="s">
        <v>1168</v>
      </c>
      <c r="D3073" t="str">
        <f t="shared" si="56"/>
        <v>POL</v>
      </c>
    </row>
    <row r="3074" spans="1:4" ht="15.6" thickTop="1" thickBot="1">
      <c r="A3074" s="7"/>
      <c r="B3074" s="7" t="s">
        <v>13</v>
      </c>
      <c r="C3074" s="7" t="s">
        <v>1168</v>
      </c>
      <c r="D3074" t="str">
        <f t="shared" ref="D3074:D3137" si="57">IF(ISNUMBER(FIND(":", A3074)), LEFT(A3074, FIND(":", A3074) - 1), D3073)</f>
        <v>POL</v>
      </c>
    </row>
    <row r="3075" spans="1:4" ht="15.6" thickTop="1" thickBot="1">
      <c r="A3075" s="7"/>
      <c r="B3075" s="7" t="s">
        <v>15</v>
      </c>
      <c r="C3075" s="7" t="s">
        <v>1169</v>
      </c>
      <c r="D3075" t="str">
        <f t="shared" si="57"/>
        <v>POL</v>
      </c>
    </row>
    <row r="3076" spans="1:4" ht="15.6" thickTop="1" thickBot="1">
      <c r="A3076" s="7"/>
      <c r="B3076" s="7" t="s">
        <v>22</v>
      </c>
      <c r="C3076" s="7" t="s">
        <v>1168</v>
      </c>
      <c r="D3076" t="str">
        <f t="shared" si="57"/>
        <v>POL</v>
      </c>
    </row>
    <row r="3077" spans="1:4" ht="15.6" thickTop="1" thickBot="1">
      <c r="A3077" s="7"/>
      <c r="B3077" s="7" t="s">
        <v>23</v>
      </c>
      <c r="C3077" s="7" t="s">
        <v>1169</v>
      </c>
      <c r="D3077" t="str">
        <f t="shared" si="57"/>
        <v>POL</v>
      </c>
    </row>
    <row r="3078" spans="1:4" ht="15.6" thickTop="1" thickBot="1">
      <c r="A3078" s="7"/>
      <c r="B3078" s="7" t="s">
        <v>24</v>
      </c>
      <c r="C3078" s="7">
        <v>4230</v>
      </c>
      <c r="D3078" t="str">
        <f t="shared" si="57"/>
        <v>POL</v>
      </c>
    </row>
    <row r="3079" spans="1:4" ht="15.6" thickTop="1" thickBot="1">
      <c r="A3079" s="7"/>
      <c r="B3079" s="7" t="s">
        <v>18</v>
      </c>
      <c r="C3079" s="7" t="s">
        <v>1169</v>
      </c>
      <c r="D3079" t="str">
        <f t="shared" si="57"/>
        <v>POL</v>
      </c>
    </row>
    <row r="3080" spans="1:4" ht="15.6" thickTop="1" thickBot="1">
      <c r="A3080" s="7"/>
      <c r="B3080" s="7" t="s">
        <v>19</v>
      </c>
      <c r="C3080" s="7" t="s">
        <v>1170</v>
      </c>
      <c r="D3080" t="str">
        <f t="shared" si="57"/>
        <v>POL</v>
      </c>
    </row>
    <row r="3081" spans="1:4" ht="15.6" thickTop="1" thickBot="1">
      <c r="A3081" s="7"/>
      <c r="B3081" s="7" t="s">
        <v>21</v>
      </c>
      <c r="C3081" s="7" t="s">
        <v>1169</v>
      </c>
      <c r="D3081" t="str">
        <f t="shared" si="57"/>
        <v>POL</v>
      </c>
    </row>
    <row r="3082" spans="1:4" ht="15.6" thickTop="1" thickBot="1">
      <c r="A3082" s="7"/>
      <c r="B3082" s="7" t="s">
        <v>16</v>
      </c>
      <c r="C3082" s="7" t="s">
        <v>1168</v>
      </c>
      <c r="D3082" t="str">
        <f t="shared" si="57"/>
        <v>POL</v>
      </c>
    </row>
    <row r="3083" spans="1:4" ht="15.6" thickTop="1" thickBot="1">
      <c r="A3083" s="7"/>
      <c r="B3083" s="7" t="s">
        <v>17</v>
      </c>
      <c r="C3083" s="7" t="s">
        <v>1169</v>
      </c>
      <c r="D3083" t="str">
        <f t="shared" si="57"/>
        <v>POL</v>
      </c>
    </row>
    <row r="3084" spans="1:4" ht="20.399999999999999" thickTop="1" thickBot="1">
      <c r="A3084" s="7"/>
      <c r="B3084" s="7" t="s">
        <v>1</v>
      </c>
      <c r="C3084" s="7" t="s">
        <v>35</v>
      </c>
      <c r="D3084" t="str">
        <f t="shared" si="57"/>
        <v>POL</v>
      </c>
    </row>
    <row r="3085" spans="1:4" ht="30" thickTop="1" thickBot="1">
      <c r="A3085" s="7"/>
      <c r="B3085" s="7" t="s">
        <v>3</v>
      </c>
      <c r="C3085" s="7" t="s">
        <v>59</v>
      </c>
      <c r="D3085" t="str">
        <f t="shared" si="57"/>
        <v>POL</v>
      </c>
    </row>
    <row r="3086" spans="1:4" ht="20.399999999999999" thickTop="1" thickBot="1">
      <c r="A3086" s="7"/>
      <c r="B3086" s="7" t="s">
        <v>5</v>
      </c>
      <c r="C3086" s="7" t="s">
        <v>37</v>
      </c>
      <c r="D3086" t="str">
        <f t="shared" si="57"/>
        <v>POL</v>
      </c>
    </row>
    <row r="3087" spans="1:4" ht="30" thickTop="1" thickBot="1">
      <c r="A3087" s="7"/>
      <c r="B3087" s="7" t="s">
        <v>7</v>
      </c>
      <c r="C3087" s="7" t="s">
        <v>60</v>
      </c>
      <c r="D3087" t="str">
        <f t="shared" si="57"/>
        <v>POL</v>
      </c>
    </row>
    <row r="3088" spans="1:4" ht="20.399999999999999" thickTop="1" thickBot="1">
      <c r="A3088" s="9" t="s">
        <v>1171</v>
      </c>
      <c r="B3088" s="10"/>
      <c r="C3088" s="11"/>
      <c r="D3088" t="str">
        <f t="shared" si="57"/>
        <v>PRT</v>
      </c>
    </row>
    <row r="3089" spans="1:4" ht="30" thickTop="1" thickBot="1">
      <c r="A3089" s="7"/>
      <c r="B3089" s="7" t="s">
        <v>25</v>
      </c>
      <c r="C3089" s="8">
        <v>91470</v>
      </c>
      <c r="D3089" t="str">
        <f t="shared" si="57"/>
        <v>PRT</v>
      </c>
    </row>
    <row r="3090" spans="1:4" ht="20.399999999999999" thickTop="1" thickBot="1">
      <c r="A3090" s="7"/>
      <c r="B3090" s="7" t="s">
        <v>26</v>
      </c>
      <c r="C3090" s="7" t="s">
        <v>1172</v>
      </c>
      <c r="D3090" t="str">
        <f t="shared" si="57"/>
        <v>PRT</v>
      </c>
    </row>
    <row r="3091" spans="1:4" ht="20.399999999999999" thickTop="1" thickBot="1">
      <c r="A3091" s="7"/>
      <c r="B3091" s="7" t="s">
        <v>28</v>
      </c>
      <c r="C3091" s="7" t="s">
        <v>1173</v>
      </c>
      <c r="D3091" t="str">
        <f t="shared" si="57"/>
        <v>PRT</v>
      </c>
    </row>
    <row r="3092" spans="1:4" ht="20.399999999999999" thickTop="1" thickBot="1">
      <c r="A3092" s="7"/>
      <c r="B3092" s="7" t="s">
        <v>30</v>
      </c>
      <c r="C3092" s="7" t="s">
        <v>1173</v>
      </c>
      <c r="D3092" t="str">
        <f t="shared" si="57"/>
        <v>PRT</v>
      </c>
    </row>
    <row r="3093" spans="1:4" ht="20.399999999999999" thickTop="1" thickBot="1">
      <c r="A3093" s="7"/>
      <c r="B3093" s="7" t="s">
        <v>32</v>
      </c>
      <c r="C3093" s="7" t="s">
        <v>33</v>
      </c>
      <c r="D3093" t="str">
        <f t="shared" si="57"/>
        <v>PRT</v>
      </c>
    </row>
    <row r="3094" spans="1:4" ht="49.2" thickTop="1" thickBot="1">
      <c r="A3094" s="7"/>
      <c r="B3094" s="7" t="s">
        <v>9</v>
      </c>
      <c r="C3094" s="7">
        <v>2017</v>
      </c>
      <c r="D3094" t="str">
        <f t="shared" si="57"/>
        <v>PRT</v>
      </c>
    </row>
    <row r="3095" spans="1:4" ht="39.6" thickTop="1" thickBot="1">
      <c r="A3095" s="7"/>
      <c r="B3095" s="7" t="s">
        <v>10</v>
      </c>
      <c r="C3095" s="7">
        <v>2018</v>
      </c>
      <c r="D3095" t="str">
        <f t="shared" si="57"/>
        <v>PRT</v>
      </c>
    </row>
    <row r="3096" spans="1:4" ht="15.6" thickTop="1" thickBot="1">
      <c r="A3096" s="7"/>
      <c r="B3096" s="7" t="s">
        <v>11</v>
      </c>
      <c r="C3096" s="7" t="s">
        <v>1174</v>
      </c>
      <c r="D3096" t="str">
        <f t="shared" si="57"/>
        <v>PRT</v>
      </c>
    </row>
    <row r="3097" spans="1:4" ht="15.6" thickTop="1" thickBot="1">
      <c r="A3097" s="7"/>
      <c r="B3097" s="7" t="s">
        <v>13</v>
      </c>
      <c r="C3097" s="7" t="s">
        <v>1175</v>
      </c>
      <c r="D3097" t="str">
        <f t="shared" si="57"/>
        <v>PRT</v>
      </c>
    </row>
    <row r="3098" spans="1:4" ht="15.6" thickTop="1" thickBot="1">
      <c r="A3098" s="7"/>
      <c r="B3098" s="7" t="s">
        <v>15</v>
      </c>
      <c r="C3098" s="7" t="s">
        <v>1176</v>
      </c>
      <c r="D3098" t="str">
        <f t="shared" si="57"/>
        <v>PRT</v>
      </c>
    </row>
    <row r="3099" spans="1:4" ht="15.6" thickTop="1" thickBot="1">
      <c r="A3099" s="7"/>
      <c r="B3099" s="7" t="s">
        <v>16</v>
      </c>
      <c r="C3099" s="7" t="s">
        <v>1177</v>
      </c>
      <c r="D3099" t="str">
        <f t="shared" si="57"/>
        <v>PRT</v>
      </c>
    </row>
    <row r="3100" spans="1:4" ht="15.6" thickTop="1" thickBot="1">
      <c r="A3100" s="7"/>
      <c r="B3100" s="7" t="s">
        <v>17</v>
      </c>
      <c r="C3100" s="7" t="s">
        <v>1178</v>
      </c>
      <c r="D3100" t="str">
        <f t="shared" si="57"/>
        <v>PRT</v>
      </c>
    </row>
    <row r="3101" spans="1:4" ht="15.6" thickTop="1" thickBot="1">
      <c r="A3101" s="7"/>
      <c r="B3101" s="7" t="s">
        <v>18</v>
      </c>
      <c r="C3101" s="7" t="s">
        <v>1176</v>
      </c>
      <c r="D3101" t="str">
        <f t="shared" si="57"/>
        <v>PRT</v>
      </c>
    </row>
    <row r="3102" spans="1:4" ht="15.6" thickTop="1" thickBot="1">
      <c r="A3102" s="7"/>
      <c r="B3102" s="7" t="s">
        <v>19</v>
      </c>
      <c r="C3102" s="7" t="s">
        <v>1179</v>
      </c>
      <c r="D3102" t="str">
        <f t="shared" si="57"/>
        <v>PRT</v>
      </c>
    </row>
    <row r="3103" spans="1:4" ht="15.6" thickTop="1" thickBot="1">
      <c r="A3103" s="7"/>
      <c r="B3103" s="7" t="s">
        <v>21</v>
      </c>
      <c r="C3103" s="7" t="s">
        <v>1176</v>
      </c>
      <c r="D3103" t="str">
        <f t="shared" si="57"/>
        <v>PRT</v>
      </c>
    </row>
    <row r="3104" spans="1:4" ht="15.6" thickTop="1" thickBot="1">
      <c r="A3104" s="7"/>
      <c r="B3104" s="7" t="s">
        <v>22</v>
      </c>
      <c r="C3104" s="7" t="s">
        <v>1175</v>
      </c>
      <c r="D3104" t="str">
        <f t="shared" si="57"/>
        <v>PRT</v>
      </c>
    </row>
    <row r="3105" spans="1:4" ht="15.6" thickTop="1" thickBot="1">
      <c r="A3105" s="7"/>
      <c r="B3105" s="7" t="s">
        <v>23</v>
      </c>
      <c r="C3105" s="7" t="s">
        <v>1178</v>
      </c>
      <c r="D3105" t="str">
        <f t="shared" si="57"/>
        <v>PRT</v>
      </c>
    </row>
    <row r="3106" spans="1:4" ht="15.6" thickTop="1" thickBot="1">
      <c r="A3106" s="7"/>
      <c r="B3106" s="7" t="s">
        <v>24</v>
      </c>
      <c r="C3106" s="7">
        <v>4240</v>
      </c>
      <c r="D3106" t="str">
        <f t="shared" si="57"/>
        <v>PRT</v>
      </c>
    </row>
    <row r="3107" spans="1:4" ht="20.399999999999999" thickTop="1" thickBot="1">
      <c r="A3107" s="7"/>
      <c r="B3107" s="7" t="s">
        <v>1</v>
      </c>
      <c r="C3107" s="7" t="s">
        <v>35</v>
      </c>
      <c r="D3107" t="str">
        <f t="shared" si="57"/>
        <v>PRT</v>
      </c>
    </row>
    <row r="3108" spans="1:4" ht="30" thickTop="1" thickBot="1">
      <c r="A3108" s="7"/>
      <c r="B3108" s="7" t="s">
        <v>3</v>
      </c>
      <c r="C3108" s="7" t="s">
        <v>59</v>
      </c>
      <c r="D3108" t="str">
        <f t="shared" si="57"/>
        <v>PRT</v>
      </c>
    </row>
    <row r="3109" spans="1:4" ht="20.399999999999999" thickTop="1" thickBot="1">
      <c r="A3109" s="7"/>
      <c r="B3109" s="7" t="s">
        <v>5</v>
      </c>
      <c r="C3109" s="7" t="s">
        <v>37</v>
      </c>
      <c r="D3109" t="str">
        <f t="shared" si="57"/>
        <v>PRT</v>
      </c>
    </row>
    <row r="3110" spans="1:4" ht="30" thickTop="1" thickBot="1">
      <c r="A3110" s="7"/>
      <c r="B3110" s="7" t="s">
        <v>7</v>
      </c>
      <c r="C3110" s="7" t="s">
        <v>60</v>
      </c>
      <c r="D3110" t="str">
        <f t="shared" si="57"/>
        <v>PRT</v>
      </c>
    </row>
    <row r="3111" spans="1:4" ht="15.6" thickTop="1" thickBot="1">
      <c r="A3111" s="9" t="s">
        <v>1180</v>
      </c>
      <c r="B3111" s="10"/>
      <c r="C3111" s="11"/>
      <c r="D3111" t="str">
        <f t="shared" si="57"/>
        <v>QAT</v>
      </c>
    </row>
    <row r="3112" spans="1:4" ht="30" thickTop="1" thickBot="1">
      <c r="A3112" s="7"/>
      <c r="B3112" s="7" t="s">
        <v>25</v>
      </c>
      <c r="C3112" s="8">
        <v>11610</v>
      </c>
      <c r="D3112" t="str">
        <f t="shared" si="57"/>
        <v>QAT</v>
      </c>
    </row>
    <row r="3113" spans="1:4" ht="20.399999999999999" thickTop="1" thickBot="1">
      <c r="A3113" s="7"/>
      <c r="B3113" s="7" t="s">
        <v>26</v>
      </c>
      <c r="C3113" s="7" t="s">
        <v>486</v>
      </c>
      <c r="D3113" t="str">
        <f t="shared" si="57"/>
        <v>QAT</v>
      </c>
    </row>
    <row r="3114" spans="1:4" ht="20.399999999999999" thickTop="1" thickBot="1">
      <c r="A3114" s="7"/>
      <c r="B3114" s="7" t="s">
        <v>28</v>
      </c>
      <c r="C3114" s="7" t="s">
        <v>1181</v>
      </c>
      <c r="D3114" t="str">
        <f t="shared" si="57"/>
        <v>QAT</v>
      </c>
    </row>
    <row r="3115" spans="1:4" ht="20.399999999999999" thickTop="1" thickBot="1">
      <c r="A3115" s="7"/>
      <c r="B3115" s="7" t="s">
        <v>30</v>
      </c>
      <c r="C3115" s="7" t="s">
        <v>1181</v>
      </c>
      <c r="D3115" t="str">
        <f t="shared" si="57"/>
        <v>QAT</v>
      </c>
    </row>
    <row r="3116" spans="1:4" ht="20.399999999999999" thickTop="1" thickBot="1">
      <c r="A3116" s="7"/>
      <c r="B3116" s="7" t="s">
        <v>32</v>
      </c>
      <c r="C3116" s="7" t="s">
        <v>33</v>
      </c>
      <c r="D3116" t="str">
        <f t="shared" si="57"/>
        <v>QAT</v>
      </c>
    </row>
    <row r="3117" spans="1:4" ht="49.2" thickTop="1" thickBot="1">
      <c r="A3117" s="7"/>
      <c r="B3117" s="7" t="s">
        <v>9</v>
      </c>
      <c r="C3117" s="7">
        <v>2017</v>
      </c>
      <c r="D3117" t="str">
        <f t="shared" si="57"/>
        <v>QAT</v>
      </c>
    </row>
    <row r="3118" spans="1:4" ht="39.6" thickTop="1" thickBot="1">
      <c r="A3118" s="7"/>
      <c r="B3118" s="7" t="s">
        <v>10</v>
      </c>
      <c r="C3118" s="7">
        <v>2018</v>
      </c>
      <c r="D3118" t="str">
        <f t="shared" si="57"/>
        <v>QAT</v>
      </c>
    </row>
    <row r="3119" spans="1:4" ht="15.6" thickTop="1" thickBot="1">
      <c r="A3119" s="7"/>
      <c r="B3119" s="7" t="s">
        <v>11</v>
      </c>
      <c r="C3119" s="7" t="s">
        <v>1182</v>
      </c>
      <c r="D3119" t="str">
        <f t="shared" si="57"/>
        <v>QAT</v>
      </c>
    </row>
    <row r="3120" spans="1:4" ht="15.6" thickTop="1" thickBot="1">
      <c r="A3120" s="7"/>
      <c r="B3120" s="7" t="s">
        <v>13</v>
      </c>
      <c r="C3120" s="7" t="s">
        <v>1183</v>
      </c>
      <c r="D3120" t="str">
        <f t="shared" si="57"/>
        <v>QAT</v>
      </c>
    </row>
    <row r="3121" spans="1:4" ht="15.6" thickTop="1" thickBot="1">
      <c r="A3121" s="7"/>
      <c r="B3121" s="7" t="s">
        <v>15</v>
      </c>
      <c r="C3121" s="7" t="s">
        <v>1184</v>
      </c>
      <c r="D3121" t="str">
        <f t="shared" si="57"/>
        <v>QAT</v>
      </c>
    </row>
    <row r="3122" spans="1:4" ht="15.6" thickTop="1" thickBot="1">
      <c r="A3122" s="7"/>
      <c r="B3122" s="7" t="s">
        <v>16</v>
      </c>
      <c r="C3122" s="7" t="s">
        <v>1183</v>
      </c>
      <c r="D3122" t="str">
        <f t="shared" si="57"/>
        <v>QAT</v>
      </c>
    </row>
    <row r="3123" spans="1:4" ht="15.6" thickTop="1" thickBot="1">
      <c r="A3123" s="7"/>
      <c r="B3123" s="7" t="s">
        <v>17</v>
      </c>
      <c r="C3123" s="7" t="s">
        <v>1184</v>
      </c>
      <c r="D3123" t="str">
        <f t="shared" si="57"/>
        <v>QAT</v>
      </c>
    </row>
    <row r="3124" spans="1:4" ht="15.6" thickTop="1" thickBot="1">
      <c r="A3124" s="7"/>
      <c r="B3124" s="7" t="s">
        <v>18</v>
      </c>
      <c r="C3124" s="7" t="s">
        <v>1184</v>
      </c>
      <c r="D3124" t="str">
        <f t="shared" si="57"/>
        <v>QAT</v>
      </c>
    </row>
    <row r="3125" spans="1:4" ht="15.6" thickTop="1" thickBot="1">
      <c r="A3125" s="7"/>
      <c r="B3125" s="7" t="s">
        <v>19</v>
      </c>
      <c r="C3125" s="7" t="s">
        <v>1185</v>
      </c>
      <c r="D3125" t="str">
        <f t="shared" si="57"/>
        <v>QAT</v>
      </c>
    </row>
    <row r="3126" spans="1:4" ht="15.6" thickTop="1" thickBot="1">
      <c r="A3126" s="7"/>
      <c r="B3126" s="7" t="s">
        <v>21</v>
      </c>
      <c r="C3126" s="7" t="s">
        <v>1184</v>
      </c>
      <c r="D3126" t="str">
        <f t="shared" si="57"/>
        <v>QAT</v>
      </c>
    </row>
    <row r="3127" spans="1:4" ht="15.6" thickTop="1" thickBot="1">
      <c r="A3127" s="7"/>
      <c r="B3127" s="7" t="s">
        <v>22</v>
      </c>
      <c r="C3127" s="7" t="s">
        <v>1186</v>
      </c>
      <c r="D3127" t="str">
        <f t="shared" si="57"/>
        <v>QAT</v>
      </c>
    </row>
    <row r="3128" spans="1:4" ht="15.6" thickTop="1" thickBot="1">
      <c r="A3128" s="7"/>
      <c r="B3128" s="7" t="s">
        <v>23</v>
      </c>
      <c r="C3128" s="7" t="s">
        <v>1184</v>
      </c>
      <c r="D3128" t="str">
        <f t="shared" si="57"/>
        <v>QAT</v>
      </c>
    </row>
    <row r="3129" spans="1:4" ht="15.6" thickTop="1" thickBot="1">
      <c r="A3129" s="7"/>
      <c r="B3129" s="7" t="s">
        <v>24</v>
      </c>
      <c r="C3129" s="7">
        <v>3320</v>
      </c>
      <c r="D3129" t="str">
        <f t="shared" si="57"/>
        <v>QAT</v>
      </c>
    </row>
    <row r="3130" spans="1:4" ht="30" thickTop="1" thickBot="1">
      <c r="A3130" s="7"/>
      <c r="B3130" s="7" t="s">
        <v>1</v>
      </c>
      <c r="C3130" s="7" t="s">
        <v>2</v>
      </c>
      <c r="D3130" t="str">
        <f t="shared" si="57"/>
        <v>QAT</v>
      </c>
    </row>
    <row r="3131" spans="1:4" ht="30" thickTop="1" thickBot="1">
      <c r="A3131" s="7"/>
      <c r="B3131" s="7" t="s">
        <v>3</v>
      </c>
      <c r="C3131" s="7" t="s">
        <v>59</v>
      </c>
      <c r="D3131" t="str">
        <f t="shared" si="57"/>
        <v>QAT</v>
      </c>
    </row>
    <row r="3132" spans="1:4" ht="20.399999999999999" thickTop="1" thickBot="1">
      <c r="A3132" s="7"/>
      <c r="B3132" s="7" t="s">
        <v>5</v>
      </c>
      <c r="C3132" s="7" t="s">
        <v>6</v>
      </c>
      <c r="D3132" t="str">
        <f t="shared" si="57"/>
        <v>QAT</v>
      </c>
    </row>
    <row r="3133" spans="1:4" ht="30" thickTop="1" thickBot="1">
      <c r="A3133" s="7"/>
      <c r="B3133" s="7" t="s">
        <v>7</v>
      </c>
      <c r="C3133" s="7" t="s">
        <v>60</v>
      </c>
      <c r="D3133" t="str">
        <f t="shared" si="57"/>
        <v>QAT</v>
      </c>
    </row>
    <row r="3134" spans="1:4" ht="30" thickTop="1" thickBot="1">
      <c r="A3134" s="9" t="s">
        <v>1187</v>
      </c>
      <c r="B3134" s="10"/>
      <c r="C3134" s="11"/>
      <c r="D3134" t="str">
        <f t="shared" si="57"/>
        <v>KOR</v>
      </c>
    </row>
    <row r="3135" spans="1:4" ht="30" thickTop="1" thickBot="1">
      <c r="A3135" s="7"/>
      <c r="B3135" s="7" t="s">
        <v>25</v>
      </c>
      <c r="C3135" s="8">
        <v>97030</v>
      </c>
      <c r="D3135" t="str">
        <f t="shared" si="57"/>
        <v>KOR</v>
      </c>
    </row>
    <row r="3136" spans="1:4" ht="20.399999999999999" thickTop="1" thickBot="1">
      <c r="A3136" s="7"/>
      <c r="B3136" s="7" t="s">
        <v>26</v>
      </c>
      <c r="C3136" s="7" t="s">
        <v>427</v>
      </c>
      <c r="D3136" t="str">
        <f t="shared" si="57"/>
        <v>KOR</v>
      </c>
    </row>
    <row r="3137" spans="1:4" ht="20.399999999999999" thickTop="1" thickBot="1">
      <c r="A3137" s="7"/>
      <c r="B3137" s="7" t="s">
        <v>28</v>
      </c>
      <c r="C3137" s="7" t="s">
        <v>1188</v>
      </c>
      <c r="D3137" t="str">
        <f t="shared" si="57"/>
        <v>KOR</v>
      </c>
    </row>
    <row r="3138" spans="1:4" ht="20.399999999999999" thickTop="1" thickBot="1">
      <c r="A3138" s="7"/>
      <c r="B3138" s="7" t="s">
        <v>30</v>
      </c>
      <c r="C3138" s="7" t="s">
        <v>1189</v>
      </c>
      <c r="D3138" t="str">
        <f t="shared" ref="D3138:D3201" si="58">IF(ISNUMBER(FIND(":", A3138)), LEFT(A3138, FIND(":", A3138) - 1), D3137)</f>
        <v>KOR</v>
      </c>
    </row>
    <row r="3139" spans="1:4" ht="20.399999999999999" thickTop="1" thickBot="1">
      <c r="A3139" s="7"/>
      <c r="B3139" s="7" t="s">
        <v>32</v>
      </c>
      <c r="C3139" s="7" t="s">
        <v>33</v>
      </c>
      <c r="D3139" t="str">
        <f t="shared" si="58"/>
        <v>KOR</v>
      </c>
    </row>
    <row r="3140" spans="1:4" ht="49.2" thickTop="1" thickBot="1">
      <c r="A3140" s="7"/>
      <c r="B3140" s="7" t="s">
        <v>9</v>
      </c>
      <c r="C3140" s="7">
        <v>2017</v>
      </c>
      <c r="D3140" t="str">
        <f t="shared" si="58"/>
        <v>KOR</v>
      </c>
    </row>
    <row r="3141" spans="1:4" ht="39.6" thickTop="1" thickBot="1">
      <c r="A3141" s="7"/>
      <c r="B3141" s="7" t="s">
        <v>10</v>
      </c>
      <c r="C3141" s="7">
        <v>2018</v>
      </c>
      <c r="D3141" t="str">
        <f t="shared" si="58"/>
        <v>KOR</v>
      </c>
    </row>
    <row r="3142" spans="1:4" ht="15.6" thickTop="1" thickBot="1">
      <c r="A3142" s="7"/>
      <c r="B3142" s="7" t="s">
        <v>11</v>
      </c>
      <c r="C3142" s="7" t="s">
        <v>1190</v>
      </c>
      <c r="D3142" t="str">
        <f t="shared" si="58"/>
        <v>KOR</v>
      </c>
    </row>
    <row r="3143" spans="1:4" ht="15.6" thickTop="1" thickBot="1">
      <c r="A3143" s="7"/>
      <c r="B3143" s="7" t="s">
        <v>13</v>
      </c>
      <c r="C3143" s="7" t="s">
        <v>802</v>
      </c>
      <c r="D3143" t="str">
        <f t="shared" si="58"/>
        <v>KOR</v>
      </c>
    </row>
    <row r="3144" spans="1:4" ht="15.6" thickTop="1" thickBot="1">
      <c r="A3144" s="7"/>
      <c r="B3144" s="7" t="s">
        <v>15</v>
      </c>
      <c r="C3144" s="7" t="s">
        <v>1191</v>
      </c>
      <c r="D3144" t="str">
        <f t="shared" si="58"/>
        <v>KOR</v>
      </c>
    </row>
    <row r="3145" spans="1:4" ht="15.6" thickTop="1" thickBot="1">
      <c r="A3145" s="7"/>
      <c r="B3145" s="7" t="s">
        <v>22</v>
      </c>
      <c r="C3145" s="7" t="s">
        <v>1192</v>
      </c>
      <c r="D3145" t="str">
        <f t="shared" si="58"/>
        <v>KOR</v>
      </c>
    </row>
    <row r="3146" spans="1:4" ht="15.6" thickTop="1" thickBot="1">
      <c r="A3146" s="7"/>
      <c r="B3146" s="7" t="s">
        <v>23</v>
      </c>
      <c r="C3146" s="7" t="s">
        <v>1191</v>
      </c>
      <c r="D3146" t="str">
        <f t="shared" si="58"/>
        <v>KOR</v>
      </c>
    </row>
    <row r="3147" spans="1:4" ht="15.6" thickTop="1" thickBot="1">
      <c r="A3147" s="7"/>
      <c r="B3147" s="7" t="s">
        <v>24</v>
      </c>
      <c r="C3147" s="7">
        <v>3325</v>
      </c>
      <c r="D3147" t="str">
        <f t="shared" si="58"/>
        <v>KOR</v>
      </c>
    </row>
    <row r="3148" spans="1:4" ht="15.6" thickTop="1" thickBot="1">
      <c r="A3148" s="7"/>
      <c r="B3148" s="7" t="s">
        <v>18</v>
      </c>
      <c r="C3148" s="7" t="s">
        <v>1191</v>
      </c>
      <c r="D3148" t="str">
        <f t="shared" si="58"/>
        <v>KOR</v>
      </c>
    </row>
    <row r="3149" spans="1:4" ht="15.6" thickTop="1" thickBot="1">
      <c r="A3149" s="7"/>
      <c r="B3149" s="7" t="s">
        <v>19</v>
      </c>
      <c r="C3149" s="7" t="s">
        <v>1193</v>
      </c>
      <c r="D3149" t="str">
        <f t="shared" si="58"/>
        <v>KOR</v>
      </c>
    </row>
    <row r="3150" spans="1:4" ht="15.6" thickTop="1" thickBot="1">
      <c r="A3150" s="7"/>
      <c r="B3150" s="7" t="s">
        <v>21</v>
      </c>
      <c r="C3150" s="7" t="s">
        <v>1191</v>
      </c>
      <c r="D3150" t="str">
        <f t="shared" si="58"/>
        <v>KOR</v>
      </c>
    </row>
    <row r="3151" spans="1:4" ht="15.6" thickTop="1" thickBot="1">
      <c r="A3151" s="7"/>
      <c r="B3151" s="7" t="s">
        <v>16</v>
      </c>
      <c r="C3151" s="7" t="s">
        <v>432</v>
      </c>
      <c r="D3151" t="str">
        <f t="shared" si="58"/>
        <v>KOR</v>
      </c>
    </row>
    <row r="3152" spans="1:4" ht="15.6" thickTop="1" thickBot="1">
      <c r="A3152" s="7"/>
      <c r="B3152" s="7" t="s">
        <v>17</v>
      </c>
      <c r="C3152" s="7" t="s">
        <v>1191</v>
      </c>
      <c r="D3152" t="str">
        <f t="shared" si="58"/>
        <v>KOR</v>
      </c>
    </row>
    <row r="3153" spans="1:4" ht="20.399999999999999" thickTop="1" thickBot="1">
      <c r="A3153" s="7"/>
      <c r="B3153" s="7" t="s">
        <v>1</v>
      </c>
      <c r="C3153" s="7" t="s">
        <v>107</v>
      </c>
      <c r="D3153" t="str">
        <f t="shared" si="58"/>
        <v>KOR</v>
      </c>
    </row>
    <row r="3154" spans="1:4" ht="30" thickTop="1" thickBot="1">
      <c r="A3154" s="7"/>
      <c r="B3154" s="7" t="s">
        <v>3</v>
      </c>
      <c r="C3154" s="7" t="s">
        <v>59</v>
      </c>
      <c r="D3154" t="str">
        <f t="shared" si="58"/>
        <v>KOR</v>
      </c>
    </row>
    <row r="3155" spans="1:4" ht="20.399999999999999" thickTop="1" thickBot="1">
      <c r="A3155" s="7"/>
      <c r="B3155" s="7" t="s">
        <v>5</v>
      </c>
      <c r="C3155" s="7" t="s">
        <v>108</v>
      </c>
      <c r="D3155" t="str">
        <f t="shared" si="58"/>
        <v>KOR</v>
      </c>
    </row>
    <row r="3156" spans="1:4" ht="30" thickTop="1" thickBot="1">
      <c r="A3156" s="7"/>
      <c r="B3156" s="7" t="s">
        <v>7</v>
      </c>
      <c r="C3156" s="7" t="s">
        <v>60</v>
      </c>
      <c r="D3156" t="str">
        <f t="shared" si="58"/>
        <v>KOR</v>
      </c>
    </row>
    <row r="3157" spans="1:4" ht="30" thickTop="1" thickBot="1">
      <c r="A3157" s="9" t="s">
        <v>1194</v>
      </c>
      <c r="B3157" s="10"/>
      <c r="C3157" s="11"/>
      <c r="D3157" t="str">
        <f t="shared" si="58"/>
        <v>MDA</v>
      </c>
    </row>
    <row r="3158" spans="1:4" ht="30" thickTop="1" thickBot="1">
      <c r="A3158" s="7"/>
      <c r="B3158" s="7" t="s">
        <v>25</v>
      </c>
      <c r="C3158" s="8">
        <v>32890</v>
      </c>
      <c r="D3158" t="str">
        <f t="shared" si="58"/>
        <v>MDA</v>
      </c>
    </row>
    <row r="3159" spans="1:4" ht="30" thickTop="1" thickBot="1">
      <c r="A3159" s="7"/>
      <c r="B3159" s="7" t="s">
        <v>26</v>
      </c>
      <c r="C3159" s="7" t="s">
        <v>1195</v>
      </c>
      <c r="D3159" t="str">
        <f t="shared" si="58"/>
        <v>MDA</v>
      </c>
    </row>
    <row r="3160" spans="1:4" ht="20.399999999999999" thickTop="1" thickBot="1">
      <c r="A3160" s="7"/>
      <c r="B3160" s="7" t="s">
        <v>28</v>
      </c>
      <c r="C3160" s="7" t="s">
        <v>1196</v>
      </c>
      <c r="D3160" t="str">
        <f t="shared" si="58"/>
        <v>MDA</v>
      </c>
    </row>
    <row r="3161" spans="1:4" ht="20.399999999999999" thickTop="1" thickBot="1">
      <c r="A3161" s="7"/>
      <c r="B3161" s="7" t="s">
        <v>30</v>
      </c>
      <c r="C3161" s="7" t="s">
        <v>1197</v>
      </c>
      <c r="D3161" t="str">
        <f t="shared" si="58"/>
        <v>MDA</v>
      </c>
    </row>
    <row r="3162" spans="1:4" ht="20.399999999999999" thickTop="1" thickBot="1">
      <c r="A3162" s="7"/>
      <c r="B3162" s="7" t="s">
        <v>32</v>
      </c>
      <c r="C3162" s="7" t="s">
        <v>33</v>
      </c>
      <c r="D3162" t="str">
        <f t="shared" si="58"/>
        <v>MDA</v>
      </c>
    </row>
    <row r="3163" spans="1:4" ht="49.2" thickTop="1" thickBot="1">
      <c r="A3163" s="7"/>
      <c r="B3163" s="7" t="s">
        <v>9</v>
      </c>
      <c r="C3163" s="7">
        <v>2017</v>
      </c>
      <c r="D3163" t="str">
        <f t="shared" si="58"/>
        <v>MDA</v>
      </c>
    </row>
    <row r="3164" spans="1:4" ht="39.6" thickTop="1" thickBot="1">
      <c r="A3164" s="7"/>
      <c r="B3164" s="7" t="s">
        <v>10</v>
      </c>
      <c r="C3164" s="7">
        <v>2018</v>
      </c>
      <c r="D3164" t="str">
        <f t="shared" si="58"/>
        <v>MDA</v>
      </c>
    </row>
    <row r="3165" spans="1:4" ht="15.6" thickTop="1" thickBot="1">
      <c r="A3165" s="7"/>
      <c r="B3165" s="7" t="s">
        <v>11</v>
      </c>
      <c r="C3165" s="7" t="s">
        <v>1198</v>
      </c>
      <c r="D3165" t="str">
        <f t="shared" si="58"/>
        <v>MDA</v>
      </c>
    </row>
    <row r="3166" spans="1:4" ht="15.6" thickTop="1" thickBot="1">
      <c r="A3166" s="7"/>
      <c r="B3166" s="7" t="s">
        <v>13</v>
      </c>
      <c r="C3166" s="7" t="s">
        <v>1198</v>
      </c>
      <c r="D3166" t="str">
        <f t="shared" si="58"/>
        <v>MDA</v>
      </c>
    </row>
    <row r="3167" spans="1:4" ht="15.6" thickTop="1" thickBot="1">
      <c r="A3167" s="7"/>
      <c r="B3167" s="7" t="s">
        <v>15</v>
      </c>
      <c r="C3167" s="7" t="s">
        <v>1199</v>
      </c>
      <c r="D3167" t="str">
        <f t="shared" si="58"/>
        <v>MDA</v>
      </c>
    </row>
    <row r="3168" spans="1:4" ht="15.6" thickTop="1" thickBot="1">
      <c r="A3168" s="7"/>
      <c r="B3168" s="7" t="s">
        <v>16</v>
      </c>
      <c r="C3168" s="7" t="s">
        <v>1198</v>
      </c>
      <c r="D3168" t="str">
        <f t="shared" si="58"/>
        <v>MDA</v>
      </c>
    </row>
    <row r="3169" spans="1:4" ht="15.6" thickTop="1" thickBot="1">
      <c r="A3169" s="7"/>
      <c r="B3169" s="7" t="s">
        <v>17</v>
      </c>
      <c r="C3169" s="7" t="s">
        <v>1199</v>
      </c>
      <c r="D3169" t="str">
        <f t="shared" si="58"/>
        <v>MDA</v>
      </c>
    </row>
    <row r="3170" spans="1:4" ht="15.6" thickTop="1" thickBot="1">
      <c r="A3170" s="7"/>
      <c r="B3170" s="7" t="s">
        <v>18</v>
      </c>
      <c r="C3170" s="7" t="s">
        <v>1199</v>
      </c>
      <c r="D3170" t="str">
        <f t="shared" si="58"/>
        <v>MDA</v>
      </c>
    </row>
    <row r="3171" spans="1:4" ht="15.6" thickTop="1" thickBot="1">
      <c r="A3171" s="7"/>
      <c r="B3171" s="7" t="s">
        <v>19</v>
      </c>
      <c r="C3171" s="7" t="s">
        <v>1200</v>
      </c>
      <c r="D3171" t="str">
        <f t="shared" si="58"/>
        <v>MDA</v>
      </c>
    </row>
    <row r="3172" spans="1:4" ht="15.6" thickTop="1" thickBot="1">
      <c r="A3172" s="7"/>
      <c r="B3172" s="7" t="s">
        <v>21</v>
      </c>
      <c r="C3172" s="7" t="s">
        <v>1199</v>
      </c>
      <c r="D3172" t="str">
        <f t="shared" si="58"/>
        <v>MDA</v>
      </c>
    </row>
    <row r="3173" spans="1:4" ht="15.6" thickTop="1" thickBot="1">
      <c r="A3173" s="7"/>
      <c r="B3173" s="7" t="s">
        <v>22</v>
      </c>
      <c r="C3173" s="7" t="s">
        <v>877</v>
      </c>
      <c r="D3173" t="str">
        <f t="shared" si="58"/>
        <v>MDA</v>
      </c>
    </row>
    <row r="3174" spans="1:4" ht="15.6" thickTop="1" thickBot="1">
      <c r="A3174" s="7"/>
      <c r="B3174" s="7" t="s">
        <v>23</v>
      </c>
      <c r="C3174" s="7" t="s">
        <v>1199</v>
      </c>
      <c r="D3174" t="str">
        <f t="shared" si="58"/>
        <v>MDA</v>
      </c>
    </row>
    <row r="3175" spans="1:4" ht="15.6" thickTop="1" thickBot="1">
      <c r="A3175" s="7"/>
      <c r="B3175" s="7" t="s">
        <v>24</v>
      </c>
      <c r="C3175" s="7">
        <v>4260</v>
      </c>
      <c r="D3175" t="str">
        <f t="shared" si="58"/>
        <v>MDA</v>
      </c>
    </row>
    <row r="3176" spans="1:4" ht="20.399999999999999" thickTop="1" thickBot="1">
      <c r="A3176" s="7"/>
      <c r="B3176" s="7" t="s">
        <v>1</v>
      </c>
      <c r="C3176" s="7" t="s">
        <v>35</v>
      </c>
      <c r="D3176" t="str">
        <f t="shared" si="58"/>
        <v>MDA</v>
      </c>
    </row>
    <row r="3177" spans="1:4" ht="30" thickTop="1" thickBot="1">
      <c r="A3177" s="7"/>
      <c r="B3177" s="7" t="s">
        <v>3</v>
      </c>
      <c r="C3177" s="7" t="s">
        <v>69</v>
      </c>
      <c r="D3177" t="str">
        <f t="shared" si="58"/>
        <v>MDA</v>
      </c>
    </row>
    <row r="3178" spans="1:4" ht="20.399999999999999" thickTop="1" thickBot="1">
      <c r="A3178" s="7"/>
      <c r="B3178" s="7" t="s">
        <v>5</v>
      </c>
      <c r="C3178" s="7" t="s">
        <v>37</v>
      </c>
      <c r="D3178" t="str">
        <f t="shared" si="58"/>
        <v>MDA</v>
      </c>
    </row>
    <row r="3179" spans="1:4" ht="30" thickTop="1" thickBot="1">
      <c r="A3179" s="7"/>
      <c r="B3179" s="7" t="s">
        <v>7</v>
      </c>
      <c r="C3179" s="7" t="s">
        <v>70</v>
      </c>
      <c r="D3179" t="str">
        <f t="shared" si="58"/>
        <v>MDA</v>
      </c>
    </row>
    <row r="3180" spans="1:4" ht="20.399999999999999" thickTop="1" thickBot="1">
      <c r="A3180" s="9" t="s">
        <v>1201</v>
      </c>
      <c r="B3180" s="10"/>
      <c r="C3180" s="11"/>
      <c r="D3180" t="str">
        <f t="shared" si="58"/>
        <v>ROU</v>
      </c>
    </row>
    <row r="3181" spans="1:4" ht="30" thickTop="1" thickBot="1">
      <c r="A3181" s="7"/>
      <c r="B3181" s="7" t="s">
        <v>25</v>
      </c>
      <c r="C3181" s="8">
        <v>229900</v>
      </c>
      <c r="D3181" t="str">
        <f t="shared" si="58"/>
        <v>ROU</v>
      </c>
    </row>
    <row r="3182" spans="1:4" ht="20.399999999999999" thickTop="1" thickBot="1">
      <c r="A3182" s="7"/>
      <c r="B3182" s="7" t="s">
        <v>26</v>
      </c>
      <c r="C3182" s="7" t="s">
        <v>1202</v>
      </c>
      <c r="D3182" t="str">
        <f t="shared" si="58"/>
        <v>ROU</v>
      </c>
    </row>
    <row r="3183" spans="1:4" ht="20.399999999999999" thickTop="1" thickBot="1">
      <c r="A3183" s="7"/>
      <c r="B3183" s="7" t="s">
        <v>28</v>
      </c>
      <c r="C3183" s="7" t="s">
        <v>1203</v>
      </c>
      <c r="D3183" t="str">
        <f t="shared" si="58"/>
        <v>ROU</v>
      </c>
    </row>
    <row r="3184" spans="1:4" ht="20.399999999999999" thickTop="1" thickBot="1">
      <c r="A3184" s="7"/>
      <c r="B3184" s="7" t="s">
        <v>30</v>
      </c>
      <c r="C3184" s="7" t="s">
        <v>1204</v>
      </c>
      <c r="D3184" t="str">
        <f t="shared" si="58"/>
        <v>ROU</v>
      </c>
    </row>
    <row r="3185" spans="1:4" ht="20.399999999999999" thickTop="1" thickBot="1">
      <c r="A3185" s="7"/>
      <c r="B3185" s="7" t="s">
        <v>32</v>
      </c>
      <c r="C3185" s="7" t="s">
        <v>33</v>
      </c>
      <c r="D3185" t="str">
        <f t="shared" si="58"/>
        <v>ROU</v>
      </c>
    </row>
    <row r="3186" spans="1:4" ht="49.2" thickTop="1" thickBot="1">
      <c r="A3186" s="7"/>
      <c r="B3186" s="7" t="s">
        <v>9</v>
      </c>
      <c r="C3186" s="7">
        <v>2017</v>
      </c>
      <c r="D3186" t="str">
        <f t="shared" si="58"/>
        <v>ROU</v>
      </c>
    </row>
    <row r="3187" spans="1:4" ht="39.6" thickTop="1" thickBot="1">
      <c r="A3187" s="7"/>
      <c r="B3187" s="7" t="s">
        <v>10</v>
      </c>
      <c r="C3187" s="7">
        <v>2018</v>
      </c>
      <c r="D3187" t="str">
        <f t="shared" si="58"/>
        <v>ROU</v>
      </c>
    </row>
    <row r="3188" spans="1:4" ht="15.6" thickTop="1" thickBot="1">
      <c r="A3188" s="7"/>
      <c r="B3188" s="7" t="s">
        <v>11</v>
      </c>
      <c r="C3188" s="7" t="s">
        <v>1205</v>
      </c>
      <c r="D3188" t="str">
        <f t="shared" si="58"/>
        <v>ROU</v>
      </c>
    </row>
    <row r="3189" spans="1:4" ht="15.6" thickTop="1" thickBot="1">
      <c r="A3189" s="7"/>
      <c r="B3189" s="7" t="s">
        <v>13</v>
      </c>
      <c r="C3189" s="7" t="s">
        <v>1205</v>
      </c>
      <c r="D3189" t="str">
        <f t="shared" si="58"/>
        <v>ROU</v>
      </c>
    </row>
    <row r="3190" spans="1:4" ht="15.6" thickTop="1" thickBot="1">
      <c r="A3190" s="7"/>
      <c r="B3190" s="7" t="s">
        <v>15</v>
      </c>
      <c r="C3190" s="7" t="s">
        <v>1206</v>
      </c>
      <c r="D3190" t="str">
        <f t="shared" si="58"/>
        <v>ROU</v>
      </c>
    </row>
    <row r="3191" spans="1:4" ht="15.6" thickTop="1" thickBot="1">
      <c r="A3191" s="7"/>
      <c r="B3191" s="7" t="s">
        <v>22</v>
      </c>
      <c r="C3191" s="7" t="s">
        <v>1205</v>
      </c>
      <c r="D3191" t="str">
        <f t="shared" si="58"/>
        <v>ROU</v>
      </c>
    </row>
    <row r="3192" spans="1:4" ht="15.6" thickTop="1" thickBot="1">
      <c r="A3192" s="7"/>
      <c r="B3192" s="7" t="s">
        <v>23</v>
      </c>
      <c r="C3192" s="7" t="s">
        <v>1207</v>
      </c>
      <c r="D3192" t="str">
        <f t="shared" si="58"/>
        <v>ROU</v>
      </c>
    </row>
    <row r="3193" spans="1:4" ht="15.6" thickTop="1" thickBot="1">
      <c r="A3193" s="7"/>
      <c r="B3193" s="7" t="s">
        <v>24</v>
      </c>
      <c r="C3193" s="7">
        <v>4270</v>
      </c>
      <c r="D3193" t="str">
        <f t="shared" si="58"/>
        <v>ROU</v>
      </c>
    </row>
    <row r="3194" spans="1:4" ht="15.6" thickTop="1" thickBot="1">
      <c r="A3194" s="7"/>
      <c r="B3194" s="7" t="s">
        <v>18</v>
      </c>
      <c r="C3194" s="7" t="s">
        <v>1207</v>
      </c>
      <c r="D3194" t="str">
        <f t="shared" si="58"/>
        <v>ROU</v>
      </c>
    </row>
    <row r="3195" spans="1:4" ht="15.6" thickTop="1" thickBot="1">
      <c r="A3195" s="7"/>
      <c r="B3195" s="7" t="s">
        <v>19</v>
      </c>
      <c r="C3195" s="7" t="s">
        <v>1208</v>
      </c>
      <c r="D3195" t="str">
        <f t="shared" si="58"/>
        <v>ROU</v>
      </c>
    </row>
    <row r="3196" spans="1:4" ht="15.6" thickTop="1" thickBot="1">
      <c r="A3196" s="7"/>
      <c r="B3196" s="7" t="s">
        <v>21</v>
      </c>
      <c r="C3196" s="7" t="s">
        <v>1206</v>
      </c>
      <c r="D3196" t="str">
        <f t="shared" si="58"/>
        <v>ROU</v>
      </c>
    </row>
    <row r="3197" spans="1:4" ht="15.6" thickTop="1" thickBot="1">
      <c r="A3197" s="7"/>
      <c r="B3197" s="7" t="s">
        <v>16</v>
      </c>
      <c r="C3197" s="7" t="s">
        <v>1205</v>
      </c>
      <c r="D3197" t="str">
        <f t="shared" si="58"/>
        <v>ROU</v>
      </c>
    </row>
    <row r="3198" spans="1:4" ht="15.6" thickTop="1" thickBot="1">
      <c r="A3198" s="7"/>
      <c r="B3198" s="7" t="s">
        <v>17</v>
      </c>
      <c r="C3198" s="7" t="s">
        <v>1207</v>
      </c>
      <c r="D3198" t="str">
        <f t="shared" si="58"/>
        <v>ROU</v>
      </c>
    </row>
    <row r="3199" spans="1:4" ht="20.399999999999999" thickTop="1" thickBot="1">
      <c r="A3199" s="7"/>
      <c r="B3199" s="7" t="s">
        <v>1</v>
      </c>
      <c r="C3199" s="7" t="s">
        <v>35</v>
      </c>
      <c r="D3199" t="str">
        <f t="shared" si="58"/>
        <v>ROU</v>
      </c>
    </row>
    <row r="3200" spans="1:4" ht="30" thickTop="1" thickBot="1">
      <c r="A3200" s="7"/>
      <c r="B3200" s="7" t="s">
        <v>3</v>
      </c>
      <c r="C3200" s="7" t="s">
        <v>36</v>
      </c>
      <c r="D3200" t="str">
        <f t="shared" si="58"/>
        <v>ROU</v>
      </c>
    </row>
    <row r="3201" spans="1:4" ht="20.399999999999999" thickTop="1" thickBot="1">
      <c r="A3201" s="7"/>
      <c r="B3201" s="7" t="s">
        <v>5</v>
      </c>
      <c r="C3201" s="7" t="s">
        <v>37</v>
      </c>
      <c r="D3201" t="str">
        <f t="shared" si="58"/>
        <v>ROU</v>
      </c>
    </row>
    <row r="3202" spans="1:4" ht="30" thickTop="1" thickBot="1">
      <c r="A3202" s="7"/>
      <c r="B3202" s="7" t="s">
        <v>7</v>
      </c>
      <c r="C3202" s="7" t="s">
        <v>38</v>
      </c>
      <c r="D3202" t="str">
        <f t="shared" ref="D3202:D3265" si="59">IF(ISNUMBER(FIND(":", A3202)), LEFT(A3202, FIND(":", A3202) - 1), D3201)</f>
        <v>ROU</v>
      </c>
    </row>
    <row r="3203" spans="1:4" ht="30" thickTop="1" thickBot="1">
      <c r="A3203" s="9" t="s">
        <v>1209</v>
      </c>
      <c r="B3203" s="10"/>
      <c r="C3203" s="11"/>
      <c r="D3203" t="str">
        <f t="shared" si="59"/>
        <v>RUS</v>
      </c>
    </row>
    <row r="3204" spans="1:4" ht="30" thickTop="1" thickBot="1">
      <c r="A3204" s="7"/>
      <c r="B3204" s="7" t="s">
        <v>25</v>
      </c>
      <c r="C3204" s="8">
        <v>16376870</v>
      </c>
      <c r="D3204" t="str">
        <f t="shared" si="59"/>
        <v>RUS</v>
      </c>
    </row>
    <row r="3205" spans="1:4" ht="39.6" thickTop="1" thickBot="1">
      <c r="A3205" s="7"/>
      <c r="B3205" s="7" t="s">
        <v>26</v>
      </c>
      <c r="C3205" s="7" t="s">
        <v>1210</v>
      </c>
      <c r="D3205" t="str">
        <f t="shared" si="59"/>
        <v>RUS</v>
      </c>
    </row>
    <row r="3206" spans="1:4" ht="20.399999999999999" thickTop="1" thickBot="1">
      <c r="A3206" s="7"/>
      <c r="B3206" s="7" t="s">
        <v>28</v>
      </c>
      <c r="C3206" s="7" t="s">
        <v>1211</v>
      </c>
      <c r="D3206" t="str">
        <f t="shared" si="59"/>
        <v>RUS</v>
      </c>
    </row>
    <row r="3207" spans="1:4" ht="20.399999999999999" thickTop="1" thickBot="1">
      <c r="A3207" s="7"/>
      <c r="B3207" s="7" t="s">
        <v>30</v>
      </c>
      <c r="C3207" s="7" t="s">
        <v>1212</v>
      </c>
      <c r="D3207" t="str">
        <f t="shared" si="59"/>
        <v>RUS</v>
      </c>
    </row>
    <row r="3208" spans="1:4" ht="20.399999999999999" thickTop="1" thickBot="1">
      <c r="A3208" s="7"/>
      <c r="B3208" s="7" t="s">
        <v>32</v>
      </c>
      <c r="C3208" s="7" t="s">
        <v>33</v>
      </c>
      <c r="D3208" t="str">
        <f t="shared" si="59"/>
        <v>RUS</v>
      </c>
    </row>
    <row r="3209" spans="1:4" ht="49.2" thickTop="1" thickBot="1">
      <c r="A3209" s="7"/>
      <c r="B3209" s="7" t="s">
        <v>9</v>
      </c>
      <c r="C3209" s="7">
        <v>2017</v>
      </c>
      <c r="D3209" t="str">
        <f t="shared" si="59"/>
        <v>RUS</v>
      </c>
    </row>
    <row r="3210" spans="1:4" ht="39.6" thickTop="1" thickBot="1">
      <c r="A3210" s="7"/>
      <c r="B3210" s="7" t="s">
        <v>10</v>
      </c>
      <c r="C3210" s="7">
        <v>2018</v>
      </c>
      <c r="D3210" t="str">
        <f t="shared" si="59"/>
        <v>RUS</v>
      </c>
    </row>
    <row r="3211" spans="1:4" ht="15.6" thickTop="1" thickBot="1">
      <c r="A3211" s="7"/>
      <c r="B3211" s="7" t="s">
        <v>11</v>
      </c>
      <c r="C3211" s="7" t="s">
        <v>1213</v>
      </c>
      <c r="D3211" t="str">
        <f t="shared" si="59"/>
        <v>RUS</v>
      </c>
    </row>
    <row r="3212" spans="1:4" ht="15.6" thickTop="1" thickBot="1">
      <c r="A3212" s="7"/>
      <c r="B3212" s="7" t="s">
        <v>13</v>
      </c>
      <c r="C3212" s="7" t="s">
        <v>1214</v>
      </c>
      <c r="D3212" t="str">
        <f t="shared" si="59"/>
        <v>RUS</v>
      </c>
    </row>
    <row r="3213" spans="1:4" ht="15.6" thickTop="1" thickBot="1">
      <c r="A3213" s="7"/>
      <c r="B3213" s="7" t="s">
        <v>15</v>
      </c>
      <c r="C3213" s="7" t="s">
        <v>1213</v>
      </c>
      <c r="D3213" t="str">
        <f t="shared" si="59"/>
        <v>RUS</v>
      </c>
    </row>
    <row r="3214" spans="1:4" ht="15.6" thickTop="1" thickBot="1">
      <c r="A3214" s="7"/>
      <c r="B3214" s="7" t="s">
        <v>22</v>
      </c>
      <c r="C3214" s="7" t="s">
        <v>1214</v>
      </c>
      <c r="D3214" t="str">
        <f t="shared" si="59"/>
        <v>RUS</v>
      </c>
    </row>
    <row r="3215" spans="1:4" ht="15.6" thickTop="1" thickBot="1">
      <c r="A3215" s="7"/>
      <c r="B3215" s="7" t="s">
        <v>23</v>
      </c>
      <c r="C3215" s="7" t="s">
        <v>1213</v>
      </c>
      <c r="D3215" t="str">
        <f t="shared" si="59"/>
        <v>RUS</v>
      </c>
    </row>
    <row r="3216" spans="1:4" ht="15.6" thickTop="1" thickBot="1">
      <c r="A3216" s="7"/>
      <c r="B3216" s="7" t="s">
        <v>24</v>
      </c>
      <c r="C3216" s="7">
        <v>4272</v>
      </c>
      <c r="D3216" t="str">
        <f t="shared" si="59"/>
        <v>RUS</v>
      </c>
    </row>
    <row r="3217" spans="1:4" ht="15.6" thickTop="1" thickBot="1">
      <c r="A3217" s="7"/>
      <c r="B3217" s="7" t="s">
        <v>18</v>
      </c>
      <c r="C3217" s="7" t="s">
        <v>1213</v>
      </c>
      <c r="D3217" t="str">
        <f t="shared" si="59"/>
        <v>RUS</v>
      </c>
    </row>
    <row r="3218" spans="1:4" ht="15.6" thickTop="1" thickBot="1">
      <c r="A3218" s="7"/>
      <c r="B3218" s="7" t="s">
        <v>19</v>
      </c>
      <c r="C3218" s="7" t="s">
        <v>1215</v>
      </c>
      <c r="D3218" t="str">
        <f t="shared" si="59"/>
        <v>RUS</v>
      </c>
    </row>
    <row r="3219" spans="1:4" ht="15.6" thickTop="1" thickBot="1">
      <c r="A3219" s="7"/>
      <c r="B3219" s="7" t="s">
        <v>21</v>
      </c>
      <c r="C3219" s="7" t="s">
        <v>1213</v>
      </c>
      <c r="D3219" t="str">
        <f t="shared" si="59"/>
        <v>RUS</v>
      </c>
    </row>
    <row r="3220" spans="1:4" ht="15.6" thickTop="1" thickBot="1">
      <c r="A3220" s="7"/>
      <c r="B3220" s="7" t="s">
        <v>16</v>
      </c>
      <c r="C3220" s="7" t="s">
        <v>263</v>
      </c>
      <c r="D3220" t="str">
        <f t="shared" si="59"/>
        <v>RUS</v>
      </c>
    </row>
    <row r="3221" spans="1:4" ht="15.6" thickTop="1" thickBot="1">
      <c r="A3221" s="7"/>
      <c r="B3221" s="7" t="s">
        <v>17</v>
      </c>
      <c r="C3221" s="7" t="s">
        <v>1213</v>
      </c>
      <c r="D3221" t="str">
        <f t="shared" si="59"/>
        <v>RUS</v>
      </c>
    </row>
    <row r="3222" spans="1:4" ht="20.399999999999999" thickTop="1" thickBot="1">
      <c r="A3222" s="7"/>
      <c r="B3222" s="7" t="s">
        <v>1</v>
      </c>
      <c r="C3222" s="7" t="s">
        <v>35</v>
      </c>
      <c r="D3222" t="str">
        <f t="shared" si="59"/>
        <v>RUS</v>
      </c>
    </row>
    <row r="3223" spans="1:4" ht="30" thickTop="1" thickBot="1">
      <c r="A3223" s="7"/>
      <c r="B3223" s="7" t="s">
        <v>3</v>
      </c>
      <c r="C3223" s="7" t="s">
        <v>36</v>
      </c>
      <c r="D3223" t="str">
        <f t="shared" si="59"/>
        <v>RUS</v>
      </c>
    </row>
    <row r="3224" spans="1:4" ht="20.399999999999999" thickTop="1" thickBot="1">
      <c r="A3224" s="7"/>
      <c r="B3224" s="7" t="s">
        <v>5</v>
      </c>
      <c r="C3224" s="7" t="s">
        <v>37</v>
      </c>
      <c r="D3224" t="str">
        <f t="shared" si="59"/>
        <v>RUS</v>
      </c>
    </row>
    <row r="3225" spans="1:4" ht="30" thickTop="1" thickBot="1">
      <c r="A3225" s="7"/>
      <c r="B3225" s="7" t="s">
        <v>7</v>
      </c>
      <c r="C3225" s="7" t="s">
        <v>38</v>
      </c>
      <c r="D3225" t="str">
        <f t="shared" si="59"/>
        <v>RUS</v>
      </c>
    </row>
    <row r="3226" spans="1:4" ht="20.399999999999999" thickTop="1" thickBot="1">
      <c r="A3226" s="9" t="s">
        <v>1216</v>
      </c>
      <c r="B3226" s="10"/>
      <c r="C3226" s="11"/>
      <c r="D3226" t="str">
        <f t="shared" si="59"/>
        <v>RWA</v>
      </c>
    </row>
    <row r="3227" spans="1:4" ht="30" thickTop="1" thickBot="1">
      <c r="A3227" s="7"/>
      <c r="B3227" s="7" t="s">
        <v>25</v>
      </c>
      <c r="C3227" s="8">
        <v>24670</v>
      </c>
      <c r="D3227" t="str">
        <f t="shared" si="59"/>
        <v>RWA</v>
      </c>
    </row>
    <row r="3228" spans="1:4" ht="39.6" thickTop="1" thickBot="1">
      <c r="A3228" s="7"/>
      <c r="B3228" s="7" t="s">
        <v>26</v>
      </c>
      <c r="C3228" s="7" t="s">
        <v>1217</v>
      </c>
      <c r="D3228" t="str">
        <f t="shared" si="59"/>
        <v>RWA</v>
      </c>
    </row>
    <row r="3229" spans="1:4" ht="20.399999999999999" thickTop="1" thickBot="1">
      <c r="A3229" s="7"/>
      <c r="B3229" s="7" t="s">
        <v>28</v>
      </c>
      <c r="C3229" s="7" t="s">
        <v>1218</v>
      </c>
      <c r="D3229" t="str">
        <f t="shared" si="59"/>
        <v>RWA</v>
      </c>
    </row>
    <row r="3230" spans="1:4" ht="20.399999999999999" thickTop="1" thickBot="1">
      <c r="A3230" s="7"/>
      <c r="B3230" s="7" t="s">
        <v>30</v>
      </c>
      <c r="C3230" s="7" t="s">
        <v>1218</v>
      </c>
      <c r="D3230" t="str">
        <f t="shared" si="59"/>
        <v>RWA</v>
      </c>
    </row>
    <row r="3231" spans="1:4" ht="20.399999999999999" thickTop="1" thickBot="1">
      <c r="A3231" s="7"/>
      <c r="B3231" s="7" t="s">
        <v>32</v>
      </c>
      <c r="C3231" s="7" t="s">
        <v>33</v>
      </c>
      <c r="D3231" t="str">
        <f t="shared" si="59"/>
        <v>RWA</v>
      </c>
    </row>
    <row r="3232" spans="1:4" ht="49.2" thickTop="1" thickBot="1">
      <c r="A3232" s="7"/>
      <c r="B3232" s="7" t="s">
        <v>9</v>
      </c>
      <c r="C3232" s="7">
        <v>2017</v>
      </c>
      <c r="D3232" t="str">
        <f t="shared" si="59"/>
        <v>RWA</v>
      </c>
    </row>
    <row r="3233" spans="1:4" ht="39.6" thickTop="1" thickBot="1">
      <c r="A3233" s="7"/>
      <c r="B3233" s="7" t="s">
        <v>10</v>
      </c>
      <c r="C3233" s="7">
        <v>2018</v>
      </c>
      <c r="D3233" t="str">
        <f t="shared" si="59"/>
        <v>RWA</v>
      </c>
    </row>
    <row r="3234" spans="1:4" ht="15.6" thickTop="1" thickBot="1">
      <c r="A3234" s="7"/>
      <c r="B3234" s="7" t="s">
        <v>11</v>
      </c>
      <c r="C3234" s="7" t="s">
        <v>1219</v>
      </c>
      <c r="D3234" t="str">
        <f t="shared" si="59"/>
        <v>RWA</v>
      </c>
    </row>
    <row r="3235" spans="1:4" ht="15.6" thickTop="1" thickBot="1">
      <c r="A3235" s="7"/>
      <c r="B3235" s="7" t="s">
        <v>13</v>
      </c>
      <c r="C3235" s="7" t="s">
        <v>1220</v>
      </c>
      <c r="D3235" t="str">
        <f t="shared" si="59"/>
        <v>RWA</v>
      </c>
    </row>
    <row r="3236" spans="1:4" ht="15.6" thickTop="1" thickBot="1">
      <c r="A3236" s="7"/>
      <c r="B3236" s="7" t="s">
        <v>15</v>
      </c>
      <c r="C3236" s="7" t="s">
        <v>1219</v>
      </c>
      <c r="D3236" t="str">
        <f t="shared" si="59"/>
        <v>RWA</v>
      </c>
    </row>
    <row r="3237" spans="1:4" ht="15.6" thickTop="1" thickBot="1">
      <c r="A3237" s="7"/>
      <c r="B3237" s="7" t="s">
        <v>16</v>
      </c>
      <c r="C3237" s="7" t="s">
        <v>1220</v>
      </c>
      <c r="D3237" t="str">
        <f t="shared" si="59"/>
        <v>RWA</v>
      </c>
    </row>
    <row r="3238" spans="1:4" ht="15.6" thickTop="1" thickBot="1">
      <c r="A3238" s="7"/>
      <c r="B3238" s="7" t="s">
        <v>17</v>
      </c>
      <c r="C3238" s="7" t="s">
        <v>1219</v>
      </c>
      <c r="D3238" t="str">
        <f t="shared" si="59"/>
        <v>RWA</v>
      </c>
    </row>
    <row r="3239" spans="1:4" ht="15.6" thickTop="1" thickBot="1">
      <c r="A3239" s="7"/>
      <c r="B3239" s="7" t="s">
        <v>18</v>
      </c>
      <c r="C3239" s="7" t="s">
        <v>1221</v>
      </c>
      <c r="D3239" t="str">
        <f t="shared" si="59"/>
        <v>RWA</v>
      </c>
    </row>
    <row r="3240" spans="1:4" ht="15.6" thickTop="1" thickBot="1">
      <c r="A3240" s="7"/>
      <c r="B3240" s="7" t="s">
        <v>19</v>
      </c>
      <c r="C3240" s="7" t="s">
        <v>1222</v>
      </c>
      <c r="D3240" t="str">
        <f t="shared" si="59"/>
        <v>RWA</v>
      </c>
    </row>
    <row r="3241" spans="1:4" ht="15.6" thickTop="1" thickBot="1">
      <c r="A3241" s="7"/>
      <c r="B3241" s="7" t="s">
        <v>21</v>
      </c>
      <c r="C3241" s="7" t="s">
        <v>1219</v>
      </c>
      <c r="D3241" t="str">
        <f t="shared" si="59"/>
        <v>RWA</v>
      </c>
    </row>
    <row r="3242" spans="1:4" ht="15.6" thickTop="1" thickBot="1">
      <c r="A3242" s="7"/>
      <c r="B3242" s="7" t="s">
        <v>22</v>
      </c>
      <c r="C3242" s="7" t="s">
        <v>1220</v>
      </c>
      <c r="D3242" t="str">
        <f t="shared" si="59"/>
        <v>RWA</v>
      </c>
    </row>
    <row r="3243" spans="1:4" ht="15.6" thickTop="1" thickBot="1">
      <c r="A3243" s="7"/>
      <c r="B3243" s="7" t="s">
        <v>23</v>
      </c>
      <c r="C3243" s="7" t="s">
        <v>1219</v>
      </c>
      <c r="D3243" t="str">
        <f t="shared" si="59"/>
        <v>RWA</v>
      </c>
    </row>
    <row r="3244" spans="1:4" ht="15.6" thickTop="1" thickBot="1">
      <c r="A3244" s="7"/>
      <c r="B3244" s="7" t="s">
        <v>24</v>
      </c>
      <c r="C3244" s="7">
        <v>1370</v>
      </c>
      <c r="D3244" t="str">
        <f t="shared" si="59"/>
        <v>RWA</v>
      </c>
    </row>
    <row r="3245" spans="1:4" ht="20.399999999999999" thickTop="1" thickBot="1">
      <c r="A3245" s="7"/>
      <c r="B3245" s="7" t="s">
        <v>1</v>
      </c>
      <c r="C3245" s="7" t="s">
        <v>50</v>
      </c>
      <c r="D3245" t="str">
        <f t="shared" si="59"/>
        <v>RWA</v>
      </c>
    </row>
    <row r="3246" spans="1:4" ht="30" thickTop="1" thickBot="1">
      <c r="A3246" s="7"/>
      <c r="B3246" s="7" t="s">
        <v>3</v>
      </c>
      <c r="C3246" s="7" t="s">
        <v>4</v>
      </c>
      <c r="D3246" t="str">
        <f t="shared" si="59"/>
        <v>RWA</v>
      </c>
    </row>
    <row r="3247" spans="1:4" ht="20.399999999999999" thickTop="1" thickBot="1">
      <c r="A3247" s="7"/>
      <c r="B3247" s="7" t="s">
        <v>5</v>
      </c>
      <c r="C3247" s="7" t="s">
        <v>51</v>
      </c>
      <c r="D3247" t="str">
        <f t="shared" si="59"/>
        <v>RWA</v>
      </c>
    </row>
    <row r="3248" spans="1:4" ht="30" thickTop="1" thickBot="1">
      <c r="A3248" s="7"/>
      <c r="B3248" s="7" t="s">
        <v>7</v>
      </c>
      <c r="C3248" s="7" t="s">
        <v>8</v>
      </c>
      <c r="D3248" t="str">
        <f t="shared" si="59"/>
        <v>RWA</v>
      </c>
    </row>
    <row r="3249" spans="1:4" ht="30" thickTop="1" thickBot="1">
      <c r="A3249" s="9" t="s">
        <v>1223</v>
      </c>
      <c r="B3249" s="10"/>
      <c r="C3249" s="11"/>
      <c r="D3249" t="str">
        <f t="shared" si="59"/>
        <v>KNA</v>
      </c>
    </row>
    <row r="3250" spans="1:4" ht="20.399999999999999" thickTop="1" thickBot="1">
      <c r="A3250" s="7"/>
      <c r="B3250" s="7" t="s">
        <v>26</v>
      </c>
      <c r="C3250" s="7" t="s">
        <v>106</v>
      </c>
      <c r="D3250" t="str">
        <f t="shared" si="59"/>
        <v>KNA</v>
      </c>
    </row>
    <row r="3251" spans="1:4" ht="20.399999999999999" thickTop="1" thickBot="1">
      <c r="A3251" s="7"/>
      <c r="B3251" s="7" t="s">
        <v>28</v>
      </c>
      <c r="C3251" s="7" t="s">
        <v>1224</v>
      </c>
      <c r="D3251" t="str">
        <f t="shared" si="59"/>
        <v>KNA</v>
      </c>
    </row>
    <row r="3252" spans="1:4" ht="20.399999999999999" thickTop="1" thickBot="1">
      <c r="A3252" s="7"/>
      <c r="B3252" s="7" t="s">
        <v>30</v>
      </c>
      <c r="C3252" s="7" t="s">
        <v>1225</v>
      </c>
      <c r="D3252" t="str">
        <f t="shared" si="59"/>
        <v>KNA</v>
      </c>
    </row>
    <row r="3253" spans="1:4" ht="20.399999999999999" thickTop="1" thickBot="1">
      <c r="A3253" s="7"/>
      <c r="B3253" s="7" t="s">
        <v>32</v>
      </c>
      <c r="C3253" s="7" t="s">
        <v>33</v>
      </c>
      <c r="D3253" t="str">
        <f t="shared" si="59"/>
        <v>KNA</v>
      </c>
    </row>
    <row r="3254" spans="1:4" ht="49.2" thickTop="1" thickBot="1">
      <c r="A3254" s="7"/>
      <c r="B3254" s="7" t="s">
        <v>9</v>
      </c>
      <c r="C3254" s="7">
        <v>2017</v>
      </c>
      <c r="D3254" t="str">
        <f t="shared" si="59"/>
        <v>KNA</v>
      </c>
    </row>
    <row r="3255" spans="1:4" ht="39.6" thickTop="1" thickBot="1">
      <c r="A3255" s="7"/>
      <c r="B3255" s="7" t="s">
        <v>10</v>
      </c>
      <c r="C3255" s="7">
        <v>2018</v>
      </c>
      <c r="D3255" t="str">
        <f t="shared" si="59"/>
        <v>KNA</v>
      </c>
    </row>
    <row r="3256" spans="1:4" ht="15.6" thickTop="1" thickBot="1">
      <c r="A3256" s="7"/>
      <c r="B3256" s="7" t="s">
        <v>13</v>
      </c>
      <c r="C3256" s="7" t="s">
        <v>1226</v>
      </c>
      <c r="D3256" t="str">
        <f t="shared" si="59"/>
        <v>KNA</v>
      </c>
    </row>
    <row r="3257" spans="1:4" ht="15.6" thickTop="1" thickBot="1">
      <c r="A3257" s="7"/>
      <c r="B3257" s="7" t="s">
        <v>15</v>
      </c>
      <c r="C3257" s="7" t="s">
        <v>1227</v>
      </c>
      <c r="D3257" t="str">
        <f t="shared" si="59"/>
        <v>KNA</v>
      </c>
    </row>
    <row r="3258" spans="1:4" ht="15.6" thickTop="1" thickBot="1">
      <c r="A3258" s="7"/>
      <c r="B3258" s="7" t="s">
        <v>22</v>
      </c>
      <c r="C3258" s="7" t="s">
        <v>83</v>
      </c>
      <c r="D3258" t="str">
        <f t="shared" si="59"/>
        <v>KNA</v>
      </c>
    </row>
    <row r="3259" spans="1:4" ht="15.6" thickTop="1" thickBot="1">
      <c r="A3259" s="7"/>
      <c r="B3259" s="7" t="s">
        <v>23</v>
      </c>
      <c r="C3259" s="7" t="s">
        <v>1228</v>
      </c>
      <c r="D3259" t="str">
        <f t="shared" si="59"/>
        <v>KNA</v>
      </c>
    </row>
    <row r="3260" spans="1:4" ht="15.6" thickTop="1" thickBot="1">
      <c r="A3260" s="7"/>
      <c r="B3260" s="7" t="s">
        <v>24</v>
      </c>
      <c r="C3260" s="7">
        <v>2385</v>
      </c>
      <c r="D3260" t="str">
        <f t="shared" si="59"/>
        <v>KNA</v>
      </c>
    </row>
    <row r="3261" spans="1:4" ht="15.6" thickTop="1" thickBot="1">
      <c r="A3261" s="7"/>
      <c r="B3261" s="7" t="s">
        <v>18</v>
      </c>
      <c r="C3261" s="7" t="s">
        <v>1229</v>
      </c>
      <c r="D3261" t="str">
        <f t="shared" si="59"/>
        <v>KNA</v>
      </c>
    </row>
    <row r="3262" spans="1:4" ht="15.6" thickTop="1" thickBot="1">
      <c r="A3262" s="7"/>
      <c r="B3262" s="7" t="s">
        <v>19</v>
      </c>
      <c r="C3262" s="7" t="s">
        <v>1230</v>
      </c>
      <c r="D3262" t="str">
        <f t="shared" si="59"/>
        <v>KNA</v>
      </c>
    </row>
    <row r="3263" spans="1:4" ht="15.6" thickTop="1" thickBot="1">
      <c r="A3263" s="7"/>
      <c r="B3263" s="7" t="s">
        <v>21</v>
      </c>
      <c r="C3263" s="7" t="s">
        <v>1229</v>
      </c>
      <c r="D3263" t="str">
        <f t="shared" si="59"/>
        <v>KNA</v>
      </c>
    </row>
    <row r="3264" spans="1:4" ht="15.6" thickTop="1" thickBot="1">
      <c r="A3264" s="7"/>
      <c r="B3264" s="7" t="s">
        <v>16</v>
      </c>
      <c r="C3264" s="7" t="s">
        <v>430</v>
      </c>
      <c r="D3264" t="str">
        <f t="shared" si="59"/>
        <v>KNA</v>
      </c>
    </row>
    <row r="3265" spans="1:4" ht="15.6" thickTop="1" thickBot="1">
      <c r="A3265" s="7"/>
      <c r="B3265" s="7" t="s">
        <v>17</v>
      </c>
      <c r="C3265" s="7" t="s">
        <v>1228</v>
      </c>
      <c r="D3265" t="str">
        <f t="shared" si="59"/>
        <v>KNA</v>
      </c>
    </row>
    <row r="3266" spans="1:4" ht="20.399999999999999" thickTop="1" thickBot="1">
      <c r="A3266" s="7"/>
      <c r="B3266" s="7" t="s">
        <v>1</v>
      </c>
      <c r="C3266" s="7" t="s">
        <v>79</v>
      </c>
      <c r="D3266" t="str">
        <f t="shared" ref="D3266:D3329" si="60">IF(ISNUMBER(FIND(":", A3266)), LEFT(A3266, FIND(":", A3266) - 1), D3265)</f>
        <v>KNA</v>
      </c>
    </row>
    <row r="3267" spans="1:4" ht="30" thickTop="1" thickBot="1">
      <c r="A3267" s="7"/>
      <c r="B3267" s="7" t="s">
        <v>3</v>
      </c>
      <c r="C3267" s="7" t="s">
        <v>59</v>
      </c>
      <c r="D3267" t="str">
        <f t="shared" si="60"/>
        <v>KNA</v>
      </c>
    </row>
    <row r="3268" spans="1:4" ht="20.399999999999999" thickTop="1" thickBot="1">
      <c r="A3268" s="7"/>
      <c r="B3268" s="7" t="s">
        <v>5</v>
      </c>
      <c r="C3268" s="7" t="s">
        <v>80</v>
      </c>
      <c r="D3268" t="str">
        <f t="shared" si="60"/>
        <v>KNA</v>
      </c>
    </row>
    <row r="3269" spans="1:4" ht="30" thickTop="1" thickBot="1">
      <c r="A3269" s="7"/>
      <c r="B3269" s="7" t="s">
        <v>7</v>
      </c>
      <c r="C3269" s="7" t="s">
        <v>60</v>
      </c>
      <c r="D3269" t="str">
        <f t="shared" si="60"/>
        <v>KNA</v>
      </c>
    </row>
    <row r="3270" spans="1:4" ht="20.399999999999999" thickTop="1" thickBot="1">
      <c r="A3270" s="9" t="s">
        <v>1231</v>
      </c>
      <c r="B3270" s="10"/>
      <c r="C3270" s="11"/>
      <c r="D3270" t="str">
        <f t="shared" si="60"/>
        <v>LCA</v>
      </c>
    </row>
    <row r="3271" spans="1:4" ht="30" thickTop="1" thickBot="1">
      <c r="A3271" s="7"/>
      <c r="B3271" s="7" t="s">
        <v>26</v>
      </c>
      <c r="C3271" s="7" t="s">
        <v>461</v>
      </c>
      <c r="D3271" t="str">
        <f t="shared" si="60"/>
        <v>LCA</v>
      </c>
    </row>
    <row r="3272" spans="1:4" ht="20.399999999999999" thickTop="1" thickBot="1">
      <c r="A3272" s="7"/>
      <c r="B3272" s="7" t="s">
        <v>28</v>
      </c>
      <c r="C3272" s="7" t="s">
        <v>1232</v>
      </c>
      <c r="D3272" t="str">
        <f t="shared" si="60"/>
        <v>LCA</v>
      </c>
    </row>
    <row r="3273" spans="1:4" ht="20.399999999999999" thickTop="1" thickBot="1">
      <c r="A3273" s="7"/>
      <c r="B3273" s="7" t="s">
        <v>30</v>
      </c>
      <c r="C3273" s="7" t="s">
        <v>1233</v>
      </c>
      <c r="D3273" t="str">
        <f t="shared" si="60"/>
        <v>LCA</v>
      </c>
    </row>
    <row r="3274" spans="1:4" ht="20.399999999999999" thickTop="1" thickBot="1">
      <c r="A3274" s="7"/>
      <c r="B3274" s="7" t="s">
        <v>32</v>
      </c>
      <c r="C3274" s="7" t="s">
        <v>33</v>
      </c>
      <c r="D3274" t="str">
        <f t="shared" si="60"/>
        <v>LCA</v>
      </c>
    </row>
    <row r="3275" spans="1:4" ht="49.2" thickTop="1" thickBot="1">
      <c r="A3275" s="7"/>
      <c r="B3275" s="7" t="s">
        <v>9</v>
      </c>
      <c r="C3275" s="7">
        <v>2017</v>
      </c>
      <c r="D3275" t="str">
        <f t="shared" si="60"/>
        <v>LCA</v>
      </c>
    </row>
    <row r="3276" spans="1:4" ht="39.6" thickTop="1" thickBot="1">
      <c r="A3276" s="7"/>
      <c r="B3276" s="7" t="s">
        <v>10</v>
      </c>
      <c r="C3276" s="7">
        <v>2018</v>
      </c>
      <c r="D3276" t="str">
        <f t="shared" si="60"/>
        <v>LCA</v>
      </c>
    </row>
    <row r="3277" spans="1:4" ht="15.6" thickTop="1" thickBot="1">
      <c r="A3277" s="7"/>
      <c r="B3277" s="7" t="s">
        <v>11</v>
      </c>
      <c r="C3277" s="7" t="s">
        <v>1234</v>
      </c>
      <c r="D3277" t="str">
        <f t="shared" si="60"/>
        <v>LCA</v>
      </c>
    </row>
    <row r="3278" spans="1:4" ht="15.6" thickTop="1" thickBot="1">
      <c r="A3278" s="7"/>
      <c r="B3278" s="7" t="s">
        <v>13</v>
      </c>
      <c r="C3278" s="7" t="s">
        <v>1235</v>
      </c>
      <c r="D3278" t="str">
        <f t="shared" si="60"/>
        <v>LCA</v>
      </c>
    </row>
    <row r="3279" spans="1:4" ht="15.6" thickTop="1" thickBot="1">
      <c r="A3279" s="7"/>
      <c r="B3279" s="7" t="s">
        <v>15</v>
      </c>
      <c r="C3279" s="7" t="s">
        <v>1236</v>
      </c>
      <c r="D3279" t="str">
        <f t="shared" si="60"/>
        <v>LCA</v>
      </c>
    </row>
    <row r="3280" spans="1:4" ht="15.6" thickTop="1" thickBot="1">
      <c r="A3280" s="7"/>
      <c r="B3280" s="7" t="s">
        <v>22</v>
      </c>
      <c r="C3280" s="7" t="s">
        <v>1237</v>
      </c>
      <c r="D3280" t="str">
        <f t="shared" si="60"/>
        <v>LCA</v>
      </c>
    </row>
    <row r="3281" spans="1:4" ht="15.6" thickTop="1" thickBot="1">
      <c r="A3281" s="7"/>
      <c r="B3281" s="7" t="s">
        <v>23</v>
      </c>
      <c r="C3281" s="7" t="s">
        <v>1236</v>
      </c>
      <c r="D3281" t="str">
        <f t="shared" si="60"/>
        <v>LCA</v>
      </c>
    </row>
    <row r="3282" spans="1:4" ht="15.6" thickTop="1" thickBot="1">
      <c r="A3282" s="7"/>
      <c r="B3282" s="7" t="s">
        <v>24</v>
      </c>
      <c r="C3282" s="7">
        <v>2400</v>
      </c>
      <c r="D3282" t="str">
        <f t="shared" si="60"/>
        <v>LCA</v>
      </c>
    </row>
    <row r="3283" spans="1:4" ht="15.6" thickTop="1" thickBot="1">
      <c r="A3283" s="7"/>
      <c r="B3283" s="7" t="s">
        <v>18</v>
      </c>
      <c r="C3283" s="7" t="s">
        <v>1236</v>
      </c>
      <c r="D3283" t="str">
        <f t="shared" si="60"/>
        <v>LCA</v>
      </c>
    </row>
    <row r="3284" spans="1:4" ht="15.6" thickTop="1" thickBot="1">
      <c r="A3284" s="7"/>
      <c r="B3284" s="7" t="s">
        <v>19</v>
      </c>
      <c r="C3284" s="7" t="s">
        <v>1238</v>
      </c>
      <c r="D3284" t="str">
        <f t="shared" si="60"/>
        <v>LCA</v>
      </c>
    </row>
    <row r="3285" spans="1:4" ht="15.6" thickTop="1" thickBot="1">
      <c r="A3285" s="7"/>
      <c r="B3285" s="7" t="s">
        <v>21</v>
      </c>
      <c r="C3285" s="7" t="s">
        <v>1239</v>
      </c>
      <c r="D3285" t="str">
        <f t="shared" si="60"/>
        <v>LCA</v>
      </c>
    </row>
    <row r="3286" spans="1:4" ht="15.6" thickTop="1" thickBot="1">
      <c r="A3286" s="7"/>
      <c r="B3286" s="7" t="s">
        <v>16</v>
      </c>
      <c r="C3286" s="7" t="s">
        <v>1237</v>
      </c>
      <c r="D3286" t="str">
        <f t="shared" si="60"/>
        <v>LCA</v>
      </c>
    </row>
    <row r="3287" spans="1:4" ht="15.6" thickTop="1" thickBot="1">
      <c r="A3287" s="7"/>
      <c r="B3287" s="7" t="s">
        <v>17</v>
      </c>
      <c r="C3287" s="7" t="s">
        <v>1236</v>
      </c>
      <c r="D3287" t="str">
        <f t="shared" si="60"/>
        <v>LCA</v>
      </c>
    </row>
    <row r="3288" spans="1:4" ht="20.399999999999999" thickTop="1" thickBot="1">
      <c r="A3288" s="7"/>
      <c r="B3288" s="7" t="s">
        <v>1</v>
      </c>
      <c r="C3288" s="7" t="s">
        <v>79</v>
      </c>
      <c r="D3288" t="str">
        <f t="shared" si="60"/>
        <v>LCA</v>
      </c>
    </row>
    <row r="3289" spans="1:4" ht="30" thickTop="1" thickBot="1">
      <c r="A3289" s="7"/>
      <c r="B3289" s="7" t="s">
        <v>3</v>
      </c>
      <c r="C3289" s="7" t="s">
        <v>36</v>
      </c>
      <c r="D3289" t="str">
        <f t="shared" si="60"/>
        <v>LCA</v>
      </c>
    </row>
    <row r="3290" spans="1:4" ht="20.399999999999999" thickTop="1" thickBot="1">
      <c r="A3290" s="7"/>
      <c r="B3290" s="7" t="s">
        <v>5</v>
      </c>
      <c r="C3290" s="7" t="s">
        <v>80</v>
      </c>
      <c r="D3290" t="str">
        <f t="shared" si="60"/>
        <v>LCA</v>
      </c>
    </row>
    <row r="3291" spans="1:4" ht="30" thickTop="1" thickBot="1">
      <c r="A3291" s="7"/>
      <c r="B3291" s="7" t="s">
        <v>7</v>
      </c>
      <c r="C3291" s="7" t="s">
        <v>38</v>
      </c>
      <c r="D3291" t="str">
        <f t="shared" si="60"/>
        <v>LCA</v>
      </c>
    </row>
    <row r="3292" spans="1:4" ht="39.6" thickTop="1" thickBot="1">
      <c r="A3292" s="9" t="s">
        <v>1240</v>
      </c>
      <c r="B3292" s="10"/>
      <c r="C3292" s="11"/>
      <c r="D3292" t="str">
        <f t="shared" si="60"/>
        <v>VCT</v>
      </c>
    </row>
    <row r="3293" spans="1:4" ht="30" thickTop="1" thickBot="1">
      <c r="A3293" s="7"/>
      <c r="B3293" s="7" t="s">
        <v>26</v>
      </c>
      <c r="C3293" s="7" t="s">
        <v>461</v>
      </c>
      <c r="D3293" t="str">
        <f t="shared" si="60"/>
        <v>VCT</v>
      </c>
    </row>
    <row r="3294" spans="1:4" ht="30" thickTop="1" thickBot="1">
      <c r="A3294" s="7"/>
      <c r="B3294" s="7" t="s">
        <v>28</v>
      </c>
      <c r="C3294" s="7" t="s">
        <v>1241</v>
      </c>
      <c r="D3294" t="str">
        <f t="shared" si="60"/>
        <v>VCT</v>
      </c>
    </row>
    <row r="3295" spans="1:4" ht="30" thickTop="1" thickBot="1">
      <c r="A3295" s="7"/>
      <c r="B3295" s="7" t="s">
        <v>30</v>
      </c>
      <c r="C3295" s="7" t="s">
        <v>1242</v>
      </c>
      <c r="D3295" t="str">
        <f t="shared" si="60"/>
        <v>VCT</v>
      </c>
    </row>
    <row r="3296" spans="1:4" ht="20.399999999999999" thickTop="1" thickBot="1">
      <c r="A3296" s="7"/>
      <c r="B3296" s="7" t="s">
        <v>32</v>
      </c>
      <c r="C3296" s="7" t="s">
        <v>33</v>
      </c>
      <c r="D3296" t="str">
        <f t="shared" si="60"/>
        <v>VCT</v>
      </c>
    </row>
    <row r="3297" spans="1:4" ht="49.2" thickTop="1" thickBot="1">
      <c r="A3297" s="7"/>
      <c r="B3297" s="7" t="s">
        <v>9</v>
      </c>
      <c r="C3297" s="7">
        <v>2017</v>
      </c>
      <c r="D3297" t="str">
        <f t="shared" si="60"/>
        <v>VCT</v>
      </c>
    </row>
    <row r="3298" spans="1:4" ht="39.6" thickTop="1" thickBot="1">
      <c r="A3298" s="7"/>
      <c r="B3298" s="7" t="s">
        <v>10</v>
      </c>
      <c r="C3298" s="7">
        <v>2018</v>
      </c>
      <c r="D3298" t="str">
        <f t="shared" si="60"/>
        <v>VCT</v>
      </c>
    </row>
    <row r="3299" spans="1:4" ht="15.6" thickTop="1" thickBot="1">
      <c r="A3299" s="7"/>
      <c r="B3299" s="7" t="s">
        <v>11</v>
      </c>
      <c r="C3299" s="7" t="s">
        <v>1243</v>
      </c>
      <c r="D3299" t="str">
        <f t="shared" si="60"/>
        <v>VCT</v>
      </c>
    </row>
    <row r="3300" spans="1:4" ht="15.6" thickTop="1" thickBot="1">
      <c r="A3300" s="7"/>
      <c r="B3300" s="7" t="s">
        <v>13</v>
      </c>
      <c r="C3300" s="7" t="s">
        <v>1244</v>
      </c>
      <c r="D3300" t="str">
        <f t="shared" si="60"/>
        <v>VCT</v>
      </c>
    </row>
    <row r="3301" spans="1:4" ht="15.6" thickTop="1" thickBot="1">
      <c r="A3301" s="7"/>
      <c r="B3301" s="7" t="s">
        <v>15</v>
      </c>
      <c r="C3301" s="7" t="s">
        <v>1245</v>
      </c>
      <c r="D3301" t="str">
        <f t="shared" si="60"/>
        <v>VCT</v>
      </c>
    </row>
    <row r="3302" spans="1:4" ht="15.6" thickTop="1" thickBot="1">
      <c r="A3302" s="7"/>
      <c r="B3302" s="7" t="s">
        <v>16</v>
      </c>
      <c r="C3302" s="7" t="s">
        <v>1244</v>
      </c>
      <c r="D3302" t="str">
        <f t="shared" si="60"/>
        <v>VCT</v>
      </c>
    </row>
    <row r="3303" spans="1:4" ht="15.6" thickTop="1" thickBot="1">
      <c r="A3303" s="7"/>
      <c r="B3303" s="7" t="s">
        <v>17</v>
      </c>
      <c r="C3303" s="7" t="s">
        <v>1246</v>
      </c>
      <c r="D3303" t="str">
        <f t="shared" si="60"/>
        <v>VCT</v>
      </c>
    </row>
    <row r="3304" spans="1:4" ht="15.6" thickTop="1" thickBot="1">
      <c r="A3304" s="7"/>
      <c r="B3304" s="7" t="s">
        <v>18</v>
      </c>
      <c r="C3304" s="7" t="s">
        <v>1246</v>
      </c>
      <c r="D3304" t="str">
        <f t="shared" si="60"/>
        <v>VCT</v>
      </c>
    </row>
    <row r="3305" spans="1:4" ht="15.6" thickTop="1" thickBot="1">
      <c r="A3305" s="7"/>
      <c r="B3305" s="7" t="s">
        <v>19</v>
      </c>
      <c r="C3305" s="7" t="s">
        <v>1247</v>
      </c>
      <c r="D3305" t="str">
        <f t="shared" si="60"/>
        <v>VCT</v>
      </c>
    </row>
    <row r="3306" spans="1:4" ht="15.6" thickTop="1" thickBot="1">
      <c r="A3306" s="7"/>
      <c r="B3306" s="7" t="s">
        <v>21</v>
      </c>
      <c r="C3306" s="7" t="s">
        <v>1248</v>
      </c>
      <c r="D3306" t="str">
        <f t="shared" si="60"/>
        <v>VCT</v>
      </c>
    </row>
    <row r="3307" spans="1:4" ht="15.6" thickTop="1" thickBot="1">
      <c r="A3307" s="7"/>
      <c r="B3307" s="7" t="s">
        <v>22</v>
      </c>
      <c r="C3307" s="7" t="s">
        <v>1249</v>
      </c>
      <c r="D3307" t="str">
        <f t="shared" si="60"/>
        <v>VCT</v>
      </c>
    </row>
    <row r="3308" spans="1:4" ht="15.6" thickTop="1" thickBot="1">
      <c r="A3308" s="7"/>
      <c r="B3308" s="7" t="s">
        <v>23</v>
      </c>
      <c r="C3308" s="7" t="s">
        <v>1246</v>
      </c>
      <c r="D3308" t="str">
        <f t="shared" si="60"/>
        <v>VCT</v>
      </c>
    </row>
    <row r="3309" spans="1:4" ht="15.6" thickTop="1" thickBot="1">
      <c r="A3309" s="7"/>
      <c r="B3309" s="7" t="s">
        <v>24</v>
      </c>
      <c r="C3309" s="7">
        <v>2420</v>
      </c>
      <c r="D3309" t="str">
        <f t="shared" si="60"/>
        <v>VCT</v>
      </c>
    </row>
    <row r="3310" spans="1:4" ht="20.399999999999999" thickTop="1" thickBot="1">
      <c r="A3310" s="7"/>
      <c r="B3310" s="7" t="s">
        <v>1</v>
      </c>
      <c r="C3310" s="7" t="s">
        <v>79</v>
      </c>
      <c r="D3310" t="str">
        <f t="shared" si="60"/>
        <v>VCT</v>
      </c>
    </row>
    <row r="3311" spans="1:4" ht="30" thickTop="1" thickBot="1">
      <c r="A3311" s="7"/>
      <c r="B3311" s="7" t="s">
        <v>3</v>
      </c>
      <c r="C3311" s="7" t="s">
        <v>36</v>
      </c>
      <c r="D3311" t="str">
        <f t="shared" si="60"/>
        <v>VCT</v>
      </c>
    </row>
    <row r="3312" spans="1:4" ht="20.399999999999999" thickTop="1" thickBot="1">
      <c r="A3312" s="7"/>
      <c r="B3312" s="7" t="s">
        <v>5</v>
      </c>
      <c r="C3312" s="7" t="s">
        <v>80</v>
      </c>
      <c r="D3312" t="str">
        <f t="shared" si="60"/>
        <v>VCT</v>
      </c>
    </row>
    <row r="3313" spans="1:4" ht="30" thickTop="1" thickBot="1">
      <c r="A3313" s="7"/>
      <c r="B3313" s="7" t="s">
        <v>7</v>
      </c>
      <c r="C3313" s="7" t="s">
        <v>38</v>
      </c>
      <c r="D3313" t="str">
        <f t="shared" si="60"/>
        <v>VCT</v>
      </c>
    </row>
    <row r="3314" spans="1:4" ht="20.399999999999999" thickTop="1" thickBot="1">
      <c r="A3314" s="9" t="s">
        <v>1250</v>
      </c>
      <c r="B3314" s="10"/>
      <c r="C3314" s="11"/>
      <c r="D3314" t="str">
        <f t="shared" si="60"/>
        <v>WSM</v>
      </c>
    </row>
    <row r="3315" spans="1:4" ht="30" thickTop="1" thickBot="1">
      <c r="A3315" s="7"/>
      <c r="B3315" s="7" t="s">
        <v>25</v>
      </c>
      <c r="C3315" s="8">
        <v>2830</v>
      </c>
      <c r="D3315" t="str">
        <f t="shared" si="60"/>
        <v>WSM</v>
      </c>
    </row>
    <row r="3316" spans="1:4" ht="20.399999999999999" thickTop="1" thickBot="1">
      <c r="A3316" s="7"/>
      <c r="B3316" s="7" t="s">
        <v>26</v>
      </c>
      <c r="C3316" s="7" t="s">
        <v>1251</v>
      </c>
      <c r="D3316" t="str">
        <f t="shared" si="60"/>
        <v>WSM</v>
      </c>
    </row>
    <row r="3317" spans="1:4" ht="20.399999999999999" thickTop="1" thickBot="1">
      <c r="A3317" s="7"/>
      <c r="B3317" s="7" t="s">
        <v>28</v>
      </c>
      <c r="C3317" s="7" t="s">
        <v>1252</v>
      </c>
      <c r="D3317" t="str">
        <f t="shared" si="60"/>
        <v>WSM</v>
      </c>
    </row>
    <row r="3318" spans="1:4" ht="20.399999999999999" thickTop="1" thickBot="1">
      <c r="A3318" s="7"/>
      <c r="B3318" s="7" t="s">
        <v>30</v>
      </c>
      <c r="C3318" s="7" t="s">
        <v>1252</v>
      </c>
      <c r="D3318" t="str">
        <f t="shared" si="60"/>
        <v>WSM</v>
      </c>
    </row>
    <row r="3319" spans="1:4" ht="20.399999999999999" thickTop="1" thickBot="1">
      <c r="A3319" s="7"/>
      <c r="B3319" s="7" t="s">
        <v>32</v>
      </c>
      <c r="C3319" s="7" t="s">
        <v>33</v>
      </c>
      <c r="D3319" t="str">
        <f t="shared" si="60"/>
        <v>WSM</v>
      </c>
    </row>
    <row r="3320" spans="1:4" ht="49.2" thickTop="1" thickBot="1">
      <c r="A3320" s="7"/>
      <c r="B3320" s="7" t="s">
        <v>9</v>
      </c>
      <c r="C3320" s="7">
        <v>2017</v>
      </c>
      <c r="D3320" t="str">
        <f t="shared" si="60"/>
        <v>WSM</v>
      </c>
    </row>
    <row r="3321" spans="1:4" ht="39.6" thickTop="1" thickBot="1">
      <c r="A3321" s="7"/>
      <c r="B3321" s="7" t="s">
        <v>10</v>
      </c>
      <c r="C3321" s="7">
        <v>2018</v>
      </c>
      <c r="D3321" t="str">
        <f t="shared" si="60"/>
        <v>WSM</v>
      </c>
    </row>
    <row r="3322" spans="1:4" ht="15.6" thickTop="1" thickBot="1">
      <c r="A3322" s="7"/>
      <c r="B3322" s="7" t="s">
        <v>11</v>
      </c>
      <c r="C3322" s="7" t="s">
        <v>1253</v>
      </c>
      <c r="D3322" t="str">
        <f t="shared" si="60"/>
        <v>WSM</v>
      </c>
    </row>
    <row r="3323" spans="1:4" ht="15.6" thickTop="1" thickBot="1">
      <c r="A3323" s="7"/>
      <c r="B3323" s="7" t="s">
        <v>13</v>
      </c>
      <c r="C3323" s="7" t="s">
        <v>1253</v>
      </c>
      <c r="D3323" t="str">
        <f t="shared" si="60"/>
        <v>WSM</v>
      </c>
    </row>
    <row r="3324" spans="1:4" ht="15.6" thickTop="1" thickBot="1">
      <c r="A3324" s="7"/>
      <c r="B3324" s="7" t="s">
        <v>15</v>
      </c>
      <c r="C3324" s="7" t="s">
        <v>1254</v>
      </c>
      <c r="D3324" t="str">
        <f t="shared" si="60"/>
        <v>WSM</v>
      </c>
    </row>
    <row r="3325" spans="1:4" ht="15.6" thickTop="1" thickBot="1">
      <c r="A3325" s="7"/>
      <c r="B3325" s="7" t="s">
        <v>22</v>
      </c>
      <c r="C3325" s="7" t="s">
        <v>1255</v>
      </c>
      <c r="D3325" t="str">
        <f t="shared" si="60"/>
        <v>WSM</v>
      </c>
    </row>
    <row r="3326" spans="1:4" ht="15.6" thickTop="1" thickBot="1">
      <c r="A3326" s="7"/>
      <c r="B3326" s="7" t="s">
        <v>23</v>
      </c>
      <c r="C3326" s="7" t="s">
        <v>1256</v>
      </c>
      <c r="D3326" t="str">
        <f t="shared" si="60"/>
        <v>WSM</v>
      </c>
    </row>
    <row r="3327" spans="1:4" ht="15.6" thickTop="1" thickBot="1">
      <c r="A3327" s="7"/>
      <c r="B3327" s="7" t="s">
        <v>24</v>
      </c>
      <c r="C3327" s="7">
        <v>5197</v>
      </c>
      <c r="D3327" t="str">
        <f t="shared" si="60"/>
        <v>WSM</v>
      </c>
    </row>
    <row r="3328" spans="1:4" ht="15.6" thickTop="1" thickBot="1">
      <c r="A3328" s="7"/>
      <c r="B3328" s="7" t="s">
        <v>18</v>
      </c>
      <c r="C3328" s="7" t="s">
        <v>1257</v>
      </c>
      <c r="D3328" t="str">
        <f t="shared" si="60"/>
        <v>WSM</v>
      </c>
    </row>
    <row r="3329" spans="1:4" ht="15.6" thickTop="1" thickBot="1">
      <c r="A3329" s="7"/>
      <c r="B3329" s="7" t="s">
        <v>19</v>
      </c>
      <c r="C3329" s="7" t="s">
        <v>1258</v>
      </c>
      <c r="D3329" t="str">
        <f t="shared" si="60"/>
        <v>WSM</v>
      </c>
    </row>
    <row r="3330" spans="1:4" ht="15.6" thickTop="1" thickBot="1">
      <c r="A3330" s="7"/>
      <c r="B3330" s="7" t="s">
        <v>21</v>
      </c>
      <c r="C3330" s="7" t="s">
        <v>1259</v>
      </c>
      <c r="D3330" t="str">
        <f t="shared" ref="D3330:D3393" si="61">IF(ISNUMBER(FIND(":", A3330)), LEFT(A3330, FIND(":", A3330) - 1), D3329)</f>
        <v>WSM</v>
      </c>
    </row>
    <row r="3331" spans="1:4" ht="15.6" thickTop="1" thickBot="1">
      <c r="A3331" s="7"/>
      <c r="B3331" s="7" t="s">
        <v>16</v>
      </c>
      <c r="C3331" s="7" t="s">
        <v>1253</v>
      </c>
      <c r="D3331" t="str">
        <f t="shared" si="61"/>
        <v>WSM</v>
      </c>
    </row>
    <row r="3332" spans="1:4" ht="15.6" thickTop="1" thickBot="1">
      <c r="A3332" s="7"/>
      <c r="B3332" s="7" t="s">
        <v>17</v>
      </c>
      <c r="C3332" s="7" t="s">
        <v>1256</v>
      </c>
      <c r="D3332" t="str">
        <f t="shared" si="61"/>
        <v>WSM</v>
      </c>
    </row>
    <row r="3333" spans="1:4" ht="20.399999999999999" thickTop="1" thickBot="1">
      <c r="A3333" s="7"/>
      <c r="B3333" s="7" t="s">
        <v>1</v>
      </c>
      <c r="C3333" s="7" t="s">
        <v>107</v>
      </c>
      <c r="D3333" t="str">
        <f t="shared" si="61"/>
        <v>WSM</v>
      </c>
    </row>
    <row r="3334" spans="1:4" ht="30" thickTop="1" thickBot="1">
      <c r="A3334" s="7"/>
      <c r="B3334" s="7" t="s">
        <v>3</v>
      </c>
      <c r="C3334" s="7" t="s">
        <v>36</v>
      </c>
      <c r="D3334" t="str">
        <f t="shared" si="61"/>
        <v>WSM</v>
      </c>
    </row>
    <row r="3335" spans="1:4" ht="20.399999999999999" thickTop="1" thickBot="1">
      <c r="A3335" s="7"/>
      <c r="B3335" s="7" t="s">
        <v>5</v>
      </c>
      <c r="C3335" s="7" t="s">
        <v>108</v>
      </c>
      <c r="D3335" t="str">
        <f t="shared" si="61"/>
        <v>WSM</v>
      </c>
    </row>
    <row r="3336" spans="1:4" ht="30" thickTop="1" thickBot="1">
      <c r="A3336" s="7"/>
      <c r="B3336" s="7" t="s">
        <v>7</v>
      </c>
      <c r="C3336" s="7" t="s">
        <v>38</v>
      </c>
      <c r="D3336" t="str">
        <f t="shared" si="61"/>
        <v>WSM</v>
      </c>
    </row>
    <row r="3337" spans="1:4" ht="20.399999999999999" thickTop="1" thickBot="1">
      <c r="A3337" s="9" t="s">
        <v>1260</v>
      </c>
      <c r="B3337" s="10"/>
      <c r="C3337" s="11"/>
      <c r="D3337" t="str">
        <f t="shared" si="61"/>
        <v>SMR</v>
      </c>
    </row>
    <row r="3338" spans="1:4" ht="30" thickTop="1" thickBot="1">
      <c r="A3338" s="7"/>
      <c r="B3338" s="7" t="s">
        <v>25</v>
      </c>
      <c r="C3338" s="7">
        <v>60</v>
      </c>
      <c r="D3338" t="str">
        <f t="shared" si="61"/>
        <v>SMR</v>
      </c>
    </row>
    <row r="3339" spans="1:4" ht="20.399999999999999" thickTop="1" thickBot="1">
      <c r="A3339" s="7"/>
      <c r="B3339" s="7" t="s">
        <v>26</v>
      </c>
      <c r="C3339" s="7" t="s">
        <v>737</v>
      </c>
      <c r="D3339" t="str">
        <f t="shared" si="61"/>
        <v>SMR</v>
      </c>
    </row>
    <row r="3340" spans="1:4" ht="20.399999999999999" thickTop="1" thickBot="1">
      <c r="A3340" s="7"/>
      <c r="B3340" s="7" t="s">
        <v>28</v>
      </c>
      <c r="C3340" s="7" t="s">
        <v>1261</v>
      </c>
      <c r="D3340" t="str">
        <f t="shared" si="61"/>
        <v>SMR</v>
      </c>
    </row>
    <row r="3341" spans="1:4" ht="20.399999999999999" thickTop="1" thickBot="1">
      <c r="A3341" s="7"/>
      <c r="B3341" s="7" t="s">
        <v>30</v>
      </c>
      <c r="C3341" s="7" t="s">
        <v>1262</v>
      </c>
      <c r="D3341" t="str">
        <f t="shared" si="61"/>
        <v>SMR</v>
      </c>
    </row>
    <row r="3342" spans="1:4" ht="20.399999999999999" thickTop="1" thickBot="1">
      <c r="A3342" s="7"/>
      <c r="B3342" s="7" t="s">
        <v>32</v>
      </c>
      <c r="C3342" s="7" t="s">
        <v>33</v>
      </c>
      <c r="D3342" t="str">
        <f t="shared" si="61"/>
        <v>SMR</v>
      </c>
    </row>
    <row r="3343" spans="1:4" ht="49.2" thickTop="1" thickBot="1">
      <c r="A3343" s="7"/>
      <c r="B3343" s="7" t="s">
        <v>9</v>
      </c>
      <c r="C3343" s="7">
        <v>2017</v>
      </c>
      <c r="D3343" t="str">
        <f t="shared" si="61"/>
        <v>SMR</v>
      </c>
    </row>
    <row r="3344" spans="1:4" ht="39.6" thickTop="1" thickBot="1">
      <c r="A3344" s="7"/>
      <c r="B3344" s="7" t="s">
        <v>10</v>
      </c>
      <c r="C3344" s="7">
        <v>2018</v>
      </c>
      <c r="D3344" t="str">
        <f t="shared" si="61"/>
        <v>SMR</v>
      </c>
    </row>
    <row r="3345" spans="1:4" ht="15.6" thickTop="1" thickBot="1">
      <c r="A3345" s="7"/>
      <c r="B3345" s="7" t="s">
        <v>11</v>
      </c>
      <c r="C3345" s="7" t="s">
        <v>1263</v>
      </c>
      <c r="D3345" t="str">
        <f t="shared" si="61"/>
        <v>SMR</v>
      </c>
    </row>
    <row r="3346" spans="1:4" ht="15.6" thickTop="1" thickBot="1">
      <c r="A3346" s="7"/>
      <c r="B3346" s="7" t="s">
        <v>13</v>
      </c>
      <c r="C3346" s="7" t="s">
        <v>1264</v>
      </c>
      <c r="D3346" t="str">
        <f t="shared" si="61"/>
        <v>SMR</v>
      </c>
    </row>
    <row r="3347" spans="1:4" ht="15.6" thickTop="1" thickBot="1">
      <c r="A3347" s="7"/>
      <c r="B3347" s="7" t="s">
        <v>15</v>
      </c>
      <c r="C3347" s="7" t="s">
        <v>1265</v>
      </c>
      <c r="D3347" t="str">
        <f t="shared" si="61"/>
        <v>SMR</v>
      </c>
    </row>
    <row r="3348" spans="1:4" ht="15.6" thickTop="1" thickBot="1">
      <c r="A3348" s="7"/>
      <c r="B3348" s="7" t="s">
        <v>16</v>
      </c>
      <c r="C3348" s="7" t="s">
        <v>1264</v>
      </c>
      <c r="D3348" t="str">
        <f t="shared" si="61"/>
        <v>SMR</v>
      </c>
    </row>
    <row r="3349" spans="1:4" ht="15.6" thickTop="1" thickBot="1">
      <c r="A3349" s="7"/>
      <c r="B3349" s="7" t="s">
        <v>17</v>
      </c>
      <c r="C3349" s="7" t="s">
        <v>1265</v>
      </c>
      <c r="D3349" t="str">
        <f t="shared" si="61"/>
        <v>SMR</v>
      </c>
    </row>
    <row r="3350" spans="1:4" ht="15.6" thickTop="1" thickBot="1">
      <c r="A3350" s="7"/>
      <c r="B3350" s="7" t="s">
        <v>18</v>
      </c>
      <c r="C3350" s="7" t="s">
        <v>1265</v>
      </c>
      <c r="D3350" t="str">
        <f t="shared" si="61"/>
        <v>SMR</v>
      </c>
    </row>
    <row r="3351" spans="1:4" ht="15.6" thickTop="1" thickBot="1">
      <c r="A3351" s="7"/>
      <c r="B3351" s="7" t="s">
        <v>19</v>
      </c>
      <c r="C3351" s="7" t="s">
        <v>1266</v>
      </c>
      <c r="D3351" t="str">
        <f t="shared" si="61"/>
        <v>SMR</v>
      </c>
    </row>
    <row r="3352" spans="1:4" ht="15.6" thickTop="1" thickBot="1">
      <c r="A3352" s="7"/>
      <c r="B3352" s="7" t="s">
        <v>21</v>
      </c>
      <c r="C3352" s="7" t="s">
        <v>1265</v>
      </c>
      <c r="D3352" t="str">
        <f t="shared" si="61"/>
        <v>SMR</v>
      </c>
    </row>
    <row r="3353" spans="1:4" ht="15.6" thickTop="1" thickBot="1">
      <c r="A3353" s="7"/>
      <c r="B3353" s="7" t="s">
        <v>23</v>
      </c>
      <c r="C3353" s="7" t="s">
        <v>1265</v>
      </c>
      <c r="D3353" t="str">
        <f t="shared" si="61"/>
        <v>SMR</v>
      </c>
    </row>
    <row r="3354" spans="1:4" ht="15.6" thickTop="1" thickBot="1">
      <c r="A3354" s="7"/>
      <c r="B3354" s="7" t="s">
        <v>24</v>
      </c>
      <c r="C3354" s="7">
        <v>4275</v>
      </c>
      <c r="D3354" t="str">
        <f t="shared" si="61"/>
        <v>SMR</v>
      </c>
    </row>
    <row r="3355" spans="1:4" ht="20.399999999999999" thickTop="1" thickBot="1">
      <c r="A3355" s="7"/>
      <c r="B3355" s="7" t="s">
        <v>1</v>
      </c>
      <c r="C3355" s="7" t="s">
        <v>35</v>
      </c>
      <c r="D3355" t="str">
        <f t="shared" si="61"/>
        <v>SMR</v>
      </c>
    </row>
    <row r="3356" spans="1:4" ht="30" thickTop="1" thickBot="1">
      <c r="A3356" s="7"/>
      <c r="B3356" s="7" t="s">
        <v>3</v>
      </c>
      <c r="C3356" s="7" t="s">
        <v>59</v>
      </c>
      <c r="D3356" t="str">
        <f t="shared" si="61"/>
        <v>SMR</v>
      </c>
    </row>
    <row r="3357" spans="1:4" ht="20.399999999999999" thickTop="1" thickBot="1">
      <c r="A3357" s="7"/>
      <c r="B3357" s="7" t="s">
        <v>5</v>
      </c>
      <c r="C3357" s="7" t="s">
        <v>37</v>
      </c>
      <c r="D3357" t="str">
        <f t="shared" si="61"/>
        <v>SMR</v>
      </c>
    </row>
    <row r="3358" spans="1:4" ht="30" thickTop="1" thickBot="1">
      <c r="A3358" s="7"/>
      <c r="B3358" s="7" t="s">
        <v>7</v>
      </c>
      <c r="C3358" s="7" t="s">
        <v>60</v>
      </c>
      <c r="D3358" t="str">
        <f t="shared" si="61"/>
        <v>SMR</v>
      </c>
    </row>
    <row r="3359" spans="1:4" ht="30" thickTop="1" thickBot="1">
      <c r="A3359" s="9" t="s">
        <v>1267</v>
      </c>
      <c r="B3359" s="10"/>
      <c r="C3359" s="11"/>
      <c r="D3359" t="str">
        <f t="shared" si="61"/>
        <v>STP</v>
      </c>
    </row>
    <row r="3360" spans="1:4" ht="30" thickTop="1" thickBot="1">
      <c r="A3360" s="7"/>
      <c r="B3360" s="7" t="s">
        <v>25</v>
      </c>
      <c r="C3360" s="7">
        <v>960</v>
      </c>
      <c r="D3360" t="str">
        <f t="shared" si="61"/>
        <v>STP</v>
      </c>
    </row>
    <row r="3361" spans="1:4" ht="20.399999999999999" thickTop="1" thickBot="1">
      <c r="A3361" s="7"/>
      <c r="B3361" s="7" t="s">
        <v>26</v>
      </c>
      <c r="C3361" s="7" t="s">
        <v>233</v>
      </c>
      <c r="D3361" t="str">
        <f t="shared" si="61"/>
        <v>STP</v>
      </c>
    </row>
    <row r="3362" spans="1:4" ht="20.399999999999999" thickTop="1" thickBot="1">
      <c r="A3362" s="7"/>
      <c r="B3362" s="7" t="s">
        <v>28</v>
      </c>
      <c r="C3362" s="7" t="s">
        <v>1268</v>
      </c>
      <c r="D3362" t="str">
        <f t="shared" si="61"/>
        <v>STP</v>
      </c>
    </row>
    <row r="3363" spans="1:4" ht="20.399999999999999" thickTop="1" thickBot="1">
      <c r="A3363" s="7"/>
      <c r="B3363" s="7" t="s">
        <v>30</v>
      </c>
      <c r="C3363" s="7" t="s">
        <v>1269</v>
      </c>
      <c r="D3363" t="str">
        <f t="shared" si="61"/>
        <v>STP</v>
      </c>
    </row>
    <row r="3364" spans="1:4" ht="20.399999999999999" thickTop="1" thickBot="1">
      <c r="A3364" s="7"/>
      <c r="B3364" s="7" t="s">
        <v>32</v>
      </c>
      <c r="C3364" s="7" t="s">
        <v>33</v>
      </c>
      <c r="D3364" t="str">
        <f t="shared" si="61"/>
        <v>STP</v>
      </c>
    </row>
    <row r="3365" spans="1:4" ht="20.399999999999999" thickTop="1" thickBot="1">
      <c r="A3365" s="7"/>
      <c r="B3365" s="7" t="s">
        <v>5</v>
      </c>
      <c r="C3365" s="7" t="s">
        <v>51</v>
      </c>
      <c r="D3365" t="str">
        <f t="shared" si="61"/>
        <v>STP</v>
      </c>
    </row>
    <row r="3366" spans="1:4" ht="30" thickTop="1" thickBot="1">
      <c r="A3366" s="7"/>
      <c r="B3366" s="7" t="s">
        <v>7</v>
      </c>
      <c r="C3366" s="7" t="s">
        <v>70</v>
      </c>
      <c r="D3366" t="str">
        <f t="shared" si="61"/>
        <v>STP</v>
      </c>
    </row>
    <row r="3367" spans="1:4" ht="49.2" thickTop="1" thickBot="1">
      <c r="A3367" s="7"/>
      <c r="B3367" s="7" t="s">
        <v>9</v>
      </c>
      <c r="C3367" s="7">
        <v>2017</v>
      </c>
      <c r="D3367" t="str">
        <f t="shared" si="61"/>
        <v>STP</v>
      </c>
    </row>
    <row r="3368" spans="1:4" ht="39.6" thickTop="1" thickBot="1">
      <c r="A3368" s="7"/>
      <c r="B3368" s="7" t="s">
        <v>10</v>
      </c>
      <c r="C3368" s="7">
        <v>2018</v>
      </c>
      <c r="D3368" t="str">
        <f t="shared" si="61"/>
        <v>STP</v>
      </c>
    </row>
    <row r="3369" spans="1:4" ht="15.6" thickTop="1" thickBot="1">
      <c r="A3369" s="7"/>
      <c r="B3369" s="7" t="s">
        <v>13</v>
      </c>
      <c r="C3369" s="7" t="s">
        <v>1270</v>
      </c>
      <c r="D3369" t="str">
        <f t="shared" si="61"/>
        <v>STP</v>
      </c>
    </row>
    <row r="3370" spans="1:4" ht="15.6" thickTop="1" thickBot="1">
      <c r="A3370" s="7"/>
      <c r="B3370" s="7" t="s">
        <v>15</v>
      </c>
      <c r="C3370" s="7" t="s">
        <v>1271</v>
      </c>
      <c r="D3370" t="str">
        <f t="shared" si="61"/>
        <v>STP</v>
      </c>
    </row>
    <row r="3371" spans="1:4" ht="15.6" thickTop="1" thickBot="1">
      <c r="A3371" s="7"/>
      <c r="B3371" s="7" t="s">
        <v>22</v>
      </c>
      <c r="C3371" s="7" t="s">
        <v>1270</v>
      </c>
      <c r="D3371" t="str">
        <f t="shared" si="61"/>
        <v>STP</v>
      </c>
    </row>
    <row r="3372" spans="1:4" ht="15.6" thickTop="1" thickBot="1">
      <c r="A3372" s="7"/>
      <c r="B3372" s="7" t="s">
        <v>23</v>
      </c>
      <c r="C3372" s="7" t="s">
        <v>1271</v>
      </c>
      <c r="D3372" t="str">
        <f t="shared" si="61"/>
        <v>STP</v>
      </c>
    </row>
    <row r="3373" spans="1:4" ht="15.6" thickTop="1" thickBot="1">
      <c r="A3373" s="7"/>
      <c r="B3373" s="7" t="s">
        <v>24</v>
      </c>
      <c r="C3373" s="7">
        <v>1385</v>
      </c>
      <c r="D3373" t="str">
        <f t="shared" si="61"/>
        <v>STP</v>
      </c>
    </row>
    <row r="3374" spans="1:4" ht="15.6" thickTop="1" thickBot="1">
      <c r="A3374" s="7"/>
      <c r="B3374" s="7" t="s">
        <v>18</v>
      </c>
      <c r="C3374" s="7" t="s">
        <v>1271</v>
      </c>
      <c r="D3374" t="str">
        <f t="shared" si="61"/>
        <v>STP</v>
      </c>
    </row>
    <row r="3375" spans="1:4" ht="15.6" thickTop="1" thickBot="1">
      <c r="A3375" s="7"/>
      <c r="B3375" s="7" t="s">
        <v>19</v>
      </c>
      <c r="C3375" s="7" t="s">
        <v>1272</v>
      </c>
      <c r="D3375" t="str">
        <f t="shared" si="61"/>
        <v>STP</v>
      </c>
    </row>
    <row r="3376" spans="1:4" ht="15.6" thickTop="1" thickBot="1">
      <c r="A3376" s="7"/>
      <c r="B3376" s="7" t="s">
        <v>21</v>
      </c>
      <c r="C3376" s="7" t="s">
        <v>1271</v>
      </c>
      <c r="D3376" t="str">
        <f t="shared" si="61"/>
        <v>STP</v>
      </c>
    </row>
    <row r="3377" spans="1:4" ht="15.6" thickTop="1" thickBot="1">
      <c r="A3377" s="7"/>
      <c r="B3377" s="7" t="s">
        <v>16</v>
      </c>
      <c r="C3377" s="7" t="s">
        <v>1235</v>
      </c>
      <c r="D3377" t="str">
        <f t="shared" si="61"/>
        <v>STP</v>
      </c>
    </row>
    <row r="3378" spans="1:4" ht="15.6" thickTop="1" thickBot="1">
      <c r="A3378" s="7"/>
      <c r="B3378" s="7" t="s">
        <v>17</v>
      </c>
      <c r="C3378" s="7" t="s">
        <v>1271</v>
      </c>
      <c r="D3378" t="str">
        <f t="shared" si="61"/>
        <v>STP</v>
      </c>
    </row>
    <row r="3379" spans="1:4" ht="20.399999999999999" thickTop="1" thickBot="1">
      <c r="A3379" s="7"/>
      <c r="B3379" s="7" t="s">
        <v>1</v>
      </c>
      <c r="C3379" s="7" t="s">
        <v>50</v>
      </c>
      <c r="D3379" t="str">
        <f t="shared" si="61"/>
        <v>STP</v>
      </c>
    </row>
    <row r="3380" spans="1:4" ht="30" thickTop="1" thickBot="1">
      <c r="A3380" s="7"/>
      <c r="B3380" s="7" t="s">
        <v>3</v>
      </c>
      <c r="C3380" s="7" t="s">
        <v>69</v>
      </c>
      <c r="D3380" t="str">
        <f t="shared" si="61"/>
        <v>STP</v>
      </c>
    </row>
    <row r="3381" spans="1:4" ht="20.399999999999999" thickTop="1" thickBot="1">
      <c r="A3381" s="9" t="s">
        <v>1273</v>
      </c>
      <c r="B3381" s="10"/>
      <c r="C3381" s="11"/>
      <c r="D3381" t="str">
        <f t="shared" si="61"/>
        <v>SAU</v>
      </c>
    </row>
    <row r="3382" spans="1:4" ht="30" thickTop="1" thickBot="1">
      <c r="A3382" s="7"/>
      <c r="B3382" s="7" t="s">
        <v>25</v>
      </c>
      <c r="C3382" s="8">
        <v>2149690</v>
      </c>
      <c r="D3382" t="str">
        <f t="shared" si="61"/>
        <v>SAU</v>
      </c>
    </row>
    <row r="3383" spans="1:4" ht="20.399999999999999" thickTop="1" thickBot="1">
      <c r="A3383" s="7"/>
      <c r="B3383" s="7" t="s">
        <v>26</v>
      </c>
      <c r="C3383" s="7" t="s">
        <v>486</v>
      </c>
      <c r="D3383" t="str">
        <f t="shared" si="61"/>
        <v>SAU</v>
      </c>
    </row>
    <row r="3384" spans="1:4" ht="20.399999999999999" thickTop="1" thickBot="1">
      <c r="A3384" s="7"/>
      <c r="B3384" s="7" t="s">
        <v>28</v>
      </c>
      <c r="C3384" s="7" t="s">
        <v>1274</v>
      </c>
      <c r="D3384" t="str">
        <f t="shared" si="61"/>
        <v>SAU</v>
      </c>
    </row>
    <row r="3385" spans="1:4" ht="20.399999999999999" thickTop="1" thickBot="1">
      <c r="A3385" s="7"/>
      <c r="B3385" s="7" t="s">
        <v>30</v>
      </c>
      <c r="C3385" s="7" t="s">
        <v>1275</v>
      </c>
      <c r="D3385" t="str">
        <f t="shared" si="61"/>
        <v>SAU</v>
      </c>
    </row>
    <row r="3386" spans="1:4" ht="20.399999999999999" thickTop="1" thickBot="1">
      <c r="A3386" s="7"/>
      <c r="B3386" s="7" t="s">
        <v>32</v>
      </c>
      <c r="C3386" s="7" t="s">
        <v>33</v>
      </c>
      <c r="D3386" t="str">
        <f t="shared" si="61"/>
        <v>SAU</v>
      </c>
    </row>
    <row r="3387" spans="1:4" ht="30" thickTop="1" thickBot="1">
      <c r="A3387" s="7"/>
      <c r="B3387" s="7" t="s">
        <v>1</v>
      </c>
      <c r="C3387" s="7" t="s">
        <v>2</v>
      </c>
      <c r="D3387" t="str">
        <f t="shared" si="61"/>
        <v>SAU</v>
      </c>
    </row>
    <row r="3388" spans="1:4" ht="30" thickTop="1" thickBot="1">
      <c r="A3388" s="7"/>
      <c r="B3388" s="7" t="s">
        <v>3</v>
      </c>
      <c r="C3388" s="7" t="s">
        <v>59</v>
      </c>
      <c r="D3388" t="str">
        <f t="shared" si="61"/>
        <v>SAU</v>
      </c>
    </row>
    <row r="3389" spans="1:4" ht="20.399999999999999" thickTop="1" thickBot="1">
      <c r="A3389" s="7"/>
      <c r="B3389" s="7" t="s">
        <v>5</v>
      </c>
      <c r="C3389" s="7" t="s">
        <v>6</v>
      </c>
      <c r="D3389" t="str">
        <f t="shared" si="61"/>
        <v>SAU</v>
      </c>
    </row>
    <row r="3390" spans="1:4" ht="30" thickTop="1" thickBot="1">
      <c r="A3390" s="7"/>
      <c r="B3390" s="7" t="s">
        <v>7</v>
      </c>
      <c r="C3390" s="7" t="s">
        <v>60</v>
      </c>
      <c r="D3390" t="str">
        <f t="shared" si="61"/>
        <v>SAU</v>
      </c>
    </row>
    <row r="3391" spans="1:4" ht="49.2" thickTop="1" thickBot="1">
      <c r="A3391" s="7"/>
      <c r="B3391" s="7" t="s">
        <v>9</v>
      </c>
      <c r="C3391" s="7">
        <v>2017</v>
      </c>
      <c r="D3391" t="str">
        <f t="shared" si="61"/>
        <v>SAU</v>
      </c>
    </row>
    <row r="3392" spans="1:4" ht="39.6" thickTop="1" thickBot="1">
      <c r="A3392" s="7"/>
      <c r="B3392" s="7" t="s">
        <v>10</v>
      </c>
      <c r="C3392" s="7">
        <v>2018</v>
      </c>
      <c r="D3392" t="str">
        <f t="shared" si="61"/>
        <v>SAU</v>
      </c>
    </row>
    <row r="3393" spans="1:4" ht="15.6" thickTop="1" thickBot="1">
      <c r="A3393" s="7"/>
      <c r="B3393" s="7" t="s">
        <v>11</v>
      </c>
      <c r="C3393" s="7" t="s">
        <v>1276</v>
      </c>
      <c r="D3393" t="str">
        <f t="shared" si="61"/>
        <v>SAU</v>
      </c>
    </row>
    <row r="3394" spans="1:4" ht="15.6" thickTop="1" thickBot="1">
      <c r="A3394" s="7"/>
      <c r="B3394" s="7" t="s">
        <v>13</v>
      </c>
      <c r="C3394" s="7" t="s">
        <v>1276</v>
      </c>
      <c r="D3394" t="str">
        <f t="shared" ref="D3394:D3457" si="62">IF(ISNUMBER(FIND(":", A3394)), LEFT(A3394, FIND(":", A3394) - 1), D3393)</f>
        <v>SAU</v>
      </c>
    </row>
    <row r="3395" spans="1:4" ht="15.6" thickTop="1" thickBot="1">
      <c r="A3395" s="7"/>
      <c r="B3395" s="7" t="s">
        <v>15</v>
      </c>
      <c r="C3395" s="7" t="s">
        <v>1277</v>
      </c>
      <c r="D3395" t="str">
        <f t="shared" si="62"/>
        <v>SAU</v>
      </c>
    </row>
    <row r="3396" spans="1:4" ht="15.6" thickTop="1" thickBot="1">
      <c r="A3396" s="7"/>
      <c r="B3396" s="7" t="s">
        <v>16</v>
      </c>
      <c r="C3396" s="7" t="s">
        <v>1276</v>
      </c>
      <c r="D3396" t="str">
        <f t="shared" si="62"/>
        <v>SAU</v>
      </c>
    </row>
    <row r="3397" spans="1:4" ht="15.6" thickTop="1" thickBot="1">
      <c r="A3397" s="7"/>
      <c r="B3397" s="7" t="s">
        <v>17</v>
      </c>
      <c r="C3397" s="7" t="s">
        <v>1278</v>
      </c>
      <c r="D3397" t="str">
        <f t="shared" si="62"/>
        <v>SAU</v>
      </c>
    </row>
    <row r="3398" spans="1:4" ht="15.6" thickTop="1" thickBot="1">
      <c r="A3398" s="7"/>
      <c r="B3398" s="7" t="s">
        <v>18</v>
      </c>
      <c r="C3398" s="7" t="s">
        <v>1279</v>
      </c>
      <c r="D3398" t="str">
        <f t="shared" si="62"/>
        <v>SAU</v>
      </c>
    </row>
    <row r="3399" spans="1:4" ht="15.6" thickTop="1" thickBot="1">
      <c r="A3399" s="7"/>
      <c r="B3399" s="7" t="s">
        <v>19</v>
      </c>
      <c r="C3399" s="7" t="s">
        <v>1280</v>
      </c>
      <c r="D3399" t="str">
        <f t="shared" si="62"/>
        <v>SAU</v>
      </c>
    </row>
    <row r="3400" spans="1:4" ht="15.6" thickTop="1" thickBot="1">
      <c r="A3400" s="7"/>
      <c r="B3400" s="7" t="s">
        <v>21</v>
      </c>
      <c r="C3400" s="7" t="s">
        <v>1281</v>
      </c>
      <c r="D3400" t="str">
        <f t="shared" si="62"/>
        <v>SAU</v>
      </c>
    </row>
    <row r="3401" spans="1:4" ht="15.6" thickTop="1" thickBot="1">
      <c r="A3401" s="7"/>
      <c r="B3401" s="7" t="s">
        <v>22</v>
      </c>
      <c r="C3401" s="7" t="s">
        <v>1282</v>
      </c>
      <c r="D3401" t="str">
        <f t="shared" si="62"/>
        <v>SAU</v>
      </c>
    </row>
    <row r="3402" spans="1:4" ht="15.6" thickTop="1" thickBot="1">
      <c r="A3402" s="7"/>
      <c r="B3402" s="7" t="s">
        <v>23</v>
      </c>
      <c r="C3402" s="7" t="s">
        <v>1278</v>
      </c>
      <c r="D3402" t="str">
        <f t="shared" si="62"/>
        <v>SAU</v>
      </c>
    </row>
    <row r="3403" spans="1:4" ht="15.6" thickTop="1" thickBot="1">
      <c r="A3403" s="7"/>
      <c r="B3403" s="7" t="s">
        <v>24</v>
      </c>
      <c r="C3403" s="7">
        <v>3340</v>
      </c>
      <c r="D3403" t="str">
        <f t="shared" si="62"/>
        <v>SAU</v>
      </c>
    </row>
    <row r="3404" spans="1:4" ht="20.399999999999999" thickTop="1" thickBot="1">
      <c r="A3404" s="9" t="s">
        <v>1283</v>
      </c>
      <c r="B3404" s="10"/>
      <c r="C3404" s="11"/>
      <c r="D3404" t="str">
        <f t="shared" si="62"/>
        <v>SEN</v>
      </c>
    </row>
    <row r="3405" spans="1:4" ht="30" thickTop="1" thickBot="1">
      <c r="A3405" s="7"/>
      <c r="B3405" s="7" t="s">
        <v>25</v>
      </c>
      <c r="C3405" s="8">
        <v>192530</v>
      </c>
      <c r="D3405" t="str">
        <f t="shared" si="62"/>
        <v>SEN</v>
      </c>
    </row>
    <row r="3406" spans="1:4" ht="39.6" thickTop="1" thickBot="1">
      <c r="A3406" s="7"/>
      <c r="B3406" s="7" t="s">
        <v>26</v>
      </c>
      <c r="C3406" s="7" t="s">
        <v>1284</v>
      </c>
      <c r="D3406" t="str">
        <f t="shared" si="62"/>
        <v>SEN</v>
      </c>
    </row>
    <row r="3407" spans="1:4" ht="20.399999999999999" thickTop="1" thickBot="1">
      <c r="A3407" s="7"/>
      <c r="B3407" s="7" t="s">
        <v>28</v>
      </c>
      <c r="C3407" s="7" t="s">
        <v>1285</v>
      </c>
      <c r="D3407" t="str">
        <f t="shared" si="62"/>
        <v>SEN</v>
      </c>
    </row>
    <row r="3408" spans="1:4" ht="20.399999999999999" thickTop="1" thickBot="1">
      <c r="A3408" s="7"/>
      <c r="B3408" s="7" t="s">
        <v>30</v>
      </c>
      <c r="C3408" s="7" t="s">
        <v>1286</v>
      </c>
      <c r="D3408" t="str">
        <f t="shared" si="62"/>
        <v>SEN</v>
      </c>
    </row>
    <row r="3409" spans="1:4" ht="20.399999999999999" thickTop="1" thickBot="1">
      <c r="A3409" s="7"/>
      <c r="B3409" s="7" t="s">
        <v>32</v>
      </c>
      <c r="C3409" s="7" t="s">
        <v>33</v>
      </c>
      <c r="D3409" t="str">
        <f t="shared" si="62"/>
        <v>SEN</v>
      </c>
    </row>
    <row r="3410" spans="1:4" ht="20.399999999999999" thickTop="1" thickBot="1">
      <c r="A3410" s="7"/>
      <c r="B3410" s="7" t="s">
        <v>1</v>
      </c>
      <c r="C3410" s="7" t="s">
        <v>50</v>
      </c>
      <c r="D3410" t="str">
        <f t="shared" si="62"/>
        <v>SEN</v>
      </c>
    </row>
    <row r="3411" spans="1:4" ht="30" thickTop="1" thickBot="1">
      <c r="A3411" s="7"/>
      <c r="B3411" s="7" t="s">
        <v>3</v>
      </c>
      <c r="C3411" s="7" t="s">
        <v>4</v>
      </c>
      <c r="D3411" t="str">
        <f t="shared" si="62"/>
        <v>SEN</v>
      </c>
    </row>
    <row r="3412" spans="1:4" ht="20.399999999999999" thickTop="1" thickBot="1">
      <c r="A3412" s="7"/>
      <c r="B3412" s="7" t="s">
        <v>5</v>
      </c>
      <c r="C3412" s="7" t="s">
        <v>51</v>
      </c>
      <c r="D3412" t="str">
        <f t="shared" si="62"/>
        <v>SEN</v>
      </c>
    </row>
    <row r="3413" spans="1:4" ht="30" thickTop="1" thickBot="1">
      <c r="A3413" s="7"/>
      <c r="B3413" s="7" t="s">
        <v>7</v>
      </c>
      <c r="C3413" s="7" t="s">
        <v>8</v>
      </c>
      <c r="D3413" t="str">
        <f t="shared" si="62"/>
        <v>SEN</v>
      </c>
    </row>
    <row r="3414" spans="1:4" ht="49.2" thickTop="1" thickBot="1">
      <c r="A3414" s="7"/>
      <c r="B3414" s="7" t="s">
        <v>9</v>
      </c>
      <c r="C3414" s="7">
        <v>2017</v>
      </c>
      <c r="D3414" t="str">
        <f t="shared" si="62"/>
        <v>SEN</v>
      </c>
    </row>
    <row r="3415" spans="1:4" ht="39.6" thickTop="1" thickBot="1">
      <c r="A3415" s="7"/>
      <c r="B3415" s="7" t="s">
        <v>10</v>
      </c>
      <c r="C3415" s="7">
        <v>2018</v>
      </c>
      <c r="D3415" t="str">
        <f t="shared" si="62"/>
        <v>SEN</v>
      </c>
    </row>
    <row r="3416" spans="1:4" ht="15.6" thickTop="1" thickBot="1">
      <c r="A3416" s="7"/>
      <c r="B3416" s="7" t="s">
        <v>11</v>
      </c>
      <c r="C3416" s="7" t="s">
        <v>1287</v>
      </c>
      <c r="D3416" t="str">
        <f t="shared" si="62"/>
        <v>SEN</v>
      </c>
    </row>
    <row r="3417" spans="1:4" ht="15.6" thickTop="1" thickBot="1">
      <c r="A3417" s="7"/>
      <c r="B3417" s="7" t="s">
        <v>13</v>
      </c>
      <c r="C3417" s="7" t="s">
        <v>1288</v>
      </c>
      <c r="D3417" t="str">
        <f t="shared" si="62"/>
        <v>SEN</v>
      </c>
    </row>
    <row r="3418" spans="1:4" ht="15.6" thickTop="1" thickBot="1">
      <c r="A3418" s="7"/>
      <c r="B3418" s="7" t="s">
        <v>23</v>
      </c>
      <c r="C3418" s="7" t="s">
        <v>1289</v>
      </c>
      <c r="D3418" t="str">
        <f t="shared" si="62"/>
        <v>SEN</v>
      </c>
    </row>
    <row r="3419" spans="1:4" ht="15.6" thickTop="1" thickBot="1">
      <c r="A3419" s="7"/>
      <c r="B3419" s="7" t="s">
        <v>24</v>
      </c>
      <c r="C3419" s="7">
        <v>1390</v>
      </c>
      <c r="D3419" t="str">
        <f t="shared" si="62"/>
        <v>SEN</v>
      </c>
    </row>
    <row r="3420" spans="1:4" ht="15.6" thickTop="1" thickBot="1">
      <c r="A3420" s="7"/>
      <c r="B3420" s="7" t="s">
        <v>21</v>
      </c>
      <c r="C3420" s="7" t="s">
        <v>1289</v>
      </c>
      <c r="D3420" t="str">
        <f t="shared" si="62"/>
        <v>SEN</v>
      </c>
    </row>
    <row r="3421" spans="1:4" ht="15.6" thickTop="1" thickBot="1">
      <c r="A3421" s="7"/>
      <c r="B3421" s="7" t="s">
        <v>22</v>
      </c>
      <c r="C3421" s="7" t="s">
        <v>1288</v>
      </c>
      <c r="D3421" t="str">
        <f t="shared" si="62"/>
        <v>SEN</v>
      </c>
    </row>
    <row r="3422" spans="1:4" ht="15.6" thickTop="1" thickBot="1">
      <c r="A3422" s="7"/>
      <c r="B3422" s="7" t="s">
        <v>18</v>
      </c>
      <c r="C3422" s="7" t="s">
        <v>1289</v>
      </c>
      <c r="D3422" t="str">
        <f t="shared" si="62"/>
        <v>SEN</v>
      </c>
    </row>
    <row r="3423" spans="1:4" ht="15.6" thickTop="1" thickBot="1">
      <c r="A3423" s="7"/>
      <c r="B3423" s="7" t="s">
        <v>19</v>
      </c>
      <c r="C3423" s="7" t="s">
        <v>1290</v>
      </c>
      <c r="D3423" t="str">
        <f t="shared" si="62"/>
        <v>SEN</v>
      </c>
    </row>
    <row r="3424" spans="1:4" ht="15.6" thickTop="1" thickBot="1">
      <c r="A3424" s="7"/>
      <c r="B3424" s="7" t="s">
        <v>17</v>
      </c>
      <c r="C3424" s="7" t="s">
        <v>1289</v>
      </c>
      <c r="D3424" t="str">
        <f t="shared" si="62"/>
        <v>SEN</v>
      </c>
    </row>
    <row r="3425" spans="1:4" ht="15.6" thickTop="1" thickBot="1">
      <c r="A3425" s="7"/>
      <c r="B3425" s="7" t="s">
        <v>15</v>
      </c>
      <c r="C3425" s="7" t="s">
        <v>1289</v>
      </c>
      <c r="D3425" t="str">
        <f t="shared" si="62"/>
        <v>SEN</v>
      </c>
    </row>
    <row r="3426" spans="1:4" ht="15.6" thickTop="1" thickBot="1">
      <c r="A3426" s="7"/>
      <c r="B3426" s="7" t="s">
        <v>16</v>
      </c>
      <c r="C3426" s="7" t="s">
        <v>1287</v>
      </c>
      <c r="D3426" t="str">
        <f t="shared" si="62"/>
        <v>SEN</v>
      </c>
    </row>
    <row r="3427" spans="1:4" ht="15.6" thickTop="1" thickBot="1">
      <c r="A3427" s="9" t="s">
        <v>1291</v>
      </c>
      <c r="B3427" s="10"/>
      <c r="C3427" s="11"/>
      <c r="D3427" t="str">
        <f t="shared" si="62"/>
        <v>SRB</v>
      </c>
    </row>
    <row r="3428" spans="1:4" ht="30" thickTop="1" thickBot="1">
      <c r="A3428" s="7"/>
      <c r="B3428" s="7" t="s">
        <v>25</v>
      </c>
      <c r="C3428" s="8">
        <v>87460</v>
      </c>
      <c r="D3428" t="str">
        <f t="shared" si="62"/>
        <v>SRB</v>
      </c>
    </row>
    <row r="3429" spans="1:4" ht="20.399999999999999" thickTop="1" thickBot="1">
      <c r="A3429" s="7"/>
      <c r="B3429" s="7" t="s">
        <v>26</v>
      </c>
      <c r="C3429" s="7" t="s">
        <v>1292</v>
      </c>
      <c r="D3429" t="str">
        <f t="shared" si="62"/>
        <v>SRB</v>
      </c>
    </row>
    <row r="3430" spans="1:4" ht="20.399999999999999" thickTop="1" thickBot="1">
      <c r="A3430" s="7"/>
      <c r="B3430" s="7" t="s">
        <v>28</v>
      </c>
      <c r="C3430" s="7" t="s">
        <v>1293</v>
      </c>
      <c r="D3430" t="str">
        <f t="shared" si="62"/>
        <v>SRB</v>
      </c>
    </row>
    <row r="3431" spans="1:4" ht="20.399999999999999" thickTop="1" thickBot="1">
      <c r="A3431" s="7"/>
      <c r="B3431" s="7" t="s">
        <v>30</v>
      </c>
      <c r="C3431" s="7" t="s">
        <v>1294</v>
      </c>
      <c r="D3431" t="str">
        <f t="shared" si="62"/>
        <v>SRB</v>
      </c>
    </row>
    <row r="3432" spans="1:4" ht="20.399999999999999" thickTop="1" thickBot="1">
      <c r="A3432" s="7"/>
      <c r="B3432" s="7" t="s">
        <v>32</v>
      </c>
      <c r="C3432" s="7" t="s">
        <v>33</v>
      </c>
      <c r="D3432" t="str">
        <f t="shared" si="62"/>
        <v>SRB</v>
      </c>
    </row>
    <row r="3433" spans="1:4" ht="20.399999999999999" thickTop="1" thickBot="1">
      <c r="A3433" s="7"/>
      <c r="B3433" s="7" t="s">
        <v>1</v>
      </c>
      <c r="C3433" s="7" t="s">
        <v>35</v>
      </c>
      <c r="D3433" t="str">
        <f t="shared" si="62"/>
        <v>SRB</v>
      </c>
    </row>
    <row r="3434" spans="1:4" ht="30" thickTop="1" thickBot="1">
      <c r="A3434" s="7"/>
      <c r="B3434" s="7" t="s">
        <v>3</v>
      </c>
      <c r="C3434" s="7" t="s">
        <v>36</v>
      </c>
      <c r="D3434" t="str">
        <f t="shared" si="62"/>
        <v>SRB</v>
      </c>
    </row>
    <row r="3435" spans="1:4" ht="20.399999999999999" thickTop="1" thickBot="1">
      <c r="A3435" s="7"/>
      <c r="B3435" s="7" t="s">
        <v>5</v>
      </c>
      <c r="C3435" s="7" t="s">
        <v>37</v>
      </c>
      <c r="D3435" t="str">
        <f t="shared" si="62"/>
        <v>SRB</v>
      </c>
    </row>
    <row r="3436" spans="1:4" ht="30" thickTop="1" thickBot="1">
      <c r="A3436" s="7"/>
      <c r="B3436" s="7" t="s">
        <v>7</v>
      </c>
      <c r="C3436" s="7" t="s">
        <v>38</v>
      </c>
      <c r="D3436" t="str">
        <f t="shared" si="62"/>
        <v>SRB</v>
      </c>
    </row>
    <row r="3437" spans="1:4" ht="49.2" thickTop="1" thickBot="1">
      <c r="A3437" s="7"/>
      <c r="B3437" s="7" t="s">
        <v>9</v>
      </c>
      <c r="C3437" s="7">
        <v>2017</v>
      </c>
      <c r="D3437" t="str">
        <f t="shared" si="62"/>
        <v>SRB</v>
      </c>
    </row>
    <row r="3438" spans="1:4" ht="39.6" thickTop="1" thickBot="1">
      <c r="A3438" s="7"/>
      <c r="B3438" s="7" t="s">
        <v>10</v>
      </c>
      <c r="C3438" s="7">
        <v>2018</v>
      </c>
      <c r="D3438" t="str">
        <f t="shared" si="62"/>
        <v>SRB</v>
      </c>
    </row>
    <row r="3439" spans="1:4" ht="15.6" thickTop="1" thickBot="1">
      <c r="A3439" s="7"/>
      <c r="B3439" s="7" t="s">
        <v>11</v>
      </c>
      <c r="C3439" s="7" t="s">
        <v>1295</v>
      </c>
      <c r="D3439" t="str">
        <f t="shared" si="62"/>
        <v>SRB</v>
      </c>
    </row>
    <row r="3440" spans="1:4" ht="15.6" thickTop="1" thickBot="1">
      <c r="A3440" s="7"/>
      <c r="B3440" s="7" t="s">
        <v>13</v>
      </c>
      <c r="C3440" s="7" t="s">
        <v>1296</v>
      </c>
      <c r="D3440" t="str">
        <f t="shared" si="62"/>
        <v>SRB</v>
      </c>
    </row>
    <row r="3441" spans="1:4" ht="15.6" thickTop="1" thickBot="1">
      <c r="A3441" s="7"/>
      <c r="B3441" s="7" t="s">
        <v>15</v>
      </c>
      <c r="C3441" s="7" t="s">
        <v>1297</v>
      </c>
      <c r="D3441" t="str">
        <f t="shared" si="62"/>
        <v>SRB</v>
      </c>
    </row>
    <row r="3442" spans="1:4" ht="15.6" thickTop="1" thickBot="1">
      <c r="A3442" s="7"/>
      <c r="B3442" s="7" t="s">
        <v>22</v>
      </c>
      <c r="C3442" s="7" t="s">
        <v>1298</v>
      </c>
      <c r="D3442" t="str">
        <f t="shared" si="62"/>
        <v>SRB</v>
      </c>
    </row>
    <row r="3443" spans="1:4" ht="15.6" thickTop="1" thickBot="1">
      <c r="A3443" s="7"/>
      <c r="B3443" s="7" t="s">
        <v>23</v>
      </c>
      <c r="C3443" s="7" t="s">
        <v>1299</v>
      </c>
      <c r="D3443" t="str">
        <f t="shared" si="62"/>
        <v>SRB</v>
      </c>
    </row>
    <row r="3444" spans="1:4" ht="15.6" thickTop="1" thickBot="1">
      <c r="A3444" s="7"/>
      <c r="B3444" s="7" t="s">
        <v>24</v>
      </c>
      <c r="C3444" s="7">
        <v>4273</v>
      </c>
      <c r="D3444" t="str">
        <f t="shared" si="62"/>
        <v>SRB</v>
      </c>
    </row>
    <row r="3445" spans="1:4" ht="15.6" thickTop="1" thickBot="1">
      <c r="A3445" s="7"/>
      <c r="B3445" s="7" t="s">
        <v>18</v>
      </c>
      <c r="C3445" s="7" t="s">
        <v>1299</v>
      </c>
      <c r="D3445" t="str">
        <f t="shared" si="62"/>
        <v>SRB</v>
      </c>
    </row>
    <row r="3446" spans="1:4" ht="15.6" thickTop="1" thickBot="1">
      <c r="A3446" s="7"/>
      <c r="B3446" s="7" t="s">
        <v>19</v>
      </c>
      <c r="C3446" s="7" t="s">
        <v>1300</v>
      </c>
      <c r="D3446" t="str">
        <f t="shared" si="62"/>
        <v>SRB</v>
      </c>
    </row>
    <row r="3447" spans="1:4" ht="15.6" thickTop="1" thickBot="1">
      <c r="A3447" s="7"/>
      <c r="B3447" s="7" t="s">
        <v>21</v>
      </c>
      <c r="C3447" s="7" t="s">
        <v>1299</v>
      </c>
      <c r="D3447" t="str">
        <f t="shared" si="62"/>
        <v>SRB</v>
      </c>
    </row>
    <row r="3448" spans="1:4" ht="15.6" thickTop="1" thickBot="1">
      <c r="A3448" s="7"/>
      <c r="B3448" s="7" t="s">
        <v>16</v>
      </c>
      <c r="C3448" s="7" t="s">
        <v>1214</v>
      </c>
      <c r="D3448" t="str">
        <f t="shared" si="62"/>
        <v>SRB</v>
      </c>
    </row>
    <row r="3449" spans="1:4" ht="15.6" thickTop="1" thickBot="1">
      <c r="A3449" s="7"/>
      <c r="B3449" s="7" t="s">
        <v>17</v>
      </c>
      <c r="C3449" s="7" t="s">
        <v>1299</v>
      </c>
      <c r="D3449" t="str">
        <f t="shared" si="62"/>
        <v>SRB</v>
      </c>
    </row>
    <row r="3450" spans="1:4" ht="20.399999999999999" thickTop="1" thickBot="1">
      <c r="A3450" s="9" t="s">
        <v>1301</v>
      </c>
      <c r="B3450" s="10"/>
      <c r="C3450" s="11"/>
      <c r="D3450" t="str">
        <f t="shared" si="62"/>
        <v>SYC</v>
      </c>
    </row>
    <row r="3451" spans="1:4" ht="30" thickTop="1" thickBot="1">
      <c r="A3451" s="7"/>
      <c r="B3451" s="7" t="s">
        <v>25</v>
      </c>
      <c r="C3451" s="7">
        <v>460</v>
      </c>
      <c r="D3451" t="str">
        <f t="shared" si="62"/>
        <v>SYC</v>
      </c>
    </row>
    <row r="3452" spans="1:4" ht="30" thickTop="1" thickBot="1">
      <c r="A3452" s="7"/>
      <c r="B3452" s="7" t="s">
        <v>26</v>
      </c>
      <c r="C3452" s="7" t="s">
        <v>1302</v>
      </c>
      <c r="D3452" t="str">
        <f t="shared" si="62"/>
        <v>SYC</v>
      </c>
    </row>
    <row r="3453" spans="1:4" ht="20.399999999999999" thickTop="1" thickBot="1">
      <c r="A3453" s="7"/>
      <c r="B3453" s="7" t="s">
        <v>28</v>
      </c>
      <c r="C3453" s="7" t="s">
        <v>1303</v>
      </c>
      <c r="D3453" t="str">
        <f t="shared" si="62"/>
        <v>SYC</v>
      </c>
    </row>
    <row r="3454" spans="1:4" ht="20.399999999999999" thickTop="1" thickBot="1">
      <c r="A3454" s="7"/>
      <c r="B3454" s="7" t="s">
        <v>30</v>
      </c>
      <c r="C3454" s="7" t="s">
        <v>1303</v>
      </c>
      <c r="D3454" t="str">
        <f t="shared" si="62"/>
        <v>SYC</v>
      </c>
    </row>
    <row r="3455" spans="1:4" ht="20.399999999999999" thickTop="1" thickBot="1">
      <c r="A3455" s="7"/>
      <c r="B3455" s="7" t="s">
        <v>32</v>
      </c>
      <c r="C3455" s="7" t="s">
        <v>33</v>
      </c>
      <c r="D3455" t="str">
        <f t="shared" si="62"/>
        <v>SYC</v>
      </c>
    </row>
    <row r="3456" spans="1:4" ht="20.399999999999999" thickTop="1" thickBot="1">
      <c r="A3456" s="7"/>
      <c r="B3456" s="7" t="s">
        <v>1</v>
      </c>
      <c r="C3456" s="7" t="s">
        <v>50</v>
      </c>
      <c r="D3456" t="str">
        <f t="shared" si="62"/>
        <v>SYC</v>
      </c>
    </row>
    <row r="3457" spans="1:4" ht="30" thickTop="1" thickBot="1">
      <c r="A3457" s="7"/>
      <c r="B3457" s="7" t="s">
        <v>3</v>
      </c>
      <c r="C3457" s="7" t="s">
        <v>59</v>
      </c>
      <c r="D3457" t="str">
        <f t="shared" si="62"/>
        <v>SYC</v>
      </c>
    </row>
    <row r="3458" spans="1:4" ht="20.399999999999999" thickTop="1" thickBot="1">
      <c r="A3458" s="7"/>
      <c r="B3458" s="7" t="s">
        <v>5</v>
      </c>
      <c r="C3458" s="7" t="s">
        <v>51</v>
      </c>
      <c r="D3458" t="str">
        <f t="shared" ref="D3458:D3521" si="63">IF(ISNUMBER(FIND(":", A3458)), LEFT(A3458, FIND(":", A3458) - 1), D3457)</f>
        <v>SYC</v>
      </c>
    </row>
    <row r="3459" spans="1:4" ht="30" thickTop="1" thickBot="1">
      <c r="A3459" s="7"/>
      <c r="B3459" s="7" t="s">
        <v>7</v>
      </c>
      <c r="C3459" s="7" t="s">
        <v>60</v>
      </c>
      <c r="D3459" t="str">
        <f t="shared" si="63"/>
        <v>SYC</v>
      </c>
    </row>
    <row r="3460" spans="1:4" ht="49.2" thickTop="1" thickBot="1">
      <c r="A3460" s="7"/>
      <c r="B3460" s="7" t="s">
        <v>9</v>
      </c>
      <c r="C3460" s="7">
        <v>2017</v>
      </c>
      <c r="D3460" t="str">
        <f t="shared" si="63"/>
        <v>SYC</v>
      </c>
    </row>
    <row r="3461" spans="1:4" ht="39.6" thickTop="1" thickBot="1">
      <c r="A3461" s="7"/>
      <c r="B3461" s="7" t="s">
        <v>10</v>
      </c>
      <c r="C3461" s="7">
        <v>2018</v>
      </c>
      <c r="D3461" t="str">
        <f t="shared" si="63"/>
        <v>SYC</v>
      </c>
    </row>
    <row r="3462" spans="1:4" ht="15.6" thickTop="1" thickBot="1">
      <c r="A3462" s="7"/>
      <c r="B3462" s="7" t="s">
        <v>11</v>
      </c>
      <c r="C3462" s="7" t="s">
        <v>1304</v>
      </c>
      <c r="D3462" t="str">
        <f t="shared" si="63"/>
        <v>SYC</v>
      </c>
    </row>
    <row r="3463" spans="1:4" ht="15.6" thickTop="1" thickBot="1">
      <c r="A3463" s="7"/>
      <c r="B3463" s="7" t="s">
        <v>13</v>
      </c>
      <c r="C3463" s="7" t="s">
        <v>1305</v>
      </c>
      <c r="D3463" t="str">
        <f t="shared" si="63"/>
        <v>SYC</v>
      </c>
    </row>
    <row r="3464" spans="1:4" ht="15.6" thickTop="1" thickBot="1">
      <c r="A3464" s="7"/>
      <c r="B3464" s="7" t="s">
        <v>15</v>
      </c>
      <c r="C3464" s="7" t="s">
        <v>1306</v>
      </c>
      <c r="D3464" t="str">
        <f t="shared" si="63"/>
        <v>SYC</v>
      </c>
    </row>
    <row r="3465" spans="1:4" ht="15.6" thickTop="1" thickBot="1">
      <c r="A3465" s="7"/>
      <c r="B3465" s="7" t="s">
        <v>16</v>
      </c>
      <c r="C3465" s="7" t="s">
        <v>1226</v>
      </c>
      <c r="D3465" t="str">
        <f t="shared" si="63"/>
        <v>SYC</v>
      </c>
    </row>
    <row r="3466" spans="1:4" ht="15.6" thickTop="1" thickBot="1">
      <c r="A3466" s="7"/>
      <c r="B3466" s="7" t="s">
        <v>17</v>
      </c>
      <c r="C3466" s="7" t="s">
        <v>1307</v>
      </c>
      <c r="D3466" t="str">
        <f t="shared" si="63"/>
        <v>SYC</v>
      </c>
    </row>
    <row r="3467" spans="1:4" ht="15.6" thickTop="1" thickBot="1">
      <c r="A3467" s="7"/>
      <c r="B3467" s="7" t="s">
        <v>18</v>
      </c>
      <c r="C3467" s="7" t="s">
        <v>1306</v>
      </c>
      <c r="D3467" t="str">
        <f t="shared" si="63"/>
        <v>SYC</v>
      </c>
    </row>
    <row r="3468" spans="1:4" ht="15.6" thickTop="1" thickBot="1">
      <c r="A3468" s="7"/>
      <c r="B3468" s="7" t="s">
        <v>19</v>
      </c>
      <c r="C3468" s="7" t="s">
        <v>1308</v>
      </c>
      <c r="D3468" t="str">
        <f t="shared" si="63"/>
        <v>SYC</v>
      </c>
    </row>
    <row r="3469" spans="1:4" ht="15.6" thickTop="1" thickBot="1">
      <c r="A3469" s="7"/>
      <c r="B3469" s="7" t="s">
        <v>21</v>
      </c>
      <c r="C3469" s="7" t="s">
        <v>1306</v>
      </c>
      <c r="D3469" t="str">
        <f t="shared" si="63"/>
        <v>SYC</v>
      </c>
    </row>
    <row r="3470" spans="1:4" ht="15.6" thickTop="1" thickBot="1">
      <c r="A3470" s="7"/>
      <c r="B3470" s="7" t="s">
        <v>22</v>
      </c>
      <c r="C3470" s="7" t="s">
        <v>1226</v>
      </c>
      <c r="D3470" t="str">
        <f t="shared" si="63"/>
        <v>SYC</v>
      </c>
    </row>
    <row r="3471" spans="1:4" ht="15.6" thickTop="1" thickBot="1">
      <c r="A3471" s="7"/>
      <c r="B3471" s="7" t="s">
        <v>23</v>
      </c>
      <c r="C3471" s="7" t="s">
        <v>1307</v>
      </c>
      <c r="D3471" t="str">
        <f t="shared" si="63"/>
        <v>SYC</v>
      </c>
    </row>
    <row r="3472" spans="1:4" ht="15.6" thickTop="1" thickBot="1">
      <c r="A3472" s="7"/>
      <c r="B3472" s="7" t="s">
        <v>24</v>
      </c>
      <c r="C3472" s="7">
        <v>1400</v>
      </c>
      <c r="D3472" t="str">
        <f t="shared" si="63"/>
        <v>SYC</v>
      </c>
    </row>
    <row r="3473" spans="1:4" ht="20.399999999999999" thickTop="1" thickBot="1">
      <c r="A3473" s="9" t="s">
        <v>1309</v>
      </c>
      <c r="B3473" s="10"/>
      <c r="C3473" s="11"/>
      <c r="D3473" t="str">
        <f t="shared" si="63"/>
        <v>SLE</v>
      </c>
    </row>
    <row r="3474" spans="1:4" ht="30" thickTop="1" thickBot="1">
      <c r="A3474" s="7"/>
      <c r="B3474" s="7" t="s">
        <v>25</v>
      </c>
      <c r="C3474" s="8">
        <v>71620</v>
      </c>
      <c r="D3474" t="str">
        <f t="shared" si="63"/>
        <v>SLE</v>
      </c>
    </row>
    <row r="3475" spans="1:4" ht="30" thickTop="1" thickBot="1">
      <c r="A3475" s="7"/>
      <c r="B3475" s="7" t="s">
        <v>26</v>
      </c>
      <c r="C3475" s="7" t="s">
        <v>1310</v>
      </c>
      <c r="D3475" t="str">
        <f t="shared" si="63"/>
        <v>SLE</v>
      </c>
    </row>
    <row r="3476" spans="1:4" ht="20.399999999999999" thickTop="1" thickBot="1">
      <c r="A3476" s="7"/>
      <c r="B3476" s="7" t="s">
        <v>28</v>
      </c>
      <c r="C3476" s="7" t="s">
        <v>1311</v>
      </c>
      <c r="D3476" t="str">
        <f t="shared" si="63"/>
        <v>SLE</v>
      </c>
    </row>
    <row r="3477" spans="1:4" ht="20.399999999999999" thickTop="1" thickBot="1">
      <c r="A3477" s="7"/>
      <c r="B3477" s="7" t="s">
        <v>30</v>
      </c>
      <c r="C3477" s="7" t="s">
        <v>1312</v>
      </c>
      <c r="D3477" t="str">
        <f t="shared" si="63"/>
        <v>SLE</v>
      </c>
    </row>
    <row r="3478" spans="1:4" ht="20.399999999999999" thickTop="1" thickBot="1">
      <c r="A3478" s="7"/>
      <c r="B3478" s="7" t="s">
        <v>32</v>
      </c>
      <c r="C3478" s="7" t="s">
        <v>33</v>
      </c>
      <c r="D3478" t="str">
        <f t="shared" si="63"/>
        <v>SLE</v>
      </c>
    </row>
    <row r="3479" spans="1:4" ht="20.399999999999999" thickTop="1" thickBot="1">
      <c r="A3479" s="7"/>
      <c r="B3479" s="7" t="s">
        <v>1</v>
      </c>
      <c r="C3479" s="7" t="s">
        <v>50</v>
      </c>
      <c r="D3479" t="str">
        <f t="shared" si="63"/>
        <v>SLE</v>
      </c>
    </row>
    <row r="3480" spans="1:4" ht="30" thickTop="1" thickBot="1">
      <c r="A3480" s="7"/>
      <c r="B3480" s="7" t="s">
        <v>3</v>
      </c>
      <c r="C3480" s="7" t="s">
        <v>4</v>
      </c>
      <c r="D3480" t="str">
        <f t="shared" si="63"/>
        <v>SLE</v>
      </c>
    </row>
    <row r="3481" spans="1:4" ht="20.399999999999999" thickTop="1" thickBot="1">
      <c r="A3481" s="7"/>
      <c r="B3481" s="7" t="s">
        <v>5</v>
      </c>
      <c r="C3481" s="7" t="s">
        <v>51</v>
      </c>
      <c r="D3481" t="str">
        <f t="shared" si="63"/>
        <v>SLE</v>
      </c>
    </row>
    <row r="3482" spans="1:4" ht="30" thickTop="1" thickBot="1">
      <c r="A3482" s="7"/>
      <c r="B3482" s="7" t="s">
        <v>7</v>
      </c>
      <c r="C3482" s="7" t="s">
        <v>8</v>
      </c>
      <c r="D3482" t="str">
        <f t="shared" si="63"/>
        <v>SLE</v>
      </c>
    </row>
    <row r="3483" spans="1:4" ht="49.2" thickTop="1" thickBot="1">
      <c r="A3483" s="7"/>
      <c r="B3483" s="7" t="s">
        <v>9</v>
      </c>
      <c r="C3483" s="7">
        <v>2017</v>
      </c>
      <c r="D3483" t="str">
        <f t="shared" si="63"/>
        <v>SLE</v>
      </c>
    </row>
    <row r="3484" spans="1:4" ht="39.6" thickTop="1" thickBot="1">
      <c r="A3484" s="7"/>
      <c r="B3484" s="7" t="s">
        <v>10</v>
      </c>
      <c r="C3484" s="7">
        <v>2018</v>
      </c>
      <c r="D3484" t="str">
        <f t="shared" si="63"/>
        <v>SLE</v>
      </c>
    </row>
    <row r="3485" spans="1:4" ht="15.6" thickTop="1" thickBot="1">
      <c r="A3485" s="7"/>
      <c r="B3485" s="7" t="s">
        <v>11</v>
      </c>
      <c r="C3485" s="7" t="s">
        <v>1313</v>
      </c>
      <c r="D3485" t="str">
        <f t="shared" si="63"/>
        <v>SLE</v>
      </c>
    </row>
    <row r="3486" spans="1:4" ht="15.6" thickTop="1" thickBot="1">
      <c r="A3486" s="7"/>
      <c r="B3486" s="7" t="s">
        <v>13</v>
      </c>
      <c r="C3486" s="7" t="s">
        <v>1314</v>
      </c>
      <c r="D3486" t="str">
        <f t="shared" si="63"/>
        <v>SLE</v>
      </c>
    </row>
    <row r="3487" spans="1:4" ht="15.6" thickTop="1" thickBot="1">
      <c r="A3487" s="7"/>
      <c r="B3487" s="7" t="s">
        <v>15</v>
      </c>
      <c r="C3487" s="7" t="s">
        <v>1315</v>
      </c>
      <c r="D3487" t="str">
        <f t="shared" si="63"/>
        <v>SLE</v>
      </c>
    </row>
    <row r="3488" spans="1:4" ht="15.6" thickTop="1" thickBot="1">
      <c r="A3488" s="7"/>
      <c r="B3488" s="7" t="s">
        <v>22</v>
      </c>
      <c r="C3488" s="7" t="s">
        <v>1314</v>
      </c>
      <c r="D3488" t="str">
        <f t="shared" si="63"/>
        <v>SLE</v>
      </c>
    </row>
    <row r="3489" spans="1:4" ht="15.6" thickTop="1" thickBot="1">
      <c r="A3489" s="7"/>
      <c r="B3489" s="7" t="s">
        <v>23</v>
      </c>
      <c r="C3489" s="7" t="s">
        <v>1315</v>
      </c>
      <c r="D3489" t="str">
        <f t="shared" si="63"/>
        <v>SLE</v>
      </c>
    </row>
    <row r="3490" spans="1:4" ht="15.6" thickTop="1" thickBot="1">
      <c r="A3490" s="7"/>
      <c r="B3490" s="7" t="s">
        <v>24</v>
      </c>
      <c r="C3490" s="7">
        <v>1410</v>
      </c>
      <c r="D3490" t="str">
        <f t="shared" si="63"/>
        <v>SLE</v>
      </c>
    </row>
    <row r="3491" spans="1:4" ht="15.6" thickTop="1" thickBot="1">
      <c r="A3491" s="7"/>
      <c r="B3491" s="7" t="s">
        <v>18</v>
      </c>
      <c r="C3491" s="7" t="s">
        <v>1316</v>
      </c>
      <c r="D3491" t="str">
        <f t="shared" si="63"/>
        <v>SLE</v>
      </c>
    </row>
    <row r="3492" spans="1:4" ht="15.6" thickTop="1" thickBot="1">
      <c r="A3492" s="7"/>
      <c r="B3492" s="7" t="s">
        <v>19</v>
      </c>
      <c r="C3492" s="7" t="s">
        <v>1317</v>
      </c>
      <c r="D3492" t="str">
        <f t="shared" si="63"/>
        <v>SLE</v>
      </c>
    </row>
    <row r="3493" spans="1:4" ht="15.6" thickTop="1" thickBot="1">
      <c r="A3493" s="7"/>
      <c r="B3493" s="7" t="s">
        <v>21</v>
      </c>
      <c r="C3493" s="7" t="s">
        <v>1318</v>
      </c>
      <c r="D3493" t="str">
        <f t="shared" si="63"/>
        <v>SLE</v>
      </c>
    </row>
    <row r="3494" spans="1:4" ht="15.6" thickTop="1" thickBot="1">
      <c r="A3494" s="7"/>
      <c r="B3494" s="7" t="s">
        <v>16</v>
      </c>
      <c r="C3494" s="7" t="s">
        <v>1314</v>
      </c>
      <c r="D3494" t="str">
        <f t="shared" si="63"/>
        <v>SLE</v>
      </c>
    </row>
    <row r="3495" spans="1:4" ht="15.6" thickTop="1" thickBot="1">
      <c r="A3495" s="7"/>
      <c r="B3495" s="7" t="s">
        <v>17</v>
      </c>
      <c r="C3495" s="7" t="s">
        <v>1315</v>
      </c>
      <c r="D3495" t="str">
        <f t="shared" si="63"/>
        <v>SLE</v>
      </c>
    </row>
    <row r="3496" spans="1:4" ht="20.399999999999999" thickTop="1" thickBot="1">
      <c r="A3496" s="9" t="s">
        <v>1319</v>
      </c>
      <c r="B3496" s="10"/>
      <c r="C3496" s="11"/>
      <c r="D3496" t="str">
        <f t="shared" si="63"/>
        <v>SGP</v>
      </c>
    </row>
    <row r="3497" spans="1:4" ht="30" thickTop="1" thickBot="1">
      <c r="A3497" s="7"/>
      <c r="B3497" s="7" t="s">
        <v>25</v>
      </c>
      <c r="C3497" s="7">
        <v>700</v>
      </c>
      <c r="D3497" t="str">
        <f t="shared" si="63"/>
        <v>SGP</v>
      </c>
    </row>
    <row r="3498" spans="1:4" ht="49.2" thickTop="1" thickBot="1">
      <c r="A3498" s="7"/>
      <c r="B3498" s="7" t="s">
        <v>26</v>
      </c>
      <c r="C3498" s="7" t="s">
        <v>1320</v>
      </c>
      <c r="D3498" t="str">
        <f t="shared" si="63"/>
        <v>SGP</v>
      </c>
    </row>
    <row r="3499" spans="1:4" ht="20.399999999999999" thickTop="1" thickBot="1">
      <c r="A3499" s="7"/>
      <c r="B3499" s="7" t="s">
        <v>28</v>
      </c>
      <c r="C3499" s="7" t="s">
        <v>1321</v>
      </c>
      <c r="D3499" t="str">
        <f t="shared" si="63"/>
        <v>SGP</v>
      </c>
    </row>
    <row r="3500" spans="1:4" ht="20.399999999999999" thickTop="1" thickBot="1">
      <c r="A3500" s="7"/>
      <c r="B3500" s="7" t="s">
        <v>30</v>
      </c>
      <c r="C3500" s="7" t="s">
        <v>1322</v>
      </c>
      <c r="D3500" t="str">
        <f t="shared" si="63"/>
        <v>SGP</v>
      </c>
    </row>
    <row r="3501" spans="1:4" ht="20.399999999999999" thickTop="1" thickBot="1">
      <c r="A3501" s="7"/>
      <c r="B3501" s="7" t="s">
        <v>32</v>
      </c>
      <c r="C3501" s="7" t="s">
        <v>33</v>
      </c>
      <c r="D3501" t="str">
        <f t="shared" si="63"/>
        <v>SGP</v>
      </c>
    </row>
    <row r="3502" spans="1:4" ht="20.399999999999999" thickTop="1" thickBot="1">
      <c r="A3502" s="7"/>
      <c r="B3502" s="7" t="s">
        <v>1</v>
      </c>
      <c r="C3502" s="7" t="s">
        <v>107</v>
      </c>
      <c r="D3502" t="str">
        <f t="shared" si="63"/>
        <v>SGP</v>
      </c>
    </row>
    <row r="3503" spans="1:4" ht="30" thickTop="1" thickBot="1">
      <c r="A3503" s="7"/>
      <c r="B3503" s="7" t="s">
        <v>3</v>
      </c>
      <c r="C3503" s="7" t="s">
        <v>59</v>
      </c>
      <c r="D3503" t="str">
        <f t="shared" si="63"/>
        <v>SGP</v>
      </c>
    </row>
    <row r="3504" spans="1:4" ht="20.399999999999999" thickTop="1" thickBot="1">
      <c r="A3504" s="7"/>
      <c r="B3504" s="7" t="s">
        <v>5</v>
      </c>
      <c r="C3504" s="7" t="s">
        <v>108</v>
      </c>
      <c r="D3504" t="str">
        <f t="shared" si="63"/>
        <v>SGP</v>
      </c>
    </row>
    <row r="3505" spans="1:4" ht="30" thickTop="1" thickBot="1">
      <c r="A3505" s="7"/>
      <c r="B3505" s="7" t="s">
        <v>7</v>
      </c>
      <c r="C3505" s="7" t="s">
        <v>60</v>
      </c>
      <c r="D3505" t="str">
        <f t="shared" si="63"/>
        <v>SGP</v>
      </c>
    </row>
    <row r="3506" spans="1:4" ht="49.2" thickTop="1" thickBot="1">
      <c r="A3506" s="7"/>
      <c r="B3506" s="7" t="s">
        <v>9</v>
      </c>
      <c r="C3506" s="7">
        <v>2017</v>
      </c>
      <c r="D3506" t="str">
        <f t="shared" si="63"/>
        <v>SGP</v>
      </c>
    </row>
    <row r="3507" spans="1:4" ht="39.6" thickTop="1" thickBot="1">
      <c r="A3507" s="7"/>
      <c r="B3507" s="7" t="s">
        <v>10</v>
      </c>
      <c r="C3507" s="7">
        <v>2018</v>
      </c>
      <c r="D3507" t="str">
        <f t="shared" si="63"/>
        <v>SGP</v>
      </c>
    </row>
    <row r="3508" spans="1:4" ht="15.6" thickTop="1" thickBot="1">
      <c r="A3508" s="7"/>
      <c r="B3508" s="7" t="s">
        <v>11</v>
      </c>
      <c r="C3508" s="7" t="s">
        <v>1323</v>
      </c>
      <c r="D3508" t="str">
        <f t="shared" si="63"/>
        <v>SGP</v>
      </c>
    </row>
    <row r="3509" spans="1:4" ht="15.6" thickTop="1" thickBot="1">
      <c r="A3509" s="7"/>
      <c r="B3509" s="7" t="s">
        <v>13</v>
      </c>
      <c r="C3509" s="7" t="s">
        <v>1287</v>
      </c>
      <c r="D3509" t="str">
        <f t="shared" si="63"/>
        <v>SGP</v>
      </c>
    </row>
    <row r="3510" spans="1:4" ht="15.6" thickTop="1" thickBot="1">
      <c r="A3510" s="7"/>
      <c r="B3510" s="7" t="s">
        <v>15</v>
      </c>
      <c r="C3510" s="7" t="s">
        <v>1324</v>
      </c>
      <c r="D3510" t="str">
        <f t="shared" si="63"/>
        <v>SGP</v>
      </c>
    </row>
    <row r="3511" spans="1:4" ht="15.6" thickTop="1" thickBot="1">
      <c r="A3511" s="7"/>
      <c r="B3511" s="7" t="s">
        <v>22</v>
      </c>
      <c r="C3511" s="7" t="s">
        <v>1325</v>
      </c>
      <c r="D3511" t="str">
        <f t="shared" si="63"/>
        <v>SGP</v>
      </c>
    </row>
    <row r="3512" spans="1:4" ht="15.6" thickTop="1" thickBot="1">
      <c r="A3512" s="7"/>
      <c r="B3512" s="7" t="s">
        <v>23</v>
      </c>
      <c r="C3512" s="7" t="s">
        <v>1323</v>
      </c>
      <c r="D3512" t="str">
        <f t="shared" si="63"/>
        <v>SGP</v>
      </c>
    </row>
    <row r="3513" spans="1:4" ht="15.6" thickTop="1" thickBot="1">
      <c r="A3513" s="7"/>
      <c r="B3513" s="7" t="s">
        <v>24</v>
      </c>
      <c r="C3513" s="7">
        <v>3350</v>
      </c>
      <c r="D3513" t="str">
        <f t="shared" si="63"/>
        <v>SGP</v>
      </c>
    </row>
    <row r="3514" spans="1:4" ht="15.6" thickTop="1" thickBot="1">
      <c r="A3514" s="7"/>
      <c r="B3514" s="7" t="s">
        <v>18</v>
      </c>
      <c r="C3514" s="7" t="s">
        <v>1326</v>
      </c>
      <c r="D3514" t="str">
        <f t="shared" si="63"/>
        <v>SGP</v>
      </c>
    </row>
    <row r="3515" spans="1:4" ht="15.6" thickTop="1" thickBot="1">
      <c r="A3515" s="7"/>
      <c r="B3515" s="7" t="s">
        <v>19</v>
      </c>
      <c r="C3515" s="7" t="s">
        <v>1327</v>
      </c>
      <c r="D3515" t="str">
        <f t="shared" si="63"/>
        <v>SGP</v>
      </c>
    </row>
    <row r="3516" spans="1:4" ht="15.6" thickTop="1" thickBot="1">
      <c r="A3516" s="7"/>
      <c r="B3516" s="7" t="s">
        <v>21</v>
      </c>
      <c r="C3516" s="7" t="s">
        <v>1324</v>
      </c>
      <c r="D3516" t="str">
        <f t="shared" si="63"/>
        <v>SGP</v>
      </c>
    </row>
    <row r="3517" spans="1:4" ht="15.6" thickTop="1" thickBot="1">
      <c r="A3517" s="7"/>
      <c r="B3517" s="7" t="s">
        <v>16</v>
      </c>
      <c r="C3517" s="7" t="s">
        <v>1288</v>
      </c>
      <c r="D3517" t="str">
        <f t="shared" si="63"/>
        <v>SGP</v>
      </c>
    </row>
    <row r="3518" spans="1:4" ht="15.6" thickTop="1" thickBot="1">
      <c r="A3518" s="7"/>
      <c r="B3518" s="7" t="s">
        <v>17</v>
      </c>
      <c r="C3518" s="7" t="s">
        <v>1323</v>
      </c>
      <c r="D3518" t="str">
        <f t="shared" si="63"/>
        <v>SGP</v>
      </c>
    </row>
    <row r="3519" spans="1:4" ht="20.399999999999999" thickTop="1" thickBot="1">
      <c r="A3519" s="9" t="s">
        <v>1328</v>
      </c>
      <c r="B3519" s="10"/>
      <c r="C3519" s="11"/>
      <c r="D3519" t="str">
        <f t="shared" si="63"/>
        <v>SVK</v>
      </c>
    </row>
    <row r="3520" spans="1:4" ht="30" thickTop="1" thickBot="1">
      <c r="A3520" s="7"/>
      <c r="B3520" s="7" t="s">
        <v>25</v>
      </c>
      <c r="C3520" s="8">
        <v>48100</v>
      </c>
      <c r="D3520" t="str">
        <f t="shared" si="63"/>
        <v>SVK</v>
      </c>
    </row>
    <row r="3521" spans="1:4" ht="30" thickTop="1" thickBot="1">
      <c r="A3521" s="7"/>
      <c r="B3521" s="7" t="s">
        <v>26</v>
      </c>
      <c r="C3521" s="7" t="s">
        <v>1329</v>
      </c>
      <c r="D3521" t="str">
        <f t="shared" si="63"/>
        <v>SVK</v>
      </c>
    </row>
    <row r="3522" spans="1:4" ht="20.399999999999999" thickTop="1" thickBot="1">
      <c r="A3522" s="7"/>
      <c r="B3522" s="7" t="s">
        <v>28</v>
      </c>
      <c r="C3522" s="7" t="s">
        <v>1330</v>
      </c>
      <c r="D3522" t="str">
        <f t="shared" ref="D3522:D3585" si="64">IF(ISNUMBER(FIND(":", A3522)), LEFT(A3522, FIND(":", A3522) - 1), D3521)</f>
        <v>SVK</v>
      </c>
    </row>
    <row r="3523" spans="1:4" ht="20.399999999999999" thickTop="1" thickBot="1">
      <c r="A3523" s="7"/>
      <c r="B3523" s="7" t="s">
        <v>30</v>
      </c>
      <c r="C3523" s="7" t="s">
        <v>1331</v>
      </c>
      <c r="D3523" t="str">
        <f t="shared" si="64"/>
        <v>SVK</v>
      </c>
    </row>
    <row r="3524" spans="1:4" ht="20.399999999999999" thickTop="1" thickBot="1">
      <c r="A3524" s="7"/>
      <c r="B3524" s="7" t="s">
        <v>32</v>
      </c>
      <c r="C3524" s="7" t="s">
        <v>33</v>
      </c>
      <c r="D3524" t="str">
        <f t="shared" si="64"/>
        <v>SVK</v>
      </c>
    </row>
    <row r="3525" spans="1:4" ht="20.399999999999999" thickTop="1" thickBot="1">
      <c r="A3525" s="7"/>
      <c r="B3525" s="7" t="s">
        <v>1</v>
      </c>
      <c r="C3525" s="7" t="s">
        <v>35</v>
      </c>
      <c r="D3525" t="str">
        <f t="shared" si="64"/>
        <v>SVK</v>
      </c>
    </row>
    <row r="3526" spans="1:4" ht="30" thickTop="1" thickBot="1">
      <c r="A3526" s="7"/>
      <c r="B3526" s="7" t="s">
        <v>3</v>
      </c>
      <c r="C3526" s="7" t="s">
        <v>59</v>
      </c>
      <c r="D3526" t="str">
        <f t="shared" si="64"/>
        <v>SVK</v>
      </c>
    </row>
    <row r="3527" spans="1:4" ht="20.399999999999999" thickTop="1" thickBot="1">
      <c r="A3527" s="7"/>
      <c r="B3527" s="7" t="s">
        <v>5</v>
      </c>
      <c r="C3527" s="7" t="s">
        <v>37</v>
      </c>
      <c r="D3527" t="str">
        <f t="shared" si="64"/>
        <v>SVK</v>
      </c>
    </row>
    <row r="3528" spans="1:4" ht="30" thickTop="1" thickBot="1">
      <c r="A3528" s="7"/>
      <c r="B3528" s="7" t="s">
        <v>7</v>
      </c>
      <c r="C3528" s="7" t="s">
        <v>60</v>
      </c>
      <c r="D3528" t="str">
        <f t="shared" si="64"/>
        <v>SVK</v>
      </c>
    </row>
    <row r="3529" spans="1:4" ht="49.2" thickTop="1" thickBot="1">
      <c r="A3529" s="7"/>
      <c r="B3529" s="7" t="s">
        <v>9</v>
      </c>
      <c r="C3529" s="7">
        <v>2017</v>
      </c>
      <c r="D3529" t="str">
        <f t="shared" si="64"/>
        <v>SVK</v>
      </c>
    </row>
    <row r="3530" spans="1:4" ht="39.6" thickTop="1" thickBot="1">
      <c r="A3530" s="7"/>
      <c r="B3530" s="7" t="s">
        <v>10</v>
      </c>
      <c r="C3530" s="7">
        <v>2018</v>
      </c>
      <c r="D3530" t="str">
        <f t="shared" si="64"/>
        <v>SVK</v>
      </c>
    </row>
    <row r="3531" spans="1:4" ht="15.6" thickTop="1" thickBot="1">
      <c r="A3531" s="7"/>
      <c r="B3531" s="7" t="s">
        <v>11</v>
      </c>
      <c r="C3531" s="7" t="s">
        <v>1332</v>
      </c>
      <c r="D3531" t="str">
        <f t="shared" si="64"/>
        <v>SVK</v>
      </c>
    </row>
    <row r="3532" spans="1:4" ht="15.6" thickTop="1" thickBot="1">
      <c r="A3532" s="7"/>
      <c r="B3532" s="7" t="s">
        <v>13</v>
      </c>
      <c r="C3532" s="7" t="s">
        <v>1333</v>
      </c>
      <c r="D3532" t="str">
        <f t="shared" si="64"/>
        <v>SVK</v>
      </c>
    </row>
    <row r="3533" spans="1:4" ht="15.6" thickTop="1" thickBot="1">
      <c r="A3533" s="7"/>
      <c r="B3533" s="7" t="s">
        <v>15</v>
      </c>
      <c r="C3533" s="7" t="s">
        <v>1334</v>
      </c>
      <c r="D3533" t="str">
        <f t="shared" si="64"/>
        <v>SVK</v>
      </c>
    </row>
    <row r="3534" spans="1:4" ht="15.6" thickTop="1" thickBot="1">
      <c r="A3534" s="7"/>
      <c r="B3534" s="7" t="s">
        <v>16</v>
      </c>
      <c r="C3534" s="7" t="s">
        <v>1332</v>
      </c>
      <c r="D3534" t="str">
        <f t="shared" si="64"/>
        <v>SVK</v>
      </c>
    </row>
    <row r="3535" spans="1:4" ht="15.6" thickTop="1" thickBot="1">
      <c r="A3535" s="7"/>
      <c r="B3535" s="7" t="s">
        <v>17</v>
      </c>
      <c r="C3535" s="7" t="s">
        <v>1334</v>
      </c>
      <c r="D3535" t="str">
        <f t="shared" si="64"/>
        <v>SVK</v>
      </c>
    </row>
    <row r="3536" spans="1:4" ht="15.6" thickTop="1" thickBot="1">
      <c r="A3536" s="7"/>
      <c r="B3536" s="7" t="s">
        <v>18</v>
      </c>
      <c r="C3536" s="7" t="s">
        <v>1334</v>
      </c>
      <c r="D3536" t="str">
        <f t="shared" si="64"/>
        <v>SVK</v>
      </c>
    </row>
    <row r="3537" spans="1:4" ht="15.6" thickTop="1" thickBot="1">
      <c r="A3537" s="7"/>
      <c r="B3537" s="7" t="s">
        <v>19</v>
      </c>
      <c r="C3537" s="7" t="s">
        <v>1335</v>
      </c>
      <c r="D3537" t="str">
        <f t="shared" si="64"/>
        <v>SVK</v>
      </c>
    </row>
    <row r="3538" spans="1:4" ht="15.6" thickTop="1" thickBot="1">
      <c r="A3538" s="7"/>
      <c r="B3538" s="7" t="s">
        <v>21</v>
      </c>
      <c r="C3538" s="7" t="s">
        <v>1334</v>
      </c>
      <c r="D3538" t="str">
        <f t="shared" si="64"/>
        <v>SVK</v>
      </c>
    </row>
    <row r="3539" spans="1:4" ht="15.6" thickTop="1" thickBot="1">
      <c r="A3539" s="7"/>
      <c r="B3539" s="7" t="s">
        <v>22</v>
      </c>
      <c r="C3539" s="7" t="s">
        <v>1336</v>
      </c>
      <c r="D3539" t="str">
        <f t="shared" si="64"/>
        <v>SVK</v>
      </c>
    </row>
    <row r="3540" spans="1:4" ht="15.6" thickTop="1" thickBot="1">
      <c r="A3540" s="7"/>
      <c r="B3540" s="7" t="s">
        <v>23</v>
      </c>
      <c r="C3540" s="7" t="s">
        <v>1334</v>
      </c>
      <c r="D3540" t="str">
        <f t="shared" si="64"/>
        <v>SVK</v>
      </c>
    </row>
    <row r="3541" spans="1:4" ht="15.6" thickTop="1" thickBot="1">
      <c r="A3541" s="7"/>
      <c r="B3541" s="7" t="s">
        <v>24</v>
      </c>
      <c r="C3541" s="7">
        <v>4274</v>
      </c>
      <c r="D3541" t="str">
        <f t="shared" si="64"/>
        <v>SVK</v>
      </c>
    </row>
    <row r="3542" spans="1:4" ht="20.399999999999999" thickTop="1" thickBot="1">
      <c r="A3542" s="9" t="s">
        <v>1337</v>
      </c>
      <c r="B3542" s="10"/>
      <c r="C3542" s="11"/>
      <c r="D3542" t="str">
        <f t="shared" si="64"/>
        <v>SVN</v>
      </c>
    </row>
    <row r="3543" spans="1:4" ht="30" thickTop="1" thickBot="1">
      <c r="A3543" s="7"/>
      <c r="B3543" s="7" t="s">
        <v>25</v>
      </c>
      <c r="C3543" s="8">
        <v>20140</v>
      </c>
      <c r="D3543" t="str">
        <f t="shared" si="64"/>
        <v>SVN</v>
      </c>
    </row>
    <row r="3544" spans="1:4" ht="39.6" thickTop="1" thickBot="1">
      <c r="A3544" s="7"/>
      <c r="B3544" s="7" t="s">
        <v>26</v>
      </c>
      <c r="C3544" s="7" t="s">
        <v>1338</v>
      </c>
      <c r="D3544" t="str">
        <f t="shared" si="64"/>
        <v>SVN</v>
      </c>
    </row>
    <row r="3545" spans="1:4" ht="20.399999999999999" thickTop="1" thickBot="1">
      <c r="A3545" s="7"/>
      <c r="B3545" s="7" t="s">
        <v>28</v>
      </c>
      <c r="C3545" s="7" t="s">
        <v>1339</v>
      </c>
      <c r="D3545" t="str">
        <f t="shared" si="64"/>
        <v>SVN</v>
      </c>
    </row>
    <row r="3546" spans="1:4" ht="20.399999999999999" thickTop="1" thickBot="1">
      <c r="A3546" s="7"/>
      <c r="B3546" s="7" t="s">
        <v>30</v>
      </c>
      <c r="C3546" s="7" t="s">
        <v>1340</v>
      </c>
      <c r="D3546" t="str">
        <f t="shared" si="64"/>
        <v>SVN</v>
      </c>
    </row>
    <row r="3547" spans="1:4" ht="20.399999999999999" thickTop="1" thickBot="1">
      <c r="A3547" s="7"/>
      <c r="B3547" s="7" t="s">
        <v>32</v>
      </c>
      <c r="C3547" s="7" t="s">
        <v>33</v>
      </c>
      <c r="D3547" t="str">
        <f t="shared" si="64"/>
        <v>SVN</v>
      </c>
    </row>
    <row r="3548" spans="1:4" ht="20.399999999999999" thickTop="1" thickBot="1">
      <c r="A3548" s="7"/>
      <c r="B3548" s="7" t="s">
        <v>1</v>
      </c>
      <c r="C3548" s="7" t="s">
        <v>35</v>
      </c>
      <c r="D3548" t="str">
        <f t="shared" si="64"/>
        <v>SVN</v>
      </c>
    </row>
    <row r="3549" spans="1:4" ht="30" thickTop="1" thickBot="1">
      <c r="A3549" s="7"/>
      <c r="B3549" s="7" t="s">
        <v>3</v>
      </c>
      <c r="C3549" s="7" t="s">
        <v>59</v>
      </c>
      <c r="D3549" t="str">
        <f t="shared" si="64"/>
        <v>SVN</v>
      </c>
    </row>
    <row r="3550" spans="1:4" ht="20.399999999999999" thickTop="1" thickBot="1">
      <c r="A3550" s="7"/>
      <c r="B3550" s="7" t="s">
        <v>5</v>
      </c>
      <c r="C3550" s="7" t="s">
        <v>37</v>
      </c>
      <c r="D3550" t="str">
        <f t="shared" si="64"/>
        <v>SVN</v>
      </c>
    </row>
    <row r="3551" spans="1:4" ht="30" thickTop="1" thickBot="1">
      <c r="A3551" s="7"/>
      <c r="B3551" s="7" t="s">
        <v>7</v>
      </c>
      <c r="C3551" s="7" t="s">
        <v>60</v>
      </c>
      <c r="D3551" t="str">
        <f t="shared" si="64"/>
        <v>SVN</v>
      </c>
    </row>
    <row r="3552" spans="1:4" ht="49.2" thickTop="1" thickBot="1">
      <c r="A3552" s="7"/>
      <c r="B3552" s="7" t="s">
        <v>9</v>
      </c>
      <c r="C3552" s="7">
        <v>2017</v>
      </c>
      <c r="D3552" t="str">
        <f t="shared" si="64"/>
        <v>SVN</v>
      </c>
    </row>
    <row r="3553" spans="1:4" ht="39.6" thickTop="1" thickBot="1">
      <c r="A3553" s="7"/>
      <c r="B3553" s="7" t="s">
        <v>10</v>
      </c>
      <c r="C3553" s="7">
        <v>2018</v>
      </c>
      <c r="D3553" t="str">
        <f t="shared" si="64"/>
        <v>SVN</v>
      </c>
    </row>
    <row r="3554" spans="1:4" ht="15.6" thickTop="1" thickBot="1">
      <c r="A3554" s="7"/>
      <c r="B3554" s="7" t="s">
        <v>11</v>
      </c>
      <c r="C3554" s="7" t="s">
        <v>1341</v>
      </c>
      <c r="D3554" t="str">
        <f t="shared" si="64"/>
        <v>SVN</v>
      </c>
    </row>
    <row r="3555" spans="1:4" ht="15.6" thickTop="1" thickBot="1">
      <c r="A3555" s="7"/>
      <c r="B3555" s="7" t="s">
        <v>13</v>
      </c>
      <c r="C3555" s="7" t="s">
        <v>1342</v>
      </c>
      <c r="D3555" t="str">
        <f t="shared" si="64"/>
        <v>SVN</v>
      </c>
    </row>
    <row r="3556" spans="1:4" ht="15.6" thickTop="1" thickBot="1">
      <c r="A3556" s="7"/>
      <c r="B3556" s="7" t="s">
        <v>15</v>
      </c>
      <c r="C3556" s="7" t="s">
        <v>1341</v>
      </c>
      <c r="D3556" t="str">
        <f t="shared" si="64"/>
        <v>SVN</v>
      </c>
    </row>
    <row r="3557" spans="1:4" ht="15.6" thickTop="1" thickBot="1">
      <c r="A3557" s="7"/>
      <c r="B3557" s="7" t="s">
        <v>22</v>
      </c>
      <c r="C3557" s="7" t="s">
        <v>1343</v>
      </c>
      <c r="D3557" t="str">
        <f t="shared" si="64"/>
        <v>SVN</v>
      </c>
    </row>
    <row r="3558" spans="1:4" ht="15.6" thickTop="1" thickBot="1">
      <c r="A3558" s="7"/>
      <c r="B3558" s="7" t="s">
        <v>23</v>
      </c>
      <c r="C3558" s="7" t="s">
        <v>1344</v>
      </c>
      <c r="D3558" t="str">
        <f t="shared" si="64"/>
        <v>SVN</v>
      </c>
    </row>
    <row r="3559" spans="1:4" ht="15.6" thickTop="1" thickBot="1">
      <c r="A3559" s="7"/>
      <c r="B3559" s="7" t="s">
        <v>24</v>
      </c>
      <c r="C3559" s="7">
        <v>4276</v>
      </c>
      <c r="D3559" t="str">
        <f t="shared" si="64"/>
        <v>SVN</v>
      </c>
    </row>
    <row r="3560" spans="1:4" ht="15.6" thickTop="1" thickBot="1">
      <c r="A3560" s="7"/>
      <c r="B3560" s="7" t="s">
        <v>18</v>
      </c>
      <c r="C3560" s="7" t="s">
        <v>1344</v>
      </c>
      <c r="D3560" t="str">
        <f t="shared" si="64"/>
        <v>SVN</v>
      </c>
    </row>
    <row r="3561" spans="1:4" ht="15.6" thickTop="1" thickBot="1">
      <c r="A3561" s="7"/>
      <c r="B3561" s="7" t="s">
        <v>19</v>
      </c>
      <c r="C3561" s="7" t="s">
        <v>1345</v>
      </c>
      <c r="D3561" t="str">
        <f t="shared" si="64"/>
        <v>SVN</v>
      </c>
    </row>
    <row r="3562" spans="1:4" ht="15.6" thickTop="1" thickBot="1">
      <c r="A3562" s="7"/>
      <c r="B3562" s="7" t="s">
        <v>21</v>
      </c>
      <c r="C3562" s="7" t="s">
        <v>1344</v>
      </c>
      <c r="D3562" t="str">
        <f t="shared" si="64"/>
        <v>SVN</v>
      </c>
    </row>
    <row r="3563" spans="1:4" ht="15.6" thickTop="1" thickBot="1">
      <c r="A3563" s="7"/>
      <c r="B3563" s="7" t="s">
        <v>16</v>
      </c>
      <c r="C3563" s="7" t="s">
        <v>1342</v>
      </c>
      <c r="D3563" t="str">
        <f t="shared" si="64"/>
        <v>SVN</v>
      </c>
    </row>
    <row r="3564" spans="1:4" ht="15.6" thickTop="1" thickBot="1">
      <c r="A3564" s="7"/>
      <c r="B3564" s="7" t="s">
        <v>17</v>
      </c>
      <c r="C3564" s="7" t="s">
        <v>1344</v>
      </c>
      <c r="D3564" t="str">
        <f t="shared" si="64"/>
        <v>SVN</v>
      </c>
    </row>
    <row r="3565" spans="1:4" ht="30" thickTop="1" thickBot="1">
      <c r="A3565" s="9" t="s">
        <v>1346</v>
      </c>
      <c r="B3565" s="10"/>
      <c r="C3565" s="11"/>
      <c r="D3565" t="str">
        <f t="shared" si="64"/>
        <v>SLB</v>
      </c>
    </row>
    <row r="3566" spans="1:4" ht="30" thickTop="1" thickBot="1">
      <c r="A3566" s="7"/>
      <c r="B3566" s="7" t="s">
        <v>25</v>
      </c>
      <c r="C3566" s="8">
        <v>27990</v>
      </c>
      <c r="D3566" t="str">
        <f t="shared" si="64"/>
        <v>SLB</v>
      </c>
    </row>
    <row r="3567" spans="1:4" ht="49.2" thickTop="1" thickBot="1">
      <c r="A3567" s="7"/>
      <c r="B3567" s="7" t="s">
        <v>26</v>
      </c>
      <c r="C3567" s="7" t="s">
        <v>1347</v>
      </c>
      <c r="D3567" t="str">
        <f t="shared" si="64"/>
        <v>SLB</v>
      </c>
    </row>
    <row r="3568" spans="1:4" ht="20.399999999999999" thickTop="1" thickBot="1">
      <c r="A3568" s="7"/>
      <c r="B3568" s="7" t="s">
        <v>28</v>
      </c>
      <c r="C3568" s="7" t="s">
        <v>1348</v>
      </c>
      <c r="D3568" t="str">
        <f t="shared" si="64"/>
        <v>SLB</v>
      </c>
    </row>
    <row r="3569" spans="1:4" ht="20.399999999999999" thickTop="1" thickBot="1">
      <c r="A3569" s="7"/>
      <c r="B3569" s="7" t="s">
        <v>30</v>
      </c>
      <c r="C3569" s="7" t="s">
        <v>1349</v>
      </c>
      <c r="D3569" t="str">
        <f t="shared" si="64"/>
        <v>SLB</v>
      </c>
    </row>
    <row r="3570" spans="1:4" ht="20.399999999999999" thickTop="1" thickBot="1">
      <c r="A3570" s="7"/>
      <c r="B3570" s="7" t="s">
        <v>32</v>
      </c>
      <c r="C3570" s="7" t="s">
        <v>33</v>
      </c>
      <c r="D3570" t="str">
        <f t="shared" si="64"/>
        <v>SLB</v>
      </c>
    </row>
    <row r="3571" spans="1:4" ht="20.399999999999999" thickTop="1" thickBot="1">
      <c r="A3571" s="7"/>
      <c r="B3571" s="7" t="s">
        <v>1</v>
      </c>
      <c r="C3571" s="7" t="s">
        <v>107</v>
      </c>
      <c r="D3571" t="str">
        <f t="shared" si="64"/>
        <v>SLB</v>
      </c>
    </row>
    <row r="3572" spans="1:4" ht="30" thickTop="1" thickBot="1">
      <c r="A3572" s="7"/>
      <c r="B3572" s="7" t="s">
        <v>3</v>
      </c>
      <c r="C3572" s="7" t="s">
        <v>69</v>
      </c>
      <c r="D3572" t="str">
        <f t="shared" si="64"/>
        <v>SLB</v>
      </c>
    </row>
    <row r="3573" spans="1:4" ht="20.399999999999999" thickTop="1" thickBot="1">
      <c r="A3573" s="7"/>
      <c r="B3573" s="7" t="s">
        <v>5</v>
      </c>
      <c r="C3573" s="7" t="s">
        <v>108</v>
      </c>
      <c r="D3573" t="str">
        <f t="shared" si="64"/>
        <v>SLB</v>
      </c>
    </row>
    <row r="3574" spans="1:4" ht="30" thickTop="1" thickBot="1">
      <c r="A3574" s="7"/>
      <c r="B3574" s="7" t="s">
        <v>7</v>
      </c>
      <c r="C3574" s="7" t="s">
        <v>70</v>
      </c>
      <c r="D3574" t="str">
        <f t="shared" si="64"/>
        <v>SLB</v>
      </c>
    </row>
    <row r="3575" spans="1:4" ht="49.2" thickTop="1" thickBot="1">
      <c r="A3575" s="7"/>
      <c r="B3575" s="7" t="s">
        <v>9</v>
      </c>
      <c r="C3575" s="7">
        <v>2017</v>
      </c>
      <c r="D3575" t="str">
        <f t="shared" si="64"/>
        <v>SLB</v>
      </c>
    </row>
    <row r="3576" spans="1:4" ht="39.6" thickTop="1" thickBot="1">
      <c r="A3576" s="7"/>
      <c r="B3576" s="7" t="s">
        <v>10</v>
      </c>
      <c r="C3576" s="7">
        <v>2018</v>
      </c>
      <c r="D3576" t="str">
        <f t="shared" si="64"/>
        <v>SLB</v>
      </c>
    </row>
    <row r="3577" spans="1:4" ht="15.6" thickTop="1" thickBot="1">
      <c r="A3577" s="7"/>
      <c r="B3577" s="7" t="s">
        <v>13</v>
      </c>
      <c r="C3577" s="7" t="s">
        <v>1350</v>
      </c>
      <c r="D3577" t="str">
        <f t="shared" si="64"/>
        <v>SLB</v>
      </c>
    </row>
    <row r="3578" spans="1:4" ht="15.6" thickTop="1" thickBot="1">
      <c r="A3578" s="7"/>
      <c r="B3578" s="7" t="s">
        <v>15</v>
      </c>
      <c r="C3578" s="7" t="s">
        <v>1351</v>
      </c>
      <c r="D3578" t="str">
        <f t="shared" si="64"/>
        <v>SLB</v>
      </c>
    </row>
    <row r="3579" spans="1:4" ht="15.6" thickTop="1" thickBot="1">
      <c r="A3579" s="7"/>
      <c r="B3579" s="7" t="s">
        <v>16</v>
      </c>
      <c r="C3579" s="7" t="s">
        <v>1352</v>
      </c>
      <c r="D3579" t="str">
        <f t="shared" si="64"/>
        <v>SLB</v>
      </c>
    </row>
    <row r="3580" spans="1:4" ht="15.6" thickTop="1" thickBot="1">
      <c r="A3580" s="7"/>
      <c r="B3580" s="7" t="s">
        <v>17</v>
      </c>
      <c r="C3580" s="7" t="s">
        <v>1353</v>
      </c>
      <c r="D3580" t="str">
        <f t="shared" si="64"/>
        <v>SLB</v>
      </c>
    </row>
    <row r="3581" spans="1:4" ht="15.6" thickTop="1" thickBot="1">
      <c r="A3581" s="7"/>
      <c r="B3581" s="7" t="s">
        <v>18</v>
      </c>
      <c r="C3581" s="7" t="s">
        <v>1354</v>
      </c>
      <c r="D3581" t="str">
        <f t="shared" si="64"/>
        <v>SLB</v>
      </c>
    </row>
    <row r="3582" spans="1:4" ht="15.6" thickTop="1" thickBot="1">
      <c r="A3582" s="7"/>
      <c r="B3582" s="7" t="s">
        <v>19</v>
      </c>
      <c r="C3582" s="7" t="s">
        <v>1355</v>
      </c>
      <c r="D3582" t="str">
        <f t="shared" si="64"/>
        <v>SLB</v>
      </c>
    </row>
    <row r="3583" spans="1:4" ht="15.6" thickTop="1" thickBot="1">
      <c r="A3583" s="7"/>
      <c r="B3583" s="7" t="s">
        <v>21</v>
      </c>
      <c r="C3583" s="7" t="s">
        <v>1351</v>
      </c>
      <c r="D3583" t="str">
        <f t="shared" si="64"/>
        <v>SLB</v>
      </c>
    </row>
    <row r="3584" spans="1:4" ht="15.6" thickTop="1" thickBot="1">
      <c r="A3584" s="7"/>
      <c r="B3584" s="7" t="s">
        <v>22</v>
      </c>
      <c r="C3584" s="7" t="s">
        <v>1356</v>
      </c>
      <c r="D3584" t="str">
        <f t="shared" si="64"/>
        <v>SLB</v>
      </c>
    </row>
    <row r="3585" spans="1:4" ht="15.6" thickTop="1" thickBot="1">
      <c r="A3585" s="7"/>
      <c r="B3585" s="7" t="s">
        <v>23</v>
      </c>
      <c r="C3585" s="7" t="s">
        <v>1353</v>
      </c>
      <c r="D3585" t="str">
        <f t="shared" si="64"/>
        <v>SLB</v>
      </c>
    </row>
    <row r="3586" spans="1:4" ht="15.6" thickTop="1" thickBot="1">
      <c r="A3586" s="7"/>
      <c r="B3586" s="7" t="s">
        <v>24</v>
      </c>
      <c r="C3586" s="7">
        <v>5198</v>
      </c>
      <c r="D3586" t="str">
        <f t="shared" ref="D3586:D3649" si="65">IF(ISNUMBER(FIND(":", A3586)), LEFT(A3586, FIND(":", A3586) - 1), D3585)</f>
        <v>SLB</v>
      </c>
    </row>
    <row r="3587" spans="1:4" ht="20.399999999999999" thickTop="1" thickBot="1">
      <c r="A3587" s="9" t="s">
        <v>1357</v>
      </c>
      <c r="B3587" s="10"/>
      <c r="C3587" s="11"/>
      <c r="D3587" t="str">
        <f t="shared" si="65"/>
        <v>SOM</v>
      </c>
    </row>
    <row r="3588" spans="1:4" ht="30" thickTop="1" thickBot="1">
      <c r="A3588" s="7"/>
      <c r="B3588" s="7" t="s">
        <v>25</v>
      </c>
      <c r="C3588" s="8">
        <v>627340</v>
      </c>
      <c r="D3588" t="str">
        <f t="shared" si="65"/>
        <v>SOM</v>
      </c>
    </row>
    <row r="3589" spans="1:4" ht="39.6" thickTop="1" thickBot="1">
      <c r="A3589" s="7"/>
      <c r="B3589" s="7" t="s">
        <v>26</v>
      </c>
      <c r="C3589" s="7" t="s">
        <v>1358</v>
      </c>
      <c r="D3589" t="str">
        <f t="shared" si="65"/>
        <v>SOM</v>
      </c>
    </row>
    <row r="3590" spans="1:4" ht="20.399999999999999" thickTop="1" thickBot="1">
      <c r="A3590" s="7"/>
      <c r="B3590" s="7" t="s">
        <v>28</v>
      </c>
      <c r="C3590" s="7" t="s">
        <v>1359</v>
      </c>
      <c r="D3590" t="str">
        <f t="shared" si="65"/>
        <v>SOM</v>
      </c>
    </row>
    <row r="3591" spans="1:4" ht="20.399999999999999" thickTop="1" thickBot="1">
      <c r="A3591" s="7"/>
      <c r="B3591" s="7" t="s">
        <v>30</v>
      </c>
      <c r="C3591" s="7" t="s">
        <v>1360</v>
      </c>
      <c r="D3591" t="str">
        <f t="shared" si="65"/>
        <v>SOM</v>
      </c>
    </row>
    <row r="3592" spans="1:4" ht="20.399999999999999" thickTop="1" thickBot="1">
      <c r="A3592" s="7"/>
      <c r="B3592" s="7" t="s">
        <v>32</v>
      </c>
      <c r="C3592" s="7" t="s">
        <v>33</v>
      </c>
      <c r="D3592" t="str">
        <f t="shared" si="65"/>
        <v>SOM</v>
      </c>
    </row>
    <row r="3593" spans="1:4" ht="30" thickTop="1" thickBot="1">
      <c r="A3593" s="7"/>
      <c r="B3593" s="7" t="s">
        <v>1</v>
      </c>
      <c r="C3593" s="7" t="s">
        <v>2</v>
      </c>
      <c r="D3593" t="str">
        <f t="shared" si="65"/>
        <v>SOM</v>
      </c>
    </row>
    <row r="3594" spans="1:4" ht="30" thickTop="1" thickBot="1">
      <c r="A3594" s="7"/>
      <c r="B3594" s="7" t="s">
        <v>3</v>
      </c>
      <c r="C3594" s="7" t="s">
        <v>4</v>
      </c>
      <c r="D3594" t="str">
        <f t="shared" si="65"/>
        <v>SOM</v>
      </c>
    </row>
    <row r="3595" spans="1:4" ht="20.399999999999999" thickTop="1" thickBot="1">
      <c r="A3595" s="7"/>
      <c r="B3595" s="7" t="s">
        <v>5</v>
      </c>
      <c r="C3595" s="7" t="s">
        <v>6</v>
      </c>
      <c r="D3595" t="str">
        <f t="shared" si="65"/>
        <v>SOM</v>
      </c>
    </row>
    <row r="3596" spans="1:4" ht="30" thickTop="1" thickBot="1">
      <c r="A3596" s="7"/>
      <c r="B3596" s="7" t="s">
        <v>7</v>
      </c>
      <c r="C3596" s="7" t="s">
        <v>8</v>
      </c>
      <c r="D3596" t="str">
        <f t="shared" si="65"/>
        <v>SOM</v>
      </c>
    </row>
    <row r="3597" spans="1:4" ht="49.2" thickTop="1" thickBot="1">
      <c r="A3597" s="7"/>
      <c r="B3597" s="7" t="s">
        <v>9</v>
      </c>
      <c r="C3597" s="7">
        <v>2017</v>
      </c>
      <c r="D3597" t="str">
        <f t="shared" si="65"/>
        <v>SOM</v>
      </c>
    </row>
    <row r="3598" spans="1:4" ht="39.6" thickTop="1" thickBot="1">
      <c r="A3598" s="7"/>
      <c r="B3598" s="7" t="s">
        <v>10</v>
      </c>
      <c r="C3598" s="7">
        <v>2018</v>
      </c>
      <c r="D3598" t="str">
        <f t="shared" si="65"/>
        <v>SOM</v>
      </c>
    </row>
    <row r="3599" spans="1:4" ht="15.6" thickTop="1" thickBot="1">
      <c r="A3599" s="7"/>
      <c r="B3599" s="7" t="s">
        <v>11</v>
      </c>
      <c r="C3599" s="7" t="s">
        <v>1356</v>
      </c>
      <c r="D3599" t="str">
        <f t="shared" si="65"/>
        <v>SOM</v>
      </c>
    </row>
    <row r="3600" spans="1:4" ht="15.6" thickTop="1" thickBot="1">
      <c r="A3600" s="7"/>
      <c r="B3600" s="7" t="s">
        <v>13</v>
      </c>
      <c r="C3600" s="7" t="s">
        <v>1356</v>
      </c>
      <c r="D3600" t="str">
        <f t="shared" si="65"/>
        <v>SOM</v>
      </c>
    </row>
    <row r="3601" spans="1:4" ht="15.6" thickTop="1" thickBot="1">
      <c r="A3601" s="7"/>
      <c r="B3601" s="7" t="s">
        <v>15</v>
      </c>
      <c r="C3601" s="7" t="s">
        <v>1361</v>
      </c>
      <c r="D3601" t="str">
        <f t="shared" si="65"/>
        <v>SOM</v>
      </c>
    </row>
    <row r="3602" spans="1:4" ht="15.6" thickTop="1" thickBot="1">
      <c r="A3602" s="7"/>
      <c r="B3602" s="7" t="s">
        <v>16</v>
      </c>
      <c r="C3602" s="7" t="s">
        <v>1356</v>
      </c>
      <c r="D3602" t="str">
        <f t="shared" si="65"/>
        <v>SOM</v>
      </c>
    </row>
    <row r="3603" spans="1:4" ht="15.6" thickTop="1" thickBot="1">
      <c r="A3603" s="7"/>
      <c r="B3603" s="7" t="s">
        <v>17</v>
      </c>
      <c r="C3603" s="7" t="s">
        <v>1361</v>
      </c>
      <c r="D3603" t="str">
        <f t="shared" si="65"/>
        <v>SOM</v>
      </c>
    </row>
    <row r="3604" spans="1:4" ht="15.6" thickTop="1" thickBot="1">
      <c r="A3604" s="7"/>
      <c r="B3604" s="7" t="s">
        <v>18</v>
      </c>
      <c r="C3604" s="7" t="s">
        <v>1361</v>
      </c>
      <c r="D3604" t="str">
        <f t="shared" si="65"/>
        <v>SOM</v>
      </c>
    </row>
    <row r="3605" spans="1:4" ht="15.6" thickTop="1" thickBot="1">
      <c r="A3605" s="7"/>
      <c r="B3605" s="7" t="s">
        <v>19</v>
      </c>
      <c r="C3605" s="7" t="s">
        <v>1362</v>
      </c>
      <c r="D3605" t="str">
        <f t="shared" si="65"/>
        <v>SOM</v>
      </c>
    </row>
    <row r="3606" spans="1:4" ht="15.6" thickTop="1" thickBot="1">
      <c r="A3606" s="7"/>
      <c r="B3606" s="7" t="s">
        <v>21</v>
      </c>
      <c r="C3606" s="7" t="s">
        <v>1361</v>
      </c>
      <c r="D3606" t="str">
        <f t="shared" si="65"/>
        <v>SOM</v>
      </c>
    </row>
    <row r="3607" spans="1:4" ht="15.6" thickTop="1" thickBot="1">
      <c r="A3607" s="7"/>
      <c r="B3607" s="7" t="s">
        <v>22</v>
      </c>
      <c r="C3607" s="7" t="s">
        <v>1342</v>
      </c>
      <c r="D3607" t="str">
        <f t="shared" si="65"/>
        <v>SOM</v>
      </c>
    </row>
    <row r="3608" spans="1:4" ht="15.6" thickTop="1" thickBot="1">
      <c r="A3608" s="7"/>
      <c r="B3608" s="7" t="s">
        <v>23</v>
      </c>
      <c r="C3608" s="7" t="s">
        <v>1361</v>
      </c>
      <c r="D3608" t="str">
        <f t="shared" si="65"/>
        <v>SOM</v>
      </c>
    </row>
    <row r="3609" spans="1:4" ht="15.6" thickTop="1" thickBot="1">
      <c r="A3609" s="7"/>
      <c r="B3609" s="7" t="s">
        <v>24</v>
      </c>
      <c r="C3609" s="7">
        <v>1420</v>
      </c>
      <c r="D3609" t="str">
        <f t="shared" si="65"/>
        <v>SOM</v>
      </c>
    </row>
    <row r="3610" spans="1:4" ht="20.399999999999999" thickTop="1" thickBot="1">
      <c r="A3610" s="9" t="s">
        <v>1363</v>
      </c>
      <c r="B3610" s="10"/>
      <c r="C3610" s="11"/>
      <c r="D3610" t="str">
        <f t="shared" si="65"/>
        <v>ZAF</v>
      </c>
    </row>
    <row r="3611" spans="1:4" ht="30" thickTop="1" thickBot="1">
      <c r="A3611" s="7"/>
      <c r="B3611" s="7" t="s">
        <v>25</v>
      </c>
      <c r="C3611" s="8">
        <v>1213090</v>
      </c>
      <c r="D3611" t="str">
        <f t="shared" si="65"/>
        <v>ZAF</v>
      </c>
    </row>
    <row r="3612" spans="1:4" ht="97.2" thickTop="1" thickBot="1">
      <c r="A3612" s="7"/>
      <c r="B3612" s="7" t="s">
        <v>26</v>
      </c>
      <c r="C3612" s="7" t="s">
        <v>1364</v>
      </c>
      <c r="D3612" t="str">
        <f t="shared" si="65"/>
        <v>ZAF</v>
      </c>
    </row>
    <row r="3613" spans="1:4" ht="20.399999999999999" thickTop="1" thickBot="1">
      <c r="A3613" s="7"/>
      <c r="B3613" s="7" t="s">
        <v>28</v>
      </c>
      <c r="C3613" s="7" t="s">
        <v>1365</v>
      </c>
      <c r="D3613" t="str">
        <f t="shared" si="65"/>
        <v>ZAF</v>
      </c>
    </row>
    <row r="3614" spans="1:4" ht="20.399999999999999" thickTop="1" thickBot="1">
      <c r="A3614" s="7"/>
      <c r="B3614" s="7" t="s">
        <v>30</v>
      </c>
      <c r="C3614" s="7" t="s">
        <v>1366</v>
      </c>
      <c r="D3614" t="str">
        <f t="shared" si="65"/>
        <v>ZAF</v>
      </c>
    </row>
    <row r="3615" spans="1:4" ht="20.399999999999999" thickTop="1" thickBot="1">
      <c r="A3615" s="7"/>
      <c r="B3615" s="7" t="s">
        <v>32</v>
      </c>
      <c r="C3615" s="7" t="s">
        <v>33</v>
      </c>
      <c r="D3615" t="str">
        <f t="shared" si="65"/>
        <v>ZAF</v>
      </c>
    </row>
    <row r="3616" spans="1:4" ht="20.399999999999999" thickTop="1" thickBot="1">
      <c r="A3616" s="7"/>
      <c r="B3616" s="7" t="s">
        <v>1</v>
      </c>
      <c r="C3616" s="7" t="s">
        <v>50</v>
      </c>
      <c r="D3616" t="str">
        <f t="shared" si="65"/>
        <v>ZAF</v>
      </c>
    </row>
    <row r="3617" spans="1:4" ht="30" thickTop="1" thickBot="1">
      <c r="A3617" s="7"/>
      <c r="B3617" s="7" t="s">
        <v>3</v>
      </c>
      <c r="C3617" s="7" t="s">
        <v>36</v>
      </c>
      <c r="D3617" t="str">
        <f t="shared" si="65"/>
        <v>ZAF</v>
      </c>
    </row>
    <row r="3618" spans="1:4" ht="20.399999999999999" thickTop="1" thickBot="1">
      <c r="A3618" s="7"/>
      <c r="B3618" s="7" t="s">
        <v>5</v>
      </c>
      <c r="C3618" s="7" t="s">
        <v>51</v>
      </c>
      <c r="D3618" t="str">
        <f t="shared" si="65"/>
        <v>ZAF</v>
      </c>
    </row>
    <row r="3619" spans="1:4" ht="30" thickTop="1" thickBot="1">
      <c r="A3619" s="7"/>
      <c r="B3619" s="7" t="s">
        <v>7</v>
      </c>
      <c r="C3619" s="7" t="s">
        <v>38</v>
      </c>
      <c r="D3619" t="str">
        <f t="shared" si="65"/>
        <v>ZAF</v>
      </c>
    </row>
    <row r="3620" spans="1:4" ht="49.2" thickTop="1" thickBot="1">
      <c r="A3620" s="7"/>
      <c r="B3620" s="7" t="s">
        <v>9</v>
      </c>
      <c r="C3620" s="7">
        <v>2017</v>
      </c>
      <c r="D3620" t="str">
        <f t="shared" si="65"/>
        <v>ZAF</v>
      </c>
    </row>
    <row r="3621" spans="1:4" ht="39.6" thickTop="1" thickBot="1">
      <c r="A3621" s="7"/>
      <c r="B3621" s="7" t="s">
        <v>10</v>
      </c>
      <c r="C3621" s="7">
        <v>2018</v>
      </c>
      <c r="D3621" t="str">
        <f t="shared" si="65"/>
        <v>ZAF</v>
      </c>
    </row>
    <row r="3622" spans="1:4" ht="15.6" thickTop="1" thickBot="1">
      <c r="A3622" s="7"/>
      <c r="B3622" s="7" t="s">
        <v>11</v>
      </c>
      <c r="C3622" s="7" t="s">
        <v>1367</v>
      </c>
      <c r="D3622" t="str">
        <f t="shared" si="65"/>
        <v>ZAF</v>
      </c>
    </row>
    <row r="3623" spans="1:4" ht="15.6" thickTop="1" thickBot="1">
      <c r="A3623" s="7"/>
      <c r="B3623" s="7" t="s">
        <v>13</v>
      </c>
      <c r="C3623" s="7" t="s">
        <v>1368</v>
      </c>
      <c r="D3623" t="str">
        <f t="shared" si="65"/>
        <v>ZAF</v>
      </c>
    </row>
    <row r="3624" spans="1:4" ht="15.6" thickTop="1" thickBot="1">
      <c r="A3624" s="7"/>
      <c r="B3624" s="7" t="s">
        <v>15</v>
      </c>
      <c r="C3624" s="7" t="s">
        <v>1369</v>
      </c>
      <c r="D3624" t="str">
        <f t="shared" si="65"/>
        <v>ZAF</v>
      </c>
    </row>
    <row r="3625" spans="1:4" ht="15.6" thickTop="1" thickBot="1">
      <c r="A3625" s="7"/>
      <c r="B3625" s="7" t="s">
        <v>16</v>
      </c>
      <c r="C3625" s="7" t="s">
        <v>1367</v>
      </c>
      <c r="D3625" t="str">
        <f t="shared" si="65"/>
        <v>ZAF</v>
      </c>
    </row>
    <row r="3626" spans="1:4" ht="15.6" thickTop="1" thickBot="1">
      <c r="A3626" s="7"/>
      <c r="B3626" s="7" t="s">
        <v>17</v>
      </c>
      <c r="C3626" s="7" t="s">
        <v>1370</v>
      </c>
      <c r="D3626" t="str">
        <f t="shared" si="65"/>
        <v>ZAF</v>
      </c>
    </row>
    <row r="3627" spans="1:4" ht="15.6" thickTop="1" thickBot="1">
      <c r="A3627" s="7"/>
      <c r="B3627" s="7" t="s">
        <v>18</v>
      </c>
      <c r="C3627" s="7" t="s">
        <v>1371</v>
      </c>
      <c r="D3627" t="str">
        <f t="shared" si="65"/>
        <v>ZAF</v>
      </c>
    </row>
    <row r="3628" spans="1:4" ht="15.6" thickTop="1" thickBot="1">
      <c r="A3628" s="7"/>
      <c r="B3628" s="7" t="s">
        <v>19</v>
      </c>
      <c r="C3628" s="7" t="s">
        <v>1372</v>
      </c>
      <c r="D3628" t="str">
        <f t="shared" si="65"/>
        <v>ZAF</v>
      </c>
    </row>
    <row r="3629" spans="1:4" ht="15.6" thickTop="1" thickBot="1">
      <c r="A3629" s="7"/>
      <c r="B3629" s="7" t="s">
        <v>21</v>
      </c>
      <c r="C3629" s="7" t="s">
        <v>1373</v>
      </c>
      <c r="D3629" t="str">
        <f t="shared" si="65"/>
        <v>ZAF</v>
      </c>
    </row>
    <row r="3630" spans="1:4" ht="15.6" thickTop="1" thickBot="1">
      <c r="A3630" s="7"/>
      <c r="B3630" s="7" t="s">
        <v>22</v>
      </c>
      <c r="C3630" s="7" t="s">
        <v>1367</v>
      </c>
      <c r="D3630" t="str">
        <f t="shared" si="65"/>
        <v>ZAF</v>
      </c>
    </row>
    <row r="3631" spans="1:4" ht="15.6" thickTop="1" thickBot="1">
      <c r="A3631" s="7"/>
      <c r="B3631" s="7" t="s">
        <v>23</v>
      </c>
      <c r="C3631" s="7" t="s">
        <v>1370</v>
      </c>
      <c r="D3631" t="str">
        <f t="shared" si="65"/>
        <v>ZAF</v>
      </c>
    </row>
    <row r="3632" spans="1:4" ht="15.6" thickTop="1" thickBot="1">
      <c r="A3632" s="7"/>
      <c r="B3632" s="7" t="s">
        <v>24</v>
      </c>
      <c r="C3632" s="7">
        <v>1430</v>
      </c>
      <c r="D3632" t="str">
        <f t="shared" si="65"/>
        <v>ZAF</v>
      </c>
    </row>
    <row r="3633" spans="1:4" ht="15.6" thickTop="1" thickBot="1">
      <c r="A3633" s="9" t="s">
        <v>1374</v>
      </c>
      <c r="B3633" s="10"/>
      <c r="C3633" s="11"/>
      <c r="D3633" t="str">
        <f t="shared" si="65"/>
        <v>ESP</v>
      </c>
    </row>
    <row r="3634" spans="1:4" ht="30" thickTop="1" thickBot="1">
      <c r="A3634" s="7"/>
      <c r="B3634" s="7" t="s">
        <v>25</v>
      </c>
      <c r="C3634" s="8">
        <v>498800</v>
      </c>
      <c r="D3634" t="str">
        <f t="shared" si="65"/>
        <v>ESP</v>
      </c>
    </row>
    <row r="3635" spans="1:4" ht="39.6" thickTop="1" thickBot="1">
      <c r="A3635" s="7"/>
      <c r="B3635" s="7" t="s">
        <v>26</v>
      </c>
      <c r="C3635" s="7" t="s">
        <v>1375</v>
      </c>
      <c r="D3635" t="str">
        <f t="shared" si="65"/>
        <v>ESP</v>
      </c>
    </row>
    <row r="3636" spans="1:4" ht="20.399999999999999" thickTop="1" thickBot="1">
      <c r="A3636" s="7"/>
      <c r="B3636" s="7" t="s">
        <v>28</v>
      </c>
      <c r="C3636" s="7" t="s">
        <v>1376</v>
      </c>
      <c r="D3636" t="str">
        <f t="shared" si="65"/>
        <v>ESP</v>
      </c>
    </row>
    <row r="3637" spans="1:4" ht="20.399999999999999" thickTop="1" thickBot="1">
      <c r="A3637" s="7"/>
      <c r="B3637" s="7" t="s">
        <v>30</v>
      </c>
      <c r="C3637" s="7" t="s">
        <v>1377</v>
      </c>
      <c r="D3637" t="str">
        <f t="shared" si="65"/>
        <v>ESP</v>
      </c>
    </row>
    <row r="3638" spans="1:4" ht="20.399999999999999" thickTop="1" thickBot="1">
      <c r="A3638" s="7"/>
      <c r="B3638" s="7" t="s">
        <v>32</v>
      </c>
      <c r="C3638" s="7" t="s">
        <v>33</v>
      </c>
      <c r="D3638" t="str">
        <f t="shared" si="65"/>
        <v>ESP</v>
      </c>
    </row>
    <row r="3639" spans="1:4" ht="20.399999999999999" thickTop="1" thickBot="1">
      <c r="A3639" s="7"/>
      <c r="B3639" s="7" t="s">
        <v>1</v>
      </c>
      <c r="C3639" s="7" t="s">
        <v>35</v>
      </c>
      <c r="D3639" t="str">
        <f t="shared" si="65"/>
        <v>ESP</v>
      </c>
    </row>
    <row r="3640" spans="1:4" ht="30" thickTop="1" thickBot="1">
      <c r="A3640" s="7"/>
      <c r="B3640" s="7" t="s">
        <v>3</v>
      </c>
      <c r="C3640" s="7" t="s">
        <v>59</v>
      </c>
      <c r="D3640" t="str">
        <f t="shared" si="65"/>
        <v>ESP</v>
      </c>
    </row>
    <row r="3641" spans="1:4" ht="20.399999999999999" thickTop="1" thickBot="1">
      <c r="A3641" s="7"/>
      <c r="B3641" s="7" t="s">
        <v>5</v>
      </c>
      <c r="C3641" s="7" t="s">
        <v>37</v>
      </c>
      <c r="D3641" t="str">
        <f t="shared" si="65"/>
        <v>ESP</v>
      </c>
    </row>
    <row r="3642" spans="1:4" ht="30" thickTop="1" thickBot="1">
      <c r="A3642" s="7"/>
      <c r="B3642" s="7" t="s">
        <v>7</v>
      </c>
      <c r="C3642" s="7" t="s">
        <v>60</v>
      </c>
      <c r="D3642" t="str">
        <f t="shared" si="65"/>
        <v>ESP</v>
      </c>
    </row>
    <row r="3643" spans="1:4" ht="49.2" thickTop="1" thickBot="1">
      <c r="A3643" s="7"/>
      <c r="B3643" s="7" t="s">
        <v>9</v>
      </c>
      <c r="C3643" s="7">
        <v>2017</v>
      </c>
      <c r="D3643" t="str">
        <f t="shared" si="65"/>
        <v>ESP</v>
      </c>
    </row>
    <row r="3644" spans="1:4" ht="39.6" thickTop="1" thickBot="1">
      <c r="A3644" s="7"/>
      <c r="B3644" s="7" t="s">
        <v>10</v>
      </c>
      <c r="C3644" s="7">
        <v>2018</v>
      </c>
      <c r="D3644" t="str">
        <f t="shared" si="65"/>
        <v>ESP</v>
      </c>
    </row>
    <row r="3645" spans="1:4" ht="15.6" thickTop="1" thickBot="1">
      <c r="A3645" s="7"/>
      <c r="B3645" s="7" t="s">
        <v>11</v>
      </c>
      <c r="C3645" s="7" t="s">
        <v>1378</v>
      </c>
      <c r="D3645" t="str">
        <f t="shared" si="65"/>
        <v>ESP</v>
      </c>
    </row>
    <row r="3646" spans="1:4" ht="15.6" thickTop="1" thickBot="1">
      <c r="A3646" s="7"/>
      <c r="B3646" s="7" t="s">
        <v>13</v>
      </c>
      <c r="C3646" s="7" t="s">
        <v>1379</v>
      </c>
      <c r="D3646" t="str">
        <f t="shared" si="65"/>
        <v>ESP</v>
      </c>
    </row>
    <row r="3647" spans="1:4" ht="15.6" thickTop="1" thickBot="1">
      <c r="A3647" s="7"/>
      <c r="B3647" s="7" t="s">
        <v>15</v>
      </c>
      <c r="C3647" s="7" t="s">
        <v>1380</v>
      </c>
      <c r="D3647" t="str">
        <f t="shared" si="65"/>
        <v>ESP</v>
      </c>
    </row>
    <row r="3648" spans="1:4" ht="15.6" thickTop="1" thickBot="1">
      <c r="A3648" s="7"/>
      <c r="B3648" s="7" t="s">
        <v>16</v>
      </c>
      <c r="C3648" s="7" t="s">
        <v>496</v>
      </c>
      <c r="D3648" t="str">
        <f t="shared" si="65"/>
        <v>ESP</v>
      </c>
    </row>
    <row r="3649" spans="1:4" ht="15.6" thickTop="1" thickBot="1">
      <c r="A3649" s="7"/>
      <c r="B3649" s="7" t="s">
        <v>17</v>
      </c>
      <c r="C3649" s="7" t="s">
        <v>1380</v>
      </c>
      <c r="D3649" t="str">
        <f t="shared" si="65"/>
        <v>ESP</v>
      </c>
    </row>
    <row r="3650" spans="1:4" ht="15.6" thickTop="1" thickBot="1">
      <c r="A3650" s="7"/>
      <c r="B3650" s="7" t="s">
        <v>18</v>
      </c>
      <c r="C3650" s="7" t="s">
        <v>1378</v>
      </c>
      <c r="D3650" t="str">
        <f t="shared" ref="D3650:D3713" si="66">IF(ISNUMBER(FIND(":", A3650)), LEFT(A3650, FIND(":", A3650) - 1), D3649)</f>
        <v>ESP</v>
      </c>
    </row>
    <row r="3651" spans="1:4" ht="15.6" thickTop="1" thickBot="1">
      <c r="A3651" s="7"/>
      <c r="B3651" s="7" t="s">
        <v>19</v>
      </c>
      <c r="C3651" s="7" t="s">
        <v>1381</v>
      </c>
      <c r="D3651" t="str">
        <f t="shared" si="66"/>
        <v>ESP</v>
      </c>
    </row>
    <row r="3652" spans="1:4" ht="15.6" thickTop="1" thickBot="1">
      <c r="A3652" s="7"/>
      <c r="B3652" s="7" t="s">
        <v>21</v>
      </c>
      <c r="C3652" s="7" t="s">
        <v>1382</v>
      </c>
      <c r="D3652" t="str">
        <f t="shared" si="66"/>
        <v>ESP</v>
      </c>
    </row>
    <row r="3653" spans="1:4" ht="15.6" thickTop="1" thickBot="1">
      <c r="A3653" s="7"/>
      <c r="B3653" s="7" t="s">
        <v>22</v>
      </c>
      <c r="C3653" s="7" t="s">
        <v>1379</v>
      </c>
      <c r="D3653" t="str">
        <f t="shared" si="66"/>
        <v>ESP</v>
      </c>
    </row>
    <row r="3654" spans="1:4" ht="15.6" thickTop="1" thickBot="1">
      <c r="A3654" s="7"/>
      <c r="B3654" s="7" t="s">
        <v>23</v>
      </c>
      <c r="C3654" s="7" t="s">
        <v>1380</v>
      </c>
      <c r="D3654" t="str">
        <f t="shared" si="66"/>
        <v>ESP</v>
      </c>
    </row>
    <row r="3655" spans="1:4" ht="15.6" thickTop="1" thickBot="1">
      <c r="A3655" s="7"/>
      <c r="B3655" s="7" t="s">
        <v>24</v>
      </c>
      <c r="C3655" s="7">
        <v>4280</v>
      </c>
      <c r="D3655" t="str">
        <f t="shared" si="66"/>
        <v>ESP</v>
      </c>
    </row>
    <row r="3656" spans="1:4" ht="20.399999999999999" thickTop="1" thickBot="1">
      <c r="A3656" s="9" t="s">
        <v>1383</v>
      </c>
      <c r="B3656" s="10"/>
      <c r="C3656" s="11"/>
      <c r="D3656" t="str">
        <f t="shared" si="66"/>
        <v>LKA</v>
      </c>
    </row>
    <row r="3657" spans="1:4" ht="30" thickTop="1" thickBot="1">
      <c r="A3657" s="7"/>
      <c r="B3657" s="7" t="s">
        <v>25</v>
      </c>
      <c r="C3657" s="8">
        <v>62710</v>
      </c>
      <c r="D3657" t="str">
        <f t="shared" si="66"/>
        <v>LKA</v>
      </c>
    </row>
    <row r="3658" spans="1:4" ht="20.399999999999999" thickTop="1" thickBot="1">
      <c r="A3658" s="7"/>
      <c r="B3658" s="7" t="s">
        <v>26</v>
      </c>
      <c r="C3658" s="7" t="s">
        <v>1384</v>
      </c>
      <c r="D3658" t="str">
        <f t="shared" si="66"/>
        <v>LKA</v>
      </c>
    </row>
    <row r="3659" spans="1:4" ht="20.399999999999999" thickTop="1" thickBot="1">
      <c r="A3659" s="7"/>
      <c r="B3659" s="7" t="s">
        <v>28</v>
      </c>
      <c r="C3659" s="7" t="s">
        <v>1385</v>
      </c>
      <c r="D3659" t="str">
        <f t="shared" si="66"/>
        <v>LKA</v>
      </c>
    </row>
    <row r="3660" spans="1:4" ht="20.399999999999999" thickTop="1" thickBot="1">
      <c r="A3660" s="7"/>
      <c r="B3660" s="7" t="s">
        <v>30</v>
      </c>
      <c r="C3660" s="7" t="s">
        <v>1385</v>
      </c>
      <c r="D3660" t="str">
        <f t="shared" si="66"/>
        <v>LKA</v>
      </c>
    </row>
    <row r="3661" spans="1:4" ht="20.399999999999999" thickTop="1" thickBot="1">
      <c r="A3661" s="7"/>
      <c r="B3661" s="7" t="s">
        <v>32</v>
      </c>
      <c r="C3661" s="7" t="s">
        <v>33</v>
      </c>
      <c r="D3661" t="str">
        <f t="shared" si="66"/>
        <v>LKA</v>
      </c>
    </row>
    <row r="3662" spans="1:4" ht="20.399999999999999" thickTop="1" thickBot="1">
      <c r="A3662" s="7"/>
      <c r="B3662" s="7" t="s">
        <v>1</v>
      </c>
      <c r="C3662" s="7" t="s">
        <v>152</v>
      </c>
      <c r="D3662" t="str">
        <f t="shared" si="66"/>
        <v>LKA</v>
      </c>
    </row>
    <row r="3663" spans="1:4" ht="30" thickTop="1" thickBot="1">
      <c r="A3663" s="7"/>
      <c r="B3663" s="7" t="s">
        <v>3</v>
      </c>
      <c r="C3663" s="7" t="s">
        <v>69</v>
      </c>
      <c r="D3663" t="str">
        <f t="shared" si="66"/>
        <v>LKA</v>
      </c>
    </row>
    <row r="3664" spans="1:4" ht="20.399999999999999" thickTop="1" thickBot="1">
      <c r="A3664" s="7"/>
      <c r="B3664" s="7" t="s">
        <v>5</v>
      </c>
      <c r="C3664" s="7" t="s">
        <v>153</v>
      </c>
      <c r="D3664" t="str">
        <f t="shared" si="66"/>
        <v>LKA</v>
      </c>
    </row>
    <row r="3665" spans="1:4" ht="30" thickTop="1" thickBot="1">
      <c r="A3665" s="7"/>
      <c r="B3665" s="7" t="s">
        <v>7</v>
      </c>
      <c r="C3665" s="7" t="s">
        <v>70</v>
      </c>
      <c r="D3665" t="str">
        <f t="shared" si="66"/>
        <v>LKA</v>
      </c>
    </row>
    <row r="3666" spans="1:4" ht="49.2" thickTop="1" thickBot="1">
      <c r="A3666" s="7"/>
      <c r="B3666" s="7" t="s">
        <v>9</v>
      </c>
      <c r="C3666" s="7">
        <v>2017</v>
      </c>
      <c r="D3666" t="str">
        <f t="shared" si="66"/>
        <v>LKA</v>
      </c>
    </row>
    <row r="3667" spans="1:4" ht="39.6" thickTop="1" thickBot="1">
      <c r="A3667" s="7"/>
      <c r="B3667" s="7" t="s">
        <v>10</v>
      </c>
      <c r="C3667" s="7">
        <v>2018</v>
      </c>
      <c r="D3667" t="str">
        <f t="shared" si="66"/>
        <v>LKA</v>
      </c>
    </row>
    <row r="3668" spans="1:4" ht="15.6" thickTop="1" thickBot="1">
      <c r="A3668" s="7"/>
      <c r="B3668" s="7" t="s">
        <v>11</v>
      </c>
      <c r="C3668" s="7" t="s">
        <v>333</v>
      </c>
      <c r="D3668" t="str">
        <f t="shared" si="66"/>
        <v>LKA</v>
      </c>
    </row>
    <row r="3669" spans="1:4" ht="15.6" thickTop="1" thickBot="1">
      <c r="A3669" s="7"/>
      <c r="B3669" s="7" t="s">
        <v>13</v>
      </c>
      <c r="C3669" s="7" t="s">
        <v>313</v>
      </c>
      <c r="D3669" t="str">
        <f t="shared" si="66"/>
        <v>LKA</v>
      </c>
    </row>
    <row r="3670" spans="1:4" ht="15.6" thickTop="1" thickBot="1">
      <c r="A3670" s="7"/>
      <c r="B3670" s="7" t="s">
        <v>23</v>
      </c>
      <c r="C3670" s="7" t="s">
        <v>1386</v>
      </c>
      <c r="D3670" t="str">
        <f t="shared" si="66"/>
        <v>LKA</v>
      </c>
    </row>
    <row r="3671" spans="1:4" ht="15.6" thickTop="1" thickBot="1">
      <c r="A3671" s="7"/>
      <c r="B3671" s="7" t="s">
        <v>24</v>
      </c>
      <c r="C3671" s="7">
        <v>3365</v>
      </c>
      <c r="D3671" t="str">
        <f t="shared" si="66"/>
        <v>LKA</v>
      </c>
    </row>
    <row r="3672" spans="1:4" ht="15.6" thickTop="1" thickBot="1">
      <c r="A3672" s="7"/>
      <c r="B3672" s="7" t="s">
        <v>21</v>
      </c>
      <c r="C3672" s="7" t="s">
        <v>1316</v>
      </c>
      <c r="D3672" t="str">
        <f t="shared" si="66"/>
        <v>LKA</v>
      </c>
    </row>
    <row r="3673" spans="1:4" ht="15.6" thickTop="1" thickBot="1">
      <c r="A3673" s="7"/>
      <c r="B3673" s="7" t="s">
        <v>22</v>
      </c>
      <c r="C3673" s="7" t="s">
        <v>1352</v>
      </c>
      <c r="D3673" t="str">
        <f t="shared" si="66"/>
        <v>LKA</v>
      </c>
    </row>
    <row r="3674" spans="1:4" ht="15.6" thickTop="1" thickBot="1">
      <c r="A3674" s="7"/>
      <c r="B3674" s="7" t="s">
        <v>18</v>
      </c>
      <c r="C3674" s="7" t="s">
        <v>1387</v>
      </c>
      <c r="D3674" t="str">
        <f t="shared" si="66"/>
        <v>LKA</v>
      </c>
    </row>
    <row r="3675" spans="1:4" ht="15.6" thickTop="1" thickBot="1">
      <c r="A3675" s="7"/>
      <c r="B3675" s="7" t="s">
        <v>19</v>
      </c>
      <c r="C3675" s="7" t="s">
        <v>1388</v>
      </c>
      <c r="D3675" t="str">
        <f t="shared" si="66"/>
        <v>LKA</v>
      </c>
    </row>
    <row r="3676" spans="1:4" ht="15.6" thickTop="1" thickBot="1">
      <c r="A3676" s="7"/>
      <c r="B3676" s="7" t="s">
        <v>17</v>
      </c>
      <c r="C3676" s="7" t="s">
        <v>1386</v>
      </c>
      <c r="D3676" t="str">
        <f t="shared" si="66"/>
        <v>LKA</v>
      </c>
    </row>
    <row r="3677" spans="1:4" ht="15.6" thickTop="1" thickBot="1">
      <c r="A3677" s="7"/>
      <c r="B3677" s="7" t="s">
        <v>15</v>
      </c>
      <c r="C3677" s="7" t="s">
        <v>1389</v>
      </c>
      <c r="D3677" t="str">
        <f t="shared" si="66"/>
        <v>LKA</v>
      </c>
    </row>
    <row r="3678" spans="1:4" ht="15.6" thickTop="1" thickBot="1">
      <c r="A3678" s="7"/>
      <c r="B3678" s="7" t="s">
        <v>16</v>
      </c>
      <c r="C3678" s="7" t="s">
        <v>1390</v>
      </c>
      <c r="D3678" t="str">
        <f t="shared" si="66"/>
        <v>LKA</v>
      </c>
    </row>
    <row r="3679" spans="1:4" ht="15.6" thickTop="1" thickBot="1">
      <c r="A3679" s="9" t="s">
        <v>1391</v>
      </c>
      <c r="B3679" s="10"/>
      <c r="C3679" s="11"/>
      <c r="D3679" t="str">
        <f t="shared" si="66"/>
        <v>SDN</v>
      </c>
    </row>
    <row r="3680" spans="1:4" ht="30" thickTop="1" thickBot="1">
      <c r="A3680" s="7"/>
      <c r="B3680" s="7" t="s">
        <v>25</v>
      </c>
      <c r="C3680" s="8">
        <v>2376000</v>
      </c>
      <c r="D3680" t="str">
        <f t="shared" si="66"/>
        <v>SDN</v>
      </c>
    </row>
    <row r="3681" spans="1:4" ht="39.6" thickTop="1" thickBot="1">
      <c r="A3681" s="7"/>
      <c r="B3681" s="7" t="s">
        <v>26</v>
      </c>
      <c r="C3681" s="7" t="s">
        <v>1392</v>
      </c>
      <c r="D3681" t="str">
        <f t="shared" si="66"/>
        <v>SDN</v>
      </c>
    </row>
    <row r="3682" spans="1:4" ht="20.399999999999999" thickTop="1" thickBot="1">
      <c r="A3682" s="7"/>
      <c r="B3682" s="7" t="s">
        <v>28</v>
      </c>
      <c r="C3682" s="7" t="s">
        <v>1393</v>
      </c>
      <c r="D3682" t="str">
        <f t="shared" si="66"/>
        <v>SDN</v>
      </c>
    </row>
    <row r="3683" spans="1:4" ht="20.399999999999999" thickTop="1" thickBot="1">
      <c r="A3683" s="7"/>
      <c r="B3683" s="7" t="s">
        <v>30</v>
      </c>
      <c r="C3683" s="7" t="s">
        <v>1394</v>
      </c>
      <c r="D3683" t="str">
        <f t="shared" si="66"/>
        <v>SDN</v>
      </c>
    </row>
    <row r="3684" spans="1:4" ht="20.399999999999999" thickTop="1" thickBot="1">
      <c r="A3684" s="7"/>
      <c r="B3684" s="7" t="s">
        <v>32</v>
      </c>
      <c r="C3684" s="7" t="s">
        <v>33</v>
      </c>
      <c r="D3684" t="str">
        <f t="shared" si="66"/>
        <v>SDN</v>
      </c>
    </row>
    <row r="3685" spans="1:4" ht="30" thickTop="1" thickBot="1">
      <c r="A3685" s="7"/>
      <c r="B3685" s="7" t="s">
        <v>1</v>
      </c>
      <c r="C3685" s="7" t="s">
        <v>2</v>
      </c>
      <c r="D3685" t="str">
        <f t="shared" si="66"/>
        <v>SDN</v>
      </c>
    </row>
    <row r="3686" spans="1:4" ht="30" thickTop="1" thickBot="1">
      <c r="A3686" s="7"/>
      <c r="B3686" s="7" t="s">
        <v>3</v>
      </c>
      <c r="C3686" s="7" t="s">
        <v>69</v>
      </c>
      <c r="D3686" t="str">
        <f t="shared" si="66"/>
        <v>SDN</v>
      </c>
    </row>
    <row r="3687" spans="1:4" ht="20.399999999999999" thickTop="1" thickBot="1">
      <c r="A3687" s="7"/>
      <c r="B3687" s="7" t="s">
        <v>5</v>
      </c>
      <c r="C3687" s="7" t="s">
        <v>6</v>
      </c>
      <c r="D3687" t="str">
        <f t="shared" si="66"/>
        <v>SDN</v>
      </c>
    </row>
    <row r="3688" spans="1:4" ht="30" thickTop="1" thickBot="1">
      <c r="A3688" s="7"/>
      <c r="B3688" s="7" t="s">
        <v>7</v>
      </c>
      <c r="C3688" s="7" t="s">
        <v>70</v>
      </c>
      <c r="D3688" t="str">
        <f t="shared" si="66"/>
        <v>SDN</v>
      </c>
    </row>
    <row r="3689" spans="1:4" ht="49.2" thickTop="1" thickBot="1">
      <c r="A3689" s="7"/>
      <c r="B3689" s="7" t="s">
        <v>9</v>
      </c>
      <c r="C3689" s="7">
        <v>2017</v>
      </c>
      <c r="D3689" t="str">
        <f t="shared" si="66"/>
        <v>SDN</v>
      </c>
    </row>
    <row r="3690" spans="1:4" ht="39.6" thickTop="1" thickBot="1">
      <c r="A3690" s="7"/>
      <c r="B3690" s="7" t="s">
        <v>10</v>
      </c>
      <c r="C3690" s="7">
        <v>2018</v>
      </c>
      <c r="D3690" t="str">
        <f t="shared" si="66"/>
        <v>SDN</v>
      </c>
    </row>
    <row r="3691" spans="1:4" ht="15.6" thickTop="1" thickBot="1">
      <c r="A3691" s="7"/>
      <c r="B3691" s="7" t="s">
        <v>11</v>
      </c>
      <c r="C3691" s="7" t="s">
        <v>1395</v>
      </c>
      <c r="D3691" t="str">
        <f t="shared" si="66"/>
        <v>SDN</v>
      </c>
    </row>
    <row r="3692" spans="1:4" ht="15.6" thickTop="1" thickBot="1">
      <c r="A3692" s="7"/>
      <c r="B3692" s="7" t="s">
        <v>13</v>
      </c>
      <c r="C3692" s="7" t="s">
        <v>1396</v>
      </c>
      <c r="D3692" t="str">
        <f t="shared" si="66"/>
        <v>SDN</v>
      </c>
    </row>
    <row r="3693" spans="1:4" ht="15.6" thickTop="1" thickBot="1">
      <c r="A3693" s="7"/>
      <c r="B3693" s="7" t="s">
        <v>15</v>
      </c>
      <c r="C3693" s="7" t="s">
        <v>1395</v>
      </c>
      <c r="D3693" t="str">
        <f t="shared" si="66"/>
        <v>SDN</v>
      </c>
    </row>
    <row r="3694" spans="1:4" ht="15.6" thickTop="1" thickBot="1">
      <c r="A3694" s="7"/>
      <c r="B3694" s="7" t="s">
        <v>22</v>
      </c>
      <c r="C3694" s="7" t="s">
        <v>1396</v>
      </c>
      <c r="D3694" t="str">
        <f t="shared" si="66"/>
        <v>SDN</v>
      </c>
    </row>
    <row r="3695" spans="1:4" ht="15.6" thickTop="1" thickBot="1">
      <c r="A3695" s="7"/>
      <c r="B3695" s="7" t="s">
        <v>23</v>
      </c>
      <c r="C3695" s="7" t="s">
        <v>1397</v>
      </c>
      <c r="D3695" t="str">
        <f t="shared" si="66"/>
        <v>SDN</v>
      </c>
    </row>
    <row r="3696" spans="1:4" ht="15.6" thickTop="1" thickBot="1">
      <c r="A3696" s="7"/>
      <c r="B3696" s="7" t="s">
        <v>24</v>
      </c>
      <c r="C3696" s="7">
        <v>1470</v>
      </c>
      <c r="D3696" t="str">
        <f t="shared" si="66"/>
        <v>SDN</v>
      </c>
    </row>
    <row r="3697" spans="1:4" ht="15.6" thickTop="1" thickBot="1">
      <c r="A3697" s="7"/>
      <c r="B3697" s="7" t="s">
        <v>18</v>
      </c>
      <c r="C3697" s="7" t="s">
        <v>1397</v>
      </c>
      <c r="D3697" t="str">
        <f t="shared" si="66"/>
        <v>SDN</v>
      </c>
    </row>
    <row r="3698" spans="1:4" ht="15.6" thickTop="1" thickBot="1">
      <c r="A3698" s="7"/>
      <c r="B3698" s="7" t="s">
        <v>19</v>
      </c>
      <c r="C3698" s="7" t="s">
        <v>1398</v>
      </c>
      <c r="D3698" t="str">
        <f t="shared" si="66"/>
        <v>SDN</v>
      </c>
    </row>
    <row r="3699" spans="1:4" ht="15.6" thickTop="1" thickBot="1">
      <c r="A3699" s="7"/>
      <c r="B3699" s="7" t="s">
        <v>21</v>
      </c>
      <c r="C3699" s="7" t="s">
        <v>1395</v>
      </c>
      <c r="D3699" t="str">
        <f t="shared" si="66"/>
        <v>SDN</v>
      </c>
    </row>
    <row r="3700" spans="1:4" ht="15.6" thickTop="1" thickBot="1">
      <c r="A3700" s="7"/>
      <c r="B3700" s="7" t="s">
        <v>16</v>
      </c>
      <c r="C3700" s="7" t="s">
        <v>1282</v>
      </c>
      <c r="D3700" t="str">
        <f t="shared" si="66"/>
        <v>SDN</v>
      </c>
    </row>
    <row r="3701" spans="1:4" ht="15.6" thickTop="1" thickBot="1">
      <c r="A3701" s="7"/>
      <c r="B3701" s="7" t="s">
        <v>17</v>
      </c>
      <c r="C3701" s="7" t="s">
        <v>1397</v>
      </c>
      <c r="D3701" t="str">
        <f t="shared" si="66"/>
        <v>SDN</v>
      </c>
    </row>
    <row r="3702" spans="1:4" ht="20.399999999999999" thickTop="1" thickBot="1">
      <c r="A3702" s="9" t="s">
        <v>1399</v>
      </c>
      <c r="B3702" s="10"/>
      <c r="C3702" s="11"/>
      <c r="D3702" t="str">
        <f t="shared" si="66"/>
        <v>SUR</v>
      </c>
    </row>
    <row r="3703" spans="1:4" ht="30" thickTop="1" thickBot="1">
      <c r="A3703" s="7"/>
      <c r="B3703" s="7" t="s">
        <v>25</v>
      </c>
      <c r="C3703" s="8">
        <v>156000</v>
      </c>
      <c r="D3703" t="str">
        <f t="shared" si="66"/>
        <v>SUR</v>
      </c>
    </row>
    <row r="3704" spans="1:4" ht="68.400000000000006" thickTop="1" thickBot="1">
      <c r="A3704" s="7"/>
      <c r="B3704" s="7" t="s">
        <v>26</v>
      </c>
      <c r="C3704" s="7" t="s">
        <v>1400</v>
      </c>
      <c r="D3704" t="str">
        <f t="shared" si="66"/>
        <v>SUR</v>
      </c>
    </row>
    <row r="3705" spans="1:4" ht="20.399999999999999" thickTop="1" thickBot="1">
      <c r="A3705" s="7"/>
      <c r="B3705" s="7" t="s">
        <v>28</v>
      </c>
      <c r="C3705" s="7" t="s">
        <v>1401</v>
      </c>
      <c r="D3705" t="str">
        <f t="shared" si="66"/>
        <v>SUR</v>
      </c>
    </row>
    <row r="3706" spans="1:4" ht="20.399999999999999" thickTop="1" thickBot="1">
      <c r="A3706" s="7"/>
      <c r="B3706" s="7" t="s">
        <v>30</v>
      </c>
      <c r="C3706" s="7" t="s">
        <v>1401</v>
      </c>
      <c r="D3706" t="str">
        <f t="shared" si="66"/>
        <v>SUR</v>
      </c>
    </row>
    <row r="3707" spans="1:4" ht="20.399999999999999" thickTop="1" thickBot="1">
      <c r="A3707" s="7"/>
      <c r="B3707" s="7" t="s">
        <v>32</v>
      </c>
      <c r="C3707" s="7" t="s">
        <v>33</v>
      </c>
      <c r="D3707" t="str">
        <f t="shared" si="66"/>
        <v>SUR</v>
      </c>
    </row>
    <row r="3708" spans="1:4" ht="20.399999999999999" thickTop="1" thickBot="1">
      <c r="A3708" s="7"/>
      <c r="B3708" s="7" t="s">
        <v>1</v>
      </c>
      <c r="C3708" s="7" t="s">
        <v>79</v>
      </c>
      <c r="D3708" t="str">
        <f t="shared" si="66"/>
        <v>SUR</v>
      </c>
    </row>
    <row r="3709" spans="1:4" ht="30" thickTop="1" thickBot="1">
      <c r="A3709" s="7"/>
      <c r="B3709" s="7" t="s">
        <v>3</v>
      </c>
      <c r="C3709" s="7" t="s">
        <v>36</v>
      </c>
      <c r="D3709" t="str">
        <f t="shared" si="66"/>
        <v>SUR</v>
      </c>
    </row>
    <row r="3710" spans="1:4" ht="20.399999999999999" thickTop="1" thickBot="1">
      <c r="A3710" s="7"/>
      <c r="B3710" s="7" t="s">
        <v>5</v>
      </c>
      <c r="C3710" s="7" t="s">
        <v>80</v>
      </c>
      <c r="D3710" t="str">
        <f t="shared" si="66"/>
        <v>SUR</v>
      </c>
    </row>
    <row r="3711" spans="1:4" ht="30" thickTop="1" thickBot="1">
      <c r="A3711" s="7"/>
      <c r="B3711" s="7" t="s">
        <v>7</v>
      </c>
      <c r="C3711" s="7" t="s">
        <v>38</v>
      </c>
      <c r="D3711" t="str">
        <f t="shared" si="66"/>
        <v>SUR</v>
      </c>
    </row>
    <row r="3712" spans="1:4" ht="49.2" thickTop="1" thickBot="1">
      <c r="A3712" s="7"/>
      <c r="B3712" s="7" t="s">
        <v>9</v>
      </c>
      <c r="C3712" s="7">
        <v>2017</v>
      </c>
      <c r="D3712" t="str">
        <f t="shared" si="66"/>
        <v>SUR</v>
      </c>
    </row>
    <row r="3713" spans="1:4" ht="39.6" thickTop="1" thickBot="1">
      <c r="A3713" s="7"/>
      <c r="B3713" s="7" t="s">
        <v>10</v>
      </c>
      <c r="C3713" s="7">
        <v>2018</v>
      </c>
      <c r="D3713" t="str">
        <f t="shared" si="66"/>
        <v>SUR</v>
      </c>
    </row>
    <row r="3714" spans="1:4" ht="15.6" thickTop="1" thickBot="1">
      <c r="A3714" s="7"/>
      <c r="B3714" s="7" t="s">
        <v>11</v>
      </c>
      <c r="C3714" s="7" t="s">
        <v>1402</v>
      </c>
      <c r="D3714" t="str">
        <f t="shared" ref="D3714:D3777" si="67">IF(ISNUMBER(FIND(":", A3714)), LEFT(A3714, FIND(":", A3714) - 1), D3713)</f>
        <v>SUR</v>
      </c>
    </row>
    <row r="3715" spans="1:4" ht="15.6" thickTop="1" thickBot="1">
      <c r="A3715" s="7"/>
      <c r="B3715" s="7" t="s">
        <v>13</v>
      </c>
      <c r="C3715" s="7" t="s">
        <v>1403</v>
      </c>
      <c r="D3715" t="str">
        <f t="shared" si="67"/>
        <v>SUR</v>
      </c>
    </row>
    <row r="3716" spans="1:4" ht="15.6" thickTop="1" thickBot="1">
      <c r="A3716" s="7"/>
      <c r="B3716" s="7" t="s">
        <v>15</v>
      </c>
      <c r="C3716" s="7" t="s">
        <v>1404</v>
      </c>
      <c r="D3716" t="str">
        <f t="shared" si="67"/>
        <v>SUR</v>
      </c>
    </row>
    <row r="3717" spans="1:4" ht="15.6" thickTop="1" thickBot="1">
      <c r="A3717" s="7"/>
      <c r="B3717" s="7" t="s">
        <v>16</v>
      </c>
      <c r="C3717" s="7" t="s">
        <v>1325</v>
      </c>
      <c r="D3717" t="str">
        <f t="shared" si="67"/>
        <v>SUR</v>
      </c>
    </row>
    <row r="3718" spans="1:4" ht="15.6" thickTop="1" thickBot="1">
      <c r="A3718" s="7"/>
      <c r="B3718" s="7" t="s">
        <v>17</v>
      </c>
      <c r="C3718" s="7" t="s">
        <v>1404</v>
      </c>
      <c r="D3718" t="str">
        <f t="shared" si="67"/>
        <v>SUR</v>
      </c>
    </row>
    <row r="3719" spans="1:4" ht="15.6" thickTop="1" thickBot="1">
      <c r="A3719" s="7"/>
      <c r="B3719" s="7" t="s">
        <v>18</v>
      </c>
      <c r="C3719" s="7" t="s">
        <v>1404</v>
      </c>
      <c r="D3719" t="str">
        <f t="shared" si="67"/>
        <v>SUR</v>
      </c>
    </row>
    <row r="3720" spans="1:4" ht="15.6" thickTop="1" thickBot="1">
      <c r="A3720" s="7"/>
      <c r="B3720" s="7" t="s">
        <v>19</v>
      </c>
      <c r="C3720" s="7" t="s">
        <v>1405</v>
      </c>
      <c r="D3720" t="str">
        <f t="shared" si="67"/>
        <v>SUR</v>
      </c>
    </row>
    <row r="3721" spans="1:4" ht="15.6" thickTop="1" thickBot="1">
      <c r="A3721" s="7"/>
      <c r="B3721" s="7" t="s">
        <v>21</v>
      </c>
      <c r="C3721" s="7" t="s">
        <v>1404</v>
      </c>
      <c r="D3721" t="str">
        <f t="shared" si="67"/>
        <v>SUR</v>
      </c>
    </row>
    <row r="3722" spans="1:4" ht="15.6" thickTop="1" thickBot="1">
      <c r="A3722" s="7"/>
      <c r="B3722" s="7" t="s">
        <v>22</v>
      </c>
      <c r="C3722" s="7" t="s">
        <v>1264</v>
      </c>
      <c r="D3722" t="str">
        <f t="shared" si="67"/>
        <v>SUR</v>
      </c>
    </row>
    <row r="3723" spans="1:4" ht="15.6" thickTop="1" thickBot="1">
      <c r="A3723" s="7"/>
      <c r="B3723" s="7" t="s">
        <v>23</v>
      </c>
      <c r="C3723" s="7" t="s">
        <v>1404</v>
      </c>
      <c r="D3723" t="str">
        <f t="shared" si="67"/>
        <v>SUR</v>
      </c>
    </row>
    <row r="3724" spans="1:4" ht="15.6" thickTop="1" thickBot="1">
      <c r="A3724" s="7"/>
      <c r="B3724" s="7" t="s">
        <v>24</v>
      </c>
      <c r="C3724" s="7">
        <v>2430</v>
      </c>
      <c r="D3724" t="str">
        <f t="shared" si="67"/>
        <v>SUR</v>
      </c>
    </row>
    <row r="3725" spans="1:4" ht="20.399999999999999" thickTop="1" thickBot="1">
      <c r="A3725" s="9" t="s">
        <v>1406</v>
      </c>
      <c r="B3725" s="10"/>
      <c r="C3725" s="11"/>
      <c r="D3725" t="str">
        <f t="shared" si="67"/>
        <v>SWZ</v>
      </c>
    </row>
    <row r="3726" spans="1:4" ht="30" thickTop="1" thickBot="1">
      <c r="A3726" s="7"/>
      <c r="B3726" s="7" t="s">
        <v>25</v>
      </c>
      <c r="C3726" s="7">
        <v>17200</v>
      </c>
      <c r="D3726" t="str">
        <f t="shared" si="67"/>
        <v>SWZ</v>
      </c>
    </row>
    <row r="3727" spans="1:4" ht="20.399999999999999" thickTop="1" thickBot="1">
      <c r="A3727" s="7"/>
      <c r="B3727" s="7" t="s">
        <v>26</v>
      </c>
      <c r="C3727" s="7" t="s">
        <v>1407</v>
      </c>
      <c r="D3727" t="str">
        <f t="shared" si="67"/>
        <v>SWZ</v>
      </c>
    </row>
    <row r="3728" spans="1:4" ht="20.399999999999999" thickTop="1" thickBot="1">
      <c r="A3728" s="7"/>
      <c r="B3728" s="7" t="s">
        <v>28</v>
      </c>
      <c r="C3728" s="7" t="s">
        <v>1408</v>
      </c>
      <c r="D3728" t="str">
        <f t="shared" si="67"/>
        <v>SWZ</v>
      </c>
    </row>
    <row r="3729" spans="1:4" ht="20.399999999999999" thickTop="1" thickBot="1">
      <c r="A3729" s="7"/>
      <c r="B3729" s="7" t="s">
        <v>30</v>
      </c>
      <c r="C3729" s="7" t="s">
        <v>1408</v>
      </c>
      <c r="D3729" t="str">
        <f t="shared" si="67"/>
        <v>SWZ</v>
      </c>
    </row>
    <row r="3730" spans="1:4" ht="20.399999999999999" thickTop="1" thickBot="1">
      <c r="A3730" s="7"/>
      <c r="B3730" s="7" t="s">
        <v>32</v>
      </c>
      <c r="C3730" s="7" t="s">
        <v>33</v>
      </c>
      <c r="D3730" t="str">
        <f t="shared" si="67"/>
        <v>SWZ</v>
      </c>
    </row>
    <row r="3731" spans="1:4" ht="20.399999999999999" thickTop="1" thickBot="1">
      <c r="A3731" s="7"/>
      <c r="B3731" s="7" t="s">
        <v>1</v>
      </c>
      <c r="C3731" s="7" t="s">
        <v>50</v>
      </c>
      <c r="D3731" t="str">
        <f t="shared" si="67"/>
        <v>SWZ</v>
      </c>
    </row>
    <row r="3732" spans="1:4" ht="30" thickTop="1" thickBot="1">
      <c r="A3732" s="7"/>
      <c r="B3732" s="7" t="s">
        <v>3</v>
      </c>
      <c r="C3732" s="7" t="s">
        <v>69</v>
      </c>
      <c r="D3732" t="str">
        <f t="shared" si="67"/>
        <v>SWZ</v>
      </c>
    </row>
    <row r="3733" spans="1:4" ht="20.399999999999999" thickTop="1" thickBot="1">
      <c r="A3733" s="7"/>
      <c r="B3733" s="7" t="s">
        <v>5</v>
      </c>
      <c r="C3733" s="7" t="s">
        <v>51</v>
      </c>
      <c r="D3733" t="str">
        <f t="shared" si="67"/>
        <v>SWZ</v>
      </c>
    </row>
    <row r="3734" spans="1:4" ht="30" thickTop="1" thickBot="1">
      <c r="A3734" s="7"/>
      <c r="B3734" s="7" t="s">
        <v>7</v>
      </c>
      <c r="C3734" s="7" t="s">
        <v>70</v>
      </c>
      <c r="D3734" t="str">
        <f t="shared" si="67"/>
        <v>SWZ</v>
      </c>
    </row>
    <row r="3735" spans="1:4" ht="49.2" thickTop="1" thickBot="1">
      <c r="A3735" s="7"/>
      <c r="B3735" s="7" t="s">
        <v>9</v>
      </c>
      <c r="C3735" s="7">
        <v>2017</v>
      </c>
      <c r="D3735" t="str">
        <f t="shared" si="67"/>
        <v>SWZ</v>
      </c>
    </row>
    <row r="3736" spans="1:4" ht="39.6" thickTop="1" thickBot="1">
      <c r="A3736" s="7"/>
      <c r="B3736" s="7" t="s">
        <v>10</v>
      </c>
      <c r="C3736" s="7">
        <v>2018</v>
      </c>
      <c r="D3736" t="str">
        <f t="shared" si="67"/>
        <v>SWZ</v>
      </c>
    </row>
    <row r="3737" spans="1:4" ht="15.6" thickTop="1" thickBot="1">
      <c r="A3737" s="7"/>
      <c r="B3737" s="7" t="s">
        <v>11</v>
      </c>
      <c r="C3737" s="7" t="s">
        <v>1282</v>
      </c>
      <c r="D3737" t="str">
        <f t="shared" si="67"/>
        <v>SWZ</v>
      </c>
    </row>
    <row r="3738" spans="1:4" ht="15.6" thickTop="1" thickBot="1">
      <c r="A3738" s="7"/>
      <c r="B3738" s="7" t="s">
        <v>13</v>
      </c>
      <c r="C3738" s="7" t="s">
        <v>1409</v>
      </c>
      <c r="D3738" t="str">
        <f t="shared" si="67"/>
        <v>SWZ</v>
      </c>
    </row>
    <row r="3739" spans="1:4" ht="15.6" thickTop="1" thickBot="1">
      <c r="A3739" s="7"/>
      <c r="B3739" s="7" t="s">
        <v>15</v>
      </c>
      <c r="C3739" s="7" t="s">
        <v>1410</v>
      </c>
      <c r="D3739" t="str">
        <f t="shared" si="67"/>
        <v>SWZ</v>
      </c>
    </row>
    <row r="3740" spans="1:4" ht="15.6" thickTop="1" thickBot="1">
      <c r="A3740" s="7"/>
      <c r="B3740" s="7" t="s">
        <v>16</v>
      </c>
      <c r="C3740" s="7" t="s">
        <v>1411</v>
      </c>
      <c r="D3740" t="str">
        <f t="shared" si="67"/>
        <v>SWZ</v>
      </c>
    </row>
    <row r="3741" spans="1:4" ht="15.6" thickTop="1" thickBot="1">
      <c r="A3741" s="7"/>
      <c r="B3741" s="7" t="s">
        <v>17</v>
      </c>
      <c r="C3741" s="7" t="s">
        <v>1410</v>
      </c>
      <c r="D3741" t="str">
        <f t="shared" si="67"/>
        <v>SWZ</v>
      </c>
    </row>
    <row r="3742" spans="1:4" ht="15.6" thickTop="1" thickBot="1">
      <c r="A3742" s="7"/>
      <c r="B3742" s="7" t="s">
        <v>18</v>
      </c>
      <c r="C3742" s="7" t="s">
        <v>1410</v>
      </c>
      <c r="D3742" t="str">
        <f t="shared" si="67"/>
        <v>SWZ</v>
      </c>
    </row>
    <row r="3743" spans="1:4" ht="15.6" thickTop="1" thickBot="1">
      <c r="A3743" s="7"/>
      <c r="B3743" s="7" t="s">
        <v>19</v>
      </c>
      <c r="C3743" s="7" t="s">
        <v>1412</v>
      </c>
      <c r="D3743" t="str">
        <f t="shared" si="67"/>
        <v>SWZ</v>
      </c>
    </row>
    <row r="3744" spans="1:4" ht="15.6" thickTop="1" thickBot="1">
      <c r="A3744" s="7"/>
      <c r="B3744" s="7" t="s">
        <v>21</v>
      </c>
      <c r="C3744" s="7" t="s">
        <v>1410</v>
      </c>
      <c r="D3744" t="str">
        <f t="shared" si="67"/>
        <v>SWZ</v>
      </c>
    </row>
    <row r="3745" spans="1:4" ht="15.6" thickTop="1" thickBot="1">
      <c r="A3745" s="7"/>
      <c r="B3745" s="7" t="s">
        <v>22</v>
      </c>
      <c r="C3745" s="7" t="s">
        <v>498</v>
      </c>
      <c r="D3745" t="str">
        <f t="shared" si="67"/>
        <v>SWZ</v>
      </c>
    </row>
    <row r="3746" spans="1:4" ht="15.6" thickTop="1" thickBot="1">
      <c r="A3746" s="7"/>
      <c r="B3746" s="7" t="s">
        <v>23</v>
      </c>
      <c r="C3746" s="7" t="s">
        <v>1410</v>
      </c>
      <c r="D3746" t="str">
        <f t="shared" si="67"/>
        <v>SWZ</v>
      </c>
    </row>
    <row r="3747" spans="1:4" ht="15.6" thickTop="1" thickBot="1">
      <c r="A3747" s="7"/>
      <c r="B3747" s="7" t="s">
        <v>24</v>
      </c>
      <c r="C3747" s="7">
        <v>1480</v>
      </c>
      <c r="D3747" t="str">
        <f t="shared" si="67"/>
        <v>SWZ</v>
      </c>
    </row>
    <row r="3748" spans="1:4" ht="20.399999999999999" thickTop="1" thickBot="1">
      <c r="A3748" s="9" t="s">
        <v>1413</v>
      </c>
      <c r="B3748" s="10"/>
      <c r="C3748" s="11"/>
      <c r="D3748" t="str">
        <f t="shared" si="67"/>
        <v>SWE</v>
      </c>
    </row>
    <row r="3749" spans="1:4" ht="30" thickTop="1" thickBot="1">
      <c r="A3749" s="7"/>
      <c r="B3749" s="7" t="s">
        <v>25</v>
      </c>
      <c r="C3749" s="8">
        <v>410340</v>
      </c>
      <c r="D3749" t="str">
        <f t="shared" si="67"/>
        <v>SWE</v>
      </c>
    </row>
    <row r="3750" spans="1:4" ht="20.399999999999999" thickTop="1" thickBot="1">
      <c r="A3750" s="7"/>
      <c r="B3750" s="7" t="s">
        <v>26</v>
      </c>
      <c r="C3750" s="7" t="s">
        <v>1414</v>
      </c>
      <c r="D3750" t="str">
        <f t="shared" si="67"/>
        <v>SWE</v>
      </c>
    </row>
    <row r="3751" spans="1:4" ht="20.399999999999999" thickTop="1" thickBot="1">
      <c r="A3751" s="7"/>
      <c r="B3751" s="7" t="s">
        <v>28</v>
      </c>
      <c r="C3751" s="7" t="s">
        <v>1415</v>
      </c>
      <c r="D3751" t="str">
        <f t="shared" si="67"/>
        <v>SWE</v>
      </c>
    </row>
    <row r="3752" spans="1:4" ht="20.399999999999999" thickTop="1" thickBot="1">
      <c r="A3752" s="7"/>
      <c r="B3752" s="7" t="s">
        <v>30</v>
      </c>
      <c r="C3752" s="7" t="s">
        <v>1416</v>
      </c>
      <c r="D3752" t="str">
        <f t="shared" si="67"/>
        <v>SWE</v>
      </c>
    </row>
    <row r="3753" spans="1:4" ht="20.399999999999999" thickTop="1" thickBot="1">
      <c r="A3753" s="7"/>
      <c r="B3753" s="7" t="s">
        <v>32</v>
      </c>
      <c r="C3753" s="7" t="s">
        <v>33</v>
      </c>
      <c r="D3753" t="str">
        <f t="shared" si="67"/>
        <v>SWE</v>
      </c>
    </row>
    <row r="3754" spans="1:4" ht="20.399999999999999" thickTop="1" thickBot="1">
      <c r="A3754" s="7"/>
      <c r="B3754" s="7" t="s">
        <v>1</v>
      </c>
      <c r="C3754" s="7" t="s">
        <v>35</v>
      </c>
      <c r="D3754" t="str">
        <f t="shared" si="67"/>
        <v>SWE</v>
      </c>
    </row>
    <row r="3755" spans="1:4" ht="30" thickTop="1" thickBot="1">
      <c r="A3755" s="7"/>
      <c r="B3755" s="7" t="s">
        <v>3</v>
      </c>
      <c r="C3755" s="7" t="s">
        <v>59</v>
      </c>
      <c r="D3755" t="str">
        <f t="shared" si="67"/>
        <v>SWE</v>
      </c>
    </row>
    <row r="3756" spans="1:4" ht="20.399999999999999" thickTop="1" thickBot="1">
      <c r="A3756" s="7"/>
      <c r="B3756" s="7" t="s">
        <v>5</v>
      </c>
      <c r="C3756" s="7" t="s">
        <v>37</v>
      </c>
      <c r="D3756" t="str">
        <f t="shared" si="67"/>
        <v>SWE</v>
      </c>
    </row>
    <row r="3757" spans="1:4" ht="30" thickTop="1" thickBot="1">
      <c r="A3757" s="7"/>
      <c r="B3757" s="7" t="s">
        <v>7</v>
      </c>
      <c r="C3757" s="7" t="s">
        <v>60</v>
      </c>
      <c r="D3757" t="str">
        <f t="shared" si="67"/>
        <v>SWE</v>
      </c>
    </row>
    <row r="3758" spans="1:4" ht="15.6" thickTop="1" thickBot="1">
      <c r="A3758" s="7"/>
      <c r="B3758" s="7" t="s">
        <v>11</v>
      </c>
      <c r="C3758" s="7" t="s">
        <v>1417</v>
      </c>
      <c r="D3758" t="str">
        <f t="shared" si="67"/>
        <v>SWE</v>
      </c>
    </row>
    <row r="3759" spans="1:4" ht="15.6" thickTop="1" thickBot="1">
      <c r="A3759" s="7"/>
      <c r="B3759" s="7" t="s">
        <v>13</v>
      </c>
      <c r="C3759" s="7" t="s">
        <v>1418</v>
      </c>
      <c r="D3759" t="str">
        <f t="shared" si="67"/>
        <v>SWE</v>
      </c>
    </row>
    <row r="3760" spans="1:4" ht="15.6" thickTop="1" thickBot="1">
      <c r="A3760" s="7"/>
      <c r="B3760" s="7" t="s">
        <v>23</v>
      </c>
      <c r="C3760" s="7" t="s">
        <v>1419</v>
      </c>
      <c r="D3760" t="str">
        <f t="shared" si="67"/>
        <v>SWE</v>
      </c>
    </row>
    <row r="3761" spans="1:4" ht="15.6" thickTop="1" thickBot="1">
      <c r="A3761" s="7"/>
      <c r="B3761" s="7" t="s">
        <v>24</v>
      </c>
      <c r="C3761" s="7">
        <v>4290</v>
      </c>
      <c r="D3761" t="str">
        <f t="shared" si="67"/>
        <v>SWE</v>
      </c>
    </row>
    <row r="3762" spans="1:4" ht="15.6" thickTop="1" thickBot="1">
      <c r="A3762" s="7"/>
      <c r="B3762" s="7" t="s">
        <v>21</v>
      </c>
      <c r="C3762" s="7" t="s">
        <v>1419</v>
      </c>
      <c r="D3762" t="str">
        <f t="shared" si="67"/>
        <v>SWE</v>
      </c>
    </row>
    <row r="3763" spans="1:4" ht="15.6" thickTop="1" thickBot="1">
      <c r="A3763" s="7"/>
      <c r="B3763" s="7" t="s">
        <v>22</v>
      </c>
      <c r="C3763" s="7" t="s">
        <v>1287</v>
      </c>
      <c r="D3763" t="str">
        <f t="shared" si="67"/>
        <v>SWE</v>
      </c>
    </row>
    <row r="3764" spans="1:4" ht="15.6" thickTop="1" thickBot="1">
      <c r="A3764" s="7"/>
      <c r="B3764" s="7" t="s">
        <v>18</v>
      </c>
      <c r="C3764" s="7" t="s">
        <v>1417</v>
      </c>
      <c r="D3764" t="str">
        <f t="shared" si="67"/>
        <v>SWE</v>
      </c>
    </row>
    <row r="3765" spans="1:4" ht="15.6" thickTop="1" thickBot="1">
      <c r="A3765" s="7"/>
      <c r="B3765" s="7" t="s">
        <v>19</v>
      </c>
      <c r="C3765" s="7" t="s">
        <v>1420</v>
      </c>
      <c r="D3765" t="str">
        <f t="shared" si="67"/>
        <v>SWE</v>
      </c>
    </row>
    <row r="3766" spans="1:4" ht="15.6" thickTop="1" thickBot="1">
      <c r="A3766" s="7"/>
      <c r="B3766" s="7" t="s">
        <v>17</v>
      </c>
      <c r="C3766" s="7" t="s">
        <v>1419</v>
      </c>
      <c r="D3766" t="str">
        <f t="shared" si="67"/>
        <v>SWE</v>
      </c>
    </row>
    <row r="3767" spans="1:4" ht="15.6" thickTop="1" thickBot="1">
      <c r="A3767" s="7"/>
      <c r="B3767" s="7" t="s">
        <v>15</v>
      </c>
      <c r="C3767" s="7" t="s">
        <v>1419</v>
      </c>
      <c r="D3767" t="str">
        <f t="shared" si="67"/>
        <v>SWE</v>
      </c>
    </row>
    <row r="3768" spans="1:4" ht="15.6" thickTop="1" thickBot="1">
      <c r="A3768" s="7"/>
      <c r="B3768" s="7" t="s">
        <v>16</v>
      </c>
      <c r="C3768" s="7" t="s">
        <v>1305</v>
      </c>
      <c r="D3768" t="str">
        <f t="shared" si="67"/>
        <v>SWE</v>
      </c>
    </row>
    <row r="3769" spans="1:4" ht="49.2" thickTop="1" thickBot="1">
      <c r="A3769" s="7"/>
      <c r="B3769" s="7" t="s">
        <v>9</v>
      </c>
      <c r="C3769" s="7">
        <v>2017</v>
      </c>
      <c r="D3769" t="str">
        <f t="shared" si="67"/>
        <v>SWE</v>
      </c>
    </row>
    <row r="3770" spans="1:4" ht="39.6" thickTop="1" thickBot="1">
      <c r="A3770" s="7"/>
      <c r="B3770" s="7" t="s">
        <v>10</v>
      </c>
      <c r="C3770" s="7">
        <v>2018</v>
      </c>
      <c r="D3770" t="str">
        <f t="shared" si="67"/>
        <v>SWE</v>
      </c>
    </row>
    <row r="3771" spans="1:4" ht="20.399999999999999" thickTop="1" thickBot="1">
      <c r="A3771" s="9" t="s">
        <v>1421</v>
      </c>
      <c r="B3771" s="10"/>
      <c r="C3771" s="11"/>
      <c r="D3771" t="str">
        <f t="shared" si="67"/>
        <v>CHE</v>
      </c>
    </row>
    <row r="3772" spans="1:4" ht="30" thickTop="1" thickBot="1">
      <c r="A3772" s="7"/>
      <c r="B3772" s="7" t="s">
        <v>25</v>
      </c>
      <c r="C3772" s="8">
        <v>40000</v>
      </c>
      <c r="D3772" t="str">
        <f t="shared" si="67"/>
        <v>CHE</v>
      </c>
    </row>
    <row r="3773" spans="1:4" ht="49.2" thickTop="1" thickBot="1">
      <c r="A3773" s="7"/>
      <c r="B3773" s="7" t="s">
        <v>26</v>
      </c>
      <c r="C3773" s="7" t="s">
        <v>1422</v>
      </c>
      <c r="D3773" t="str">
        <f t="shared" si="67"/>
        <v>CHE</v>
      </c>
    </row>
    <row r="3774" spans="1:4" ht="20.399999999999999" thickTop="1" thickBot="1">
      <c r="A3774" s="7"/>
      <c r="B3774" s="7" t="s">
        <v>1</v>
      </c>
      <c r="C3774" s="7" t="s">
        <v>35</v>
      </c>
      <c r="D3774" t="str">
        <f t="shared" si="67"/>
        <v>CHE</v>
      </c>
    </row>
    <row r="3775" spans="1:4" ht="30" thickTop="1" thickBot="1">
      <c r="A3775" s="7"/>
      <c r="B3775" s="7" t="s">
        <v>3</v>
      </c>
      <c r="C3775" s="7" t="s">
        <v>59</v>
      </c>
      <c r="D3775" t="str">
        <f t="shared" si="67"/>
        <v>CHE</v>
      </c>
    </row>
    <row r="3776" spans="1:4" ht="20.399999999999999" thickTop="1" thickBot="1">
      <c r="A3776" s="7"/>
      <c r="B3776" s="7" t="s">
        <v>5</v>
      </c>
      <c r="C3776" s="7" t="s">
        <v>37</v>
      </c>
      <c r="D3776" t="str">
        <f t="shared" si="67"/>
        <v>CHE</v>
      </c>
    </row>
    <row r="3777" spans="1:4" ht="30" thickTop="1" thickBot="1">
      <c r="A3777" s="7"/>
      <c r="B3777" s="7" t="s">
        <v>7</v>
      </c>
      <c r="C3777" s="7" t="s">
        <v>60</v>
      </c>
      <c r="D3777" t="str">
        <f t="shared" si="67"/>
        <v>CHE</v>
      </c>
    </row>
    <row r="3778" spans="1:4" ht="15.6" thickTop="1" thickBot="1">
      <c r="A3778" s="7"/>
      <c r="B3778" s="7" t="s">
        <v>11</v>
      </c>
      <c r="C3778" s="7" t="s">
        <v>330</v>
      </c>
      <c r="D3778" t="str">
        <f t="shared" ref="D3778:D3841" si="68">IF(ISNUMBER(FIND(":", A3778)), LEFT(A3778, FIND(":", A3778) - 1), D3777)</f>
        <v>CHE</v>
      </c>
    </row>
    <row r="3779" spans="1:4" ht="15.6" thickTop="1" thickBot="1">
      <c r="A3779" s="7"/>
      <c r="B3779" s="7" t="s">
        <v>24</v>
      </c>
      <c r="C3779" s="7">
        <v>4300</v>
      </c>
      <c r="D3779" t="str">
        <f t="shared" si="68"/>
        <v>CHE</v>
      </c>
    </row>
    <row r="3780" spans="1:4" ht="15.6" thickTop="1" thickBot="1">
      <c r="A3780" s="7"/>
      <c r="B3780" s="7" t="s">
        <v>23</v>
      </c>
      <c r="C3780" s="7" t="s">
        <v>1423</v>
      </c>
      <c r="D3780" t="str">
        <f t="shared" si="68"/>
        <v>CHE</v>
      </c>
    </row>
    <row r="3781" spans="1:4" ht="15.6" thickTop="1" thickBot="1">
      <c r="A3781" s="7"/>
      <c r="B3781" s="7" t="s">
        <v>21</v>
      </c>
      <c r="C3781" s="7" t="s">
        <v>1424</v>
      </c>
      <c r="D3781" t="str">
        <f t="shared" si="68"/>
        <v>CHE</v>
      </c>
    </row>
    <row r="3782" spans="1:4" ht="15.6" thickTop="1" thickBot="1">
      <c r="A3782" s="7"/>
      <c r="B3782" s="7" t="s">
        <v>22</v>
      </c>
      <c r="C3782" s="7" t="s">
        <v>1418</v>
      </c>
      <c r="D3782" t="str">
        <f t="shared" si="68"/>
        <v>CHE</v>
      </c>
    </row>
    <row r="3783" spans="1:4" ht="15.6" thickTop="1" thickBot="1">
      <c r="A3783" s="7"/>
      <c r="B3783" s="7" t="s">
        <v>19</v>
      </c>
      <c r="C3783" s="7" t="s">
        <v>1425</v>
      </c>
      <c r="D3783" t="str">
        <f t="shared" si="68"/>
        <v>CHE</v>
      </c>
    </row>
    <row r="3784" spans="1:4" ht="15.6" thickTop="1" thickBot="1">
      <c r="A3784" s="7"/>
      <c r="B3784" s="7" t="s">
        <v>18</v>
      </c>
      <c r="C3784" s="7" t="s">
        <v>1426</v>
      </c>
      <c r="D3784" t="str">
        <f t="shared" si="68"/>
        <v>CHE</v>
      </c>
    </row>
    <row r="3785" spans="1:4" ht="15.6" thickTop="1" thickBot="1">
      <c r="A3785" s="7"/>
      <c r="B3785" s="7" t="s">
        <v>17</v>
      </c>
      <c r="C3785" s="7" t="s">
        <v>1423</v>
      </c>
      <c r="D3785" t="str">
        <f t="shared" si="68"/>
        <v>CHE</v>
      </c>
    </row>
    <row r="3786" spans="1:4" ht="15.6" thickTop="1" thickBot="1">
      <c r="A3786" s="7"/>
      <c r="B3786" s="7" t="s">
        <v>15</v>
      </c>
      <c r="C3786" s="7" t="s">
        <v>1426</v>
      </c>
      <c r="D3786" t="str">
        <f t="shared" si="68"/>
        <v>CHE</v>
      </c>
    </row>
    <row r="3787" spans="1:4" ht="15.6" thickTop="1" thickBot="1">
      <c r="A3787" s="7"/>
      <c r="B3787" s="7" t="s">
        <v>16</v>
      </c>
      <c r="C3787" s="7" t="s">
        <v>330</v>
      </c>
      <c r="D3787" t="str">
        <f t="shared" si="68"/>
        <v>CHE</v>
      </c>
    </row>
    <row r="3788" spans="1:4" ht="15.6" thickTop="1" thickBot="1">
      <c r="A3788" s="7"/>
      <c r="B3788" s="7" t="s">
        <v>13</v>
      </c>
      <c r="C3788" s="7" t="s">
        <v>1411</v>
      </c>
      <c r="D3788" t="str">
        <f t="shared" si="68"/>
        <v>CHE</v>
      </c>
    </row>
    <row r="3789" spans="1:4" ht="20.399999999999999" thickTop="1" thickBot="1">
      <c r="A3789" s="7"/>
      <c r="B3789" s="7" t="s">
        <v>28</v>
      </c>
      <c r="C3789" s="7" t="s">
        <v>1427</v>
      </c>
      <c r="D3789" t="str">
        <f t="shared" si="68"/>
        <v>CHE</v>
      </c>
    </row>
    <row r="3790" spans="1:4" ht="20.399999999999999" thickTop="1" thickBot="1">
      <c r="A3790" s="7"/>
      <c r="B3790" s="7" t="s">
        <v>30</v>
      </c>
      <c r="C3790" s="7" t="s">
        <v>1428</v>
      </c>
      <c r="D3790" t="str">
        <f t="shared" si="68"/>
        <v>CHE</v>
      </c>
    </row>
    <row r="3791" spans="1:4" ht="20.399999999999999" thickTop="1" thickBot="1">
      <c r="A3791" s="7"/>
      <c r="B3791" s="7" t="s">
        <v>32</v>
      </c>
      <c r="C3791" s="7" t="s">
        <v>33</v>
      </c>
      <c r="D3791" t="str">
        <f t="shared" si="68"/>
        <v>CHE</v>
      </c>
    </row>
    <row r="3792" spans="1:4" ht="49.2" thickTop="1" thickBot="1">
      <c r="A3792" s="7"/>
      <c r="B3792" s="7" t="s">
        <v>9</v>
      </c>
      <c r="C3792" s="7">
        <v>2017</v>
      </c>
      <c r="D3792" t="str">
        <f t="shared" si="68"/>
        <v>CHE</v>
      </c>
    </row>
    <row r="3793" spans="1:4" ht="39.6" thickTop="1" thickBot="1">
      <c r="A3793" s="7"/>
      <c r="B3793" s="7" t="s">
        <v>10</v>
      </c>
      <c r="C3793" s="7">
        <v>2018</v>
      </c>
      <c r="D3793" t="str">
        <f t="shared" si="68"/>
        <v>CHE</v>
      </c>
    </row>
    <row r="3794" spans="1:4" ht="30" thickTop="1" thickBot="1">
      <c r="A3794" s="9" t="s">
        <v>1429</v>
      </c>
      <c r="B3794" s="10"/>
      <c r="C3794" s="11"/>
      <c r="D3794" t="str">
        <f t="shared" si="68"/>
        <v>SYR</v>
      </c>
    </row>
    <row r="3795" spans="1:4" ht="30" thickTop="1" thickBot="1">
      <c r="A3795" s="7"/>
      <c r="B3795" s="7" t="s">
        <v>25</v>
      </c>
      <c r="C3795" s="8">
        <v>183640</v>
      </c>
      <c r="D3795" t="str">
        <f t="shared" si="68"/>
        <v>SYR</v>
      </c>
    </row>
    <row r="3796" spans="1:4" ht="58.8" thickTop="1" thickBot="1">
      <c r="A3796" s="7"/>
      <c r="B3796" s="7" t="s">
        <v>26</v>
      </c>
      <c r="C3796" s="7" t="s">
        <v>1430</v>
      </c>
      <c r="D3796" t="str">
        <f t="shared" si="68"/>
        <v>SYR</v>
      </c>
    </row>
    <row r="3797" spans="1:4" ht="20.399999999999999" thickTop="1" thickBot="1">
      <c r="A3797" s="7"/>
      <c r="B3797" s="7" t="s">
        <v>28</v>
      </c>
      <c r="C3797" s="7" t="s">
        <v>1431</v>
      </c>
      <c r="D3797" t="str">
        <f t="shared" si="68"/>
        <v>SYR</v>
      </c>
    </row>
    <row r="3798" spans="1:4" ht="30" thickTop="1" thickBot="1">
      <c r="A3798" s="7"/>
      <c r="B3798" s="7" t="s">
        <v>30</v>
      </c>
      <c r="C3798" s="7" t="s">
        <v>1432</v>
      </c>
      <c r="D3798" t="str">
        <f t="shared" si="68"/>
        <v>SYR</v>
      </c>
    </row>
    <row r="3799" spans="1:4" ht="20.399999999999999" thickTop="1" thickBot="1">
      <c r="A3799" s="7"/>
      <c r="B3799" s="7" t="s">
        <v>32</v>
      </c>
      <c r="C3799" s="7" t="s">
        <v>33</v>
      </c>
      <c r="D3799" t="str">
        <f t="shared" si="68"/>
        <v>SYR</v>
      </c>
    </row>
    <row r="3800" spans="1:4" ht="30" thickTop="1" thickBot="1">
      <c r="A3800" s="7"/>
      <c r="B3800" s="7" t="s">
        <v>1</v>
      </c>
      <c r="C3800" s="7" t="s">
        <v>2</v>
      </c>
      <c r="D3800" t="str">
        <f t="shared" si="68"/>
        <v>SYR</v>
      </c>
    </row>
    <row r="3801" spans="1:4" ht="30" thickTop="1" thickBot="1">
      <c r="A3801" s="7"/>
      <c r="B3801" s="7" t="s">
        <v>3</v>
      </c>
      <c r="C3801" s="7" t="s">
        <v>4</v>
      </c>
      <c r="D3801" t="str">
        <f t="shared" si="68"/>
        <v>SYR</v>
      </c>
    </row>
    <row r="3802" spans="1:4" ht="20.399999999999999" thickTop="1" thickBot="1">
      <c r="A3802" s="7"/>
      <c r="B3802" s="7" t="s">
        <v>5</v>
      </c>
      <c r="C3802" s="7" t="s">
        <v>6</v>
      </c>
      <c r="D3802" t="str">
        <f t="shared" si="68"/>
        <v>SYR</v>
      </c>
    </row>
    <row r="3803" spans="1:4" ht="30" thickTop="1" thickBot="1">
      <c r="A3803" s="7"/>
      <c r="B3803" s="7" t="s">
        <v>7</v>
      </c>
      <c r="C3803" s="7" t="s">
        <v>8</v>
      </c>
      <c r="D3803" t="str">
        <f t="shared" si="68"/>
        <v>SYR</v>
      </c>
    </row>
    <row r="3804" spans="1:4" ht="15.6" thickTop="1" thickBot="1">
      <c r="A3804" s="7"/>
      <c r="B3804" s="7" t="s">
        <v>11</v>
      </c>
      <c r="C3804" s="7" t="s">
        <v>1433</v>
      </c>
      <c r="D3804" t="str">
        <f t="shared" si="68"/>
        <v>SYR</v>
      </c>
    </row>
    <row r="3805" spans="1:4" ht="15.6" thickTop="1" thickBot="1">
      <c r="A3805" s="7"/>
      <c r="B3805" s="7" t="s">
        <v>13</v>
      </c>
      <c r="C3805" s="7" t="s">
        <v>1304</v>
      </c>
      <c r="D3805" t="str">
        <f t="shared" si="68"/>
        <v>SYR</v>
      </c>
    </row>
    <row r="3806" spans="1:4" ht="15.6" thickTop="1" thickBot="1">
      <c r="A3806" s="7"/>
      <c r="B3806" s="7" t="s">
        <v>15</v>
      </c>
      <c r="C3806" s="7" t="s">
        <v>1433</v>
      </c>
      <c r="D3806" t="str">
        <f t="shared" si="68"/>
        <v>SYR</v>
      </c>
    </row>
    <row r="3807" spans="1:4" ht="15.6" thickTop="1" thickBot="1">
      <c r="A3807" s="7"/>
      <c r="B3807" s="7" t="s">
        <v>16</v>
      </c>
      <c r="C3807" s="7" t="s">
        <v>1304</v>
      </c>
      <c r="D3807" t="str">
        <f t="shared" si="68"/>
        <v>SYR</v>
      </c>
    </row>
    <row r="3808" spans="1:4" ht="15.6" thickTop="1" thickBot="1">
      <c r="A3808" s="7"/>
      <c r="B3808" s="7" t="s">
        <v>17</v>
      </c>
      <c r="C3808" s="7" t="s">
        <v>1433</v>
      </c>
      <c r="D3808" t="str">
        <f t="shared" si="68"/>
        <v>SYR</v>
      </c>
    </row>
    <row r="3809" spans="1:4" ht="15.6" thickTop="1" thickBot="1">
      <c r="A3809" s="7"/>
      <c r="B3809" s="7" t="s">
        <v>18</v>
      </c>
      <c r="C3809" s="7" t="s">
        <v>1433</v>
      </c>
      <c r="D3809" t="str">
        <f t="shared" si="68"/>
        <v>SYR</v>
      </c>
    </row>
    <row r="3810" spans="1:4" ht="15.6" thickTop="1" thickBot="1">
      <c r="A3810" s="7"/>
      <c r="B3810" s="7" t="s">
        <v>19</v>
      </c>
      <c r="C3810" s="7" t="s">
        <v>1434</v>
      </c>
      <c r="D3810" t="str">
        <f t="shared" si="68"/>
        <v>SYR</v>
      </c>
    </row>
    <row r="3811" spans="1:4" ht="15.6" thickTop="1" thickBot="1">
      <c r="A3811" s="7"/>
      <c r="B3811" s="7" t="s">
        <v>21</v>
      </c>
      <c r="C3811" s="7" t="s">
        <v>1433</v>
      </c>
      <c r="D3811" t="str">
        <f t="shared" si="68"/>
        <v>SYR</v>
      </c>
    </row>
    <row r="3812" spans="1:4" ht="15.6" thickTop="1" thickBot="1">
      <c r="A3812" s="7"/>
      <c r="B3812" s="7" t="s">
        <v>22</v>
      </c>
      <c r="C3812" s="7" t="s">
        <v>1304</v>
      </c>
      <c r="D3812" t="str">
        <f t="shared" si="68"/>
        <v>SYR</v>
      </c>
    </row>
    <row r="3813" spans="1:4" ht="15.6" thickTop="1" thickBot="1">
      <c r="A3813" s="7"/>
      <c r="B3813" s="7" t="s">
        <v>23</v>
      </c>
      <c r="C3813" s="7" t="s">
        <v>1433</v>
      </c>
      <c r="D3813" t="str">
        <f t="shared" si="68"/>
        <v>SYR</v>
      </c>
    </row>
    <row r="3814" spans="1:4" ht="15.6" thickTop="1" thickBot="1">
      <c r="A3814" s="7"/>
      <c r="B3814" s="7" t="s">
        <v>24</v>
      </c>
      <c r="C3814" s="7">
        <v>3370</v>
      </c>
      <c r="D3814" t="str">
        <f t="shared" si="68"/>
        <v>SYR</v>
      </c>
    </row>
    <row r="3815" spans="1:4" ht="49.2" thickTop="1" thickBot="1">
      <c r="A3815" s="7"/>
      <c r="B3815" s="7" t="s">
        <v>9</v>
      </c>
      <c r="C3815" s="7">
        <v>2017</v>
      </c>
      <c r="D3815" t="str">
        <f t="shared" si="68"/>
        <v>SYR</v>
      </c>
    </row>
    <row r="3816" spans="1:4" ht="39.6" thickTop="1" thickBot="1">
      <c r="A3816" s="7"/>
      <c r="B3816" s="7" t="s">
        <v>10</v>
      </c>
      <c r="C3816" s="7">
        <v>2018</v>
      </c>
      <c r="D3816" t="str">
        <f t="shared" si="68"/>
        <v>SYR</v>
      </c>
    </row>
    <row r="3817" spans="1:4" ht="20.399999999999999" thickTop="1" thickBot="1">
      <c r="A3817" s="9" t="s">
        <v>1435</v>
      </c>
      <c r="B3817" s="10"/>
      <c r="C3817" s="11"/>
      <c r="D3817" t="str">
        <f t="shared" si="68"/>
        <v>TJK</v>
      </c>
    </row>
    <row r="3818" spans="1:4" ht="30" thickTop="1" thickBot="1">
      <c r="A3818" s="7"/>
      <c r="B3818" s="7" t="s">
        <v>25</v>
      </c>
      <c r="C3818" s="8">
        <v>139960</v>
      </c>
      <c r="D3818" t="str">
        <f t="shared" si="68"/>
        <v>TJK</v>
      </c>
    </row>
    <row r="3819" spans="1:4" ht="20.399999999999999" thickTop="1" thickBot="1">
      <c r="A3819" s="7"/>
      <c r="B3819" s="7" t="s">
        <v>26</v>
      </c>
      <c r="C3819" s="7" t="s">
        <v>1436</v>
      </c>
      <c r="D3819" t="str">
        <f t="shared" si="68"/>
        <v>TJK</v>
      </c>
    </row>
    <row r="3820" spans="1:4" ht="20.399999999999999" thickTop="1" thickBot="1">
      <c r="A3820" s="7"/>
      <c r="B3820" s="7" t="s">
        <v>28</v>
      </c>
      <c r="C3820" s="7" t="s">
        <v>1437</v>
      </c>
      <c r="D3820" t="str">
        <f t="shared" si="68"/>
        <v>TJK</v>
      </c>
    </row>
    <row r="3821" spans="1:4" ht="20.399999999999999" thickTop="1" thickBot="1">
      <c r="A3821" s="7"/>
      <c r="B3821" s="7" t="s">
        <v>30</v>
      </c>
      <c r="C3821" s="7" t="s">
        <v>1438</v>
      </c>
      <c r="D3821" t="str">
        <f t="shared" si="68"/>
        <v>TJK</v>
      </c>
    </row>
    <row r="3822" spans="1:4" ht="20.399999999999999" thickTop="1" thickBot="1">
      <c r="A3822" s="7"/>
      <c r="B3822" s="7" t="s">
        <v>32</v>
      </c>
      <c r="C3822" s="7" t="s">
        <v>33</v>
      </c>
      <c r="D3822" t="str">
        <f t="shared" si="68"/>
        <v>TJK</v>
      </c>
    </row>
    <row r="3823" spans="1:4" ht="20.399999999999999" thickTop="1" thickBot="1">
      <c r="A3823" s="7"/>
      <c r="B3823" s="7" t="s">
        <v>1</v>
      </c>
      <c r="C3823" s="7" t="s">
        <v>35</v>
      </c>
      <c r="D3823" t="str">
        <f t="shared" si="68"/>
        <v>TJK</v>
      </c>
    </row>
    <row r="3824" spans="1:4" ht="30" thickTop="1" thickBot="1">
      <c r="A3824" s="7"/>
      <c r="B3824" s="7" t="s">
        <v>3</v>
      </c>
      <c r="C3824" s="7" t="s">
        <v>4</v>
      </c>
      <c r="D3824" t="str">
        <f t="shared" si="68"/>
        <v>TJK</v>
      </c>
    </row>
    <row r="3825" spans="1:4" ht="20.399999999999999" thickTop="1" thickBot="1">
      <c r="A3825" s="7"/>
      <c r="B3825" s="7" t="s">
        <v>5</v>
      </c>
      <c r="C3825" s="7" t="s">
        <v>37</v>
      </c>
      <c r="D3825" t="str">
        <f t="shared" si="68"/>
        <v>TJK</v>
      </c>
    </row>
    <row r="3826" spans="1:4" ht="30" thickTop="1" thickBot="1">
      <c r="A3826" s="7"/>
      <c r="B3826" s="7" t="s">
        <v>7</v>
      </c>
      <c r="C3826" s="7" t="s">
        <v>8</v>
      </c>
      <c r="D3826" t="str">
        <f t="shared" si="68"/>
        <v>TJK</v>
      </c>
    </row>
    <row r="3827" spans="1:4" ht="15.6" thickTop="1" thickBot="1">
      <c r="A3827" s="7"/>
      <c r="B3827" s="7" t="s">
        <v>11</v>
      </c>
      <c r="C3827" s="7" t="s">
        <v>1439</v>
      </c>
      <c r="D3827" t="str">
        <f t="shared" si="68"/>
        <v>TJK</v>
      </c>
    </row>
    <row r="3828" spans="1:4" ht="15.6" thickTop="1" thickBot="1">
      <c r="A3828" s="7"/>
      <c r="B3828" s="7" t="s">
        <v>13</v>
      </c>
      <c r="C3828" s="7" t="s">
        <v>1440</v>
      </c>
      <c r="D3828" t="str">
        <f t="shared" si="68"/>
        <v>TJK</v>
      </c>
    </row>
    <row r="3829" spans="1:4" ht="15.6" thickTop="1" thickBot="1">
      <c r="A3829" s="7"/>
      <c r="B3829" s="7" t="s">
        <v>15</v>
      </c>
      <c r="C3829" s="7" t="s">
        <v>1441</v>
      </c>
      <c r="D3829" t="str">
        <f t="shared" si="68"/>
        <v>TJK</v>
      </c>
    </row>
    <row r="3830" spans="1:4" ht="15.6" thickTop="1" thickBot="1">
      <c r="A3830" s="7"/>
      <c r="B3830" s="7" t="s">
        <v>16</v>
      </c>
      <c r="C3830" s="7" t="s">
        <v>1439</v>
      </c>
      <c r="D3830" t="str">
        <f t="shared" si="68"/>
        <v>TJK</v>
      </c>
    </row>
    <row r="3831" spans="1:4" ht="15.6" thickTop="1" thickBot="1">
      <c r="A3831" s="7"/>
      <c r="B3831" s="7" t="s">
        <v>17</v>
      </c>
      <c r="C3831" s="7" t="s">
        <v>1441</v>
      </c>
      <c r="D3831" t="str">
        <f t="shared" si="68"/>
        <v>TJK</v>
      </c>
    </row>
    <row r="3832" spans="1:4" ht="15.6" thickTop="1" thickBot="1">
      <c r="A3832" s="7"/>
      <c r="B3832" s="7" t="s">
        <v>18</v>
      </c>
      <c r="C3832" s="7" t="s">
        <v>1441</v>
      </c>
      <c r="D3832" t="str">
        <f t="shared" si="68"/>
        <v>TJK</v>
      </c>
    </row>
    <row r="3833" spans="1:4" ht="15.6" thickTop="1" thickBot="1">
      <c r="A3833" s="7"/>
      <c r="B3833" s="7" t="s">
        <v>19</v>
      </c>
      <c r="C3833" s="7" t="s">
        <v>1442</v>
      </c>
      <c r="D3833" t="str">
        <f t="shared" si="68"/>
        <v>TJK</v>
      </c>
    </row>
    <row r="3834" spans="1:4" ht="15.6" thickTop="1" thickBot="1">
      <c r="A3834" s="7"/>
      <c r="B3834" s="7" t="s">
        <v>21</v>
      </c>
      <c r="C3834" s="7" t="s">
        <v>1441</v>
      </c>
      <c r="D3834" t="str">
        <f t="shared" si="68"/>
        <v>TJK</v>
      </c>
    </row>
    <row r="3835" spans="1:4" ht="15.6" thickTop="1" thickBot="1">
      <c r="A3835" s="7"/>
      <c r="B3835" s="7" t="s">
        <v>22</v>
      </c>
      <c r="C3835" s="7" t="s">
        <v>1443</v>
      </c>
      <c r="D3835" t="str">
        <f t="shared" si="68"/>
        <v>TJK</v>
      </c>
    </row>
    <row r="3836" spans="1:4" ht="15.6" thickTop="1" thickBot="1">
      <c r="A3836" s="7"/>
      <c r="B3836" s="7" t="s">
        <v>23</v>
      </c>
      <c r="C3836" s="7" t="s">
        <v>1441</v>
      </c>
      <c r="D3836" t="str">
        <f t="shared" si="68"/>
        <v>TJK</v>
      </c>
    </row>
    <row r="3837" spans="1:4" ht="15.6" thickTop="1" thickBot="1">
      <c r="A3837" s="7"/>
      <c r="B3837" s="7" t="s">
        <v>24</v>
      </c>
      <c r="C3837" s="7">
        <v>4301</v>
      </c>
      <c r="D3837" t="str">
        <f t="shared" si="68"/>
        <v>TJK</v>
      </c>
    </row>
    <row r="3838" spans="1:4" ht="49.2" thickTop="1" thickBot="1">
      <c r="A3838" s="7"/>
      <c r="B3838" s="7" t="s">
        <v>9</v>
      </c>
      <c r="C3838" s="7">
        <v>2017</v>
      </c>
      <c r="D3838" t="str">
        <f t="shared" si="68"/>
        <v>TJK</v>
      </c>
    </row>
    <row r="3839" spans="1:4" ht="39.6" thickTop="1" thickBot="1">
      <c r="A3839" s="7"/>
      <c r="B3839" s="7" t="s">
        <v>10</v>
      </c>
      <c r="C3839" s="7">
        <v>2018</v>
      </c>
      <c r="D3839" t="str">
        <f t="shared" si="68"/>
        <v>TJK</v>
      </c>
    </row>
    <row r="3840" spans="1:4" ht="20.399999999999999" thickTop="1" thickBot="1">
      <c r="A3840" s="9" t="s">
        <v>1444</v>
      </c>
      <c r="B3840" s="10"/>
      <c r="C3840" s="11"/>
      <c r="D3840" t="str">
        <f t="shared" si="68"/>
        <v>THA</v>
      </c>
    </row>
    <row r="3841" spans="1:4" ht="30" thickTop="1" thickBot="1">
      <c r="A3841" s="7"/>
      <c r="B3841" s="7" t="s">
        <v>25</v>
      </c>
      <c r="C3841" s="8">
        <v>510890</v>
      </c>
      <c r="D3841" t="str">
        <f t="shared" si="68"/>
        <v>THA</v>
      </c>
    </row>
    <row r="3842" spans="1:4" ht="20.399999999999999" thickTop="1" thickBot="1">
      <c r="A3842" s="7"/>
      <c r="B3842" s="7" t="s">
        <v>26</v>
      </c>
      <c r="C3842" s="7" t="s">
        <v>1445</v>
      </c>
      <c r="D3842" t="str">
        <f t="shared" ref="D3842:D3905" si="69">IF(ISNUMBER(FIND(":", A3842)), LEFT(A3842, FIND(":", A3842) - 1), D3841)</f>
        <v>THA</v>
      </c>
    </row>
    <row r="3843" spans="1:4" ht="20.399999999999999" thickTop="1" thickBot="1">
      <c r="A3843" s="7"/>
      <c r="B3843" s="7" t="s">
        <v>28</v>
      </c>
      <c r="C3843" s="7" t="s">
        <v>1446</v>
      </c>
      <c r="D3843" t="str">
        <f t="shared" si="69"/>
        <v>THA</v>
      </c>
    </row>
    <row r="3844" spans="1:4" ht="20.399999999999999" thickTop="1" thickBot="1">
      <c r="A3844" s="7"/>
      <c r="B3844" s="7" t="s">
        <v>30</v>
      </c>
      <c r="C3844" s="7" t="s">
        <v>1447</v>
      </c>
      <c r="D3844" t="str">
        <f t="shared" si="69"/>
        <v>THA</v>
      </c>
    </row>
    <row r="3845" spans="1:4" ht="20.399999999999999" thickTop="1" thickBot="1">
      <c r="A3845" s="7"/>
      <c r="B3845" s="7" t="s">
        <v>32</v>
      </c>
      <c r="C3845" s="7" t="s">
        <v>33</v>
      </c>
      <c r="D3845" t="str">
        <f t="shared" si="69"/>
        <v>THA</v>
      </c>
    </row>
    <row r="3846" spans="1:4" ht="20.399999999999999" thickTop="1" thickBot="1">
      <c r="A3846" s="7"/>
      <c r="B3846" s="7" t="s">
        <v>1</v>
      </c>
      <c r="C3846" s="7" t="s">
        <v>152</v>
      </c>
      <c r="D3846" t="str">
        <f t="shared" si="69"/>
        <v>THA</v>
      </c>
    </row>
    <row r="3847" spans="1:4" ht="30" thickTop="1" thickBot="1">
      <c r="A3847" s="7"/>
      <c r="B3847" s="7" t="s">
        <v>3</v>
      </c>
      <c r="C3847" s="7" t="s">
        <v>36</v>
      </c>
      <c r="D3847" t="str">
        <f t="shared" si="69"/>
        <v>THA</v>
      </c>
    </row>
    <row r="3848" spans="1:4" ht="20.399999999999999" thickTop="1" thickBot="1">
      <c r="A3848" s="7"/>
      <c r="B3848" s="7" t="s">
        <v>5</v>
      </c>
      <c r="C3848" s="7" t="s">
        <v>153</v>
      </c>
      <c r="D3848" t="str">
        <f t="shared" si="69"/>
        <v>THA</v>
      </c>
    </row>
    <row r="3849" spans="1:4" ht="30" thickTop="1" thickBot="1">
      <c r="A3849" s="7"/>
      <c r="B3849" s="7" t="s">
        <v>7</v>
      </c>
      <c r="C3849" s="7" t="s">
        <v>38</v>
      </c>
      <c r="D3849" t="str">
        <f t="shared" si="69"/>
        <v>THA</v>
      </c>
    </row>
    <row r="3850" spans="1:4" ht="15.6" thickTop="1" thickBot="1">
      <c r="A3850" s="7"/>
      <c r="B3850" s="7" t="s">
        <v>11</v>
      </c>
      <c r="C3850" s="7" t="s">
        <v>1448</v>
      </c>
      <c r="D3850" t="str">
        <f t="shared" si="69"/>
        <v>THA</v>
      </c>
    </row>
    <row r="3851" spans="1:4" ht="15.6" thickTop="1" thickBot="1">
      <c r="A3851" s="7"/>
      <c r="B3851" s="7" t="s">
        <v>13</v>
      </c>
      <c r="C3851" s="7" t="s">
        <v>1449</v>
      </c>
      <c r="D3851" t="str">
        <f t="shared" si="69"/>
        <v>THA</v>
      </c>
    </row>
    <row r="3852" spans="1:4" ht="15.6" thickTop="1" thickBot="1">
      <c r="A3852" s="7"/>
      <c r="B3852" s="7" t="s">
        <v>15</v>
      </c>
      <c r="C3852" s="7" t="s">
        <v>1450</v>
      </c>
      <c r="D3852" t="str">
        <f t="shared" si="69"/>
        <v>THA</v>
      </c>
    </row>
    <row r="3853" spans="1:4" ht="15.6" thickTop="1" thickBot="1">
      <c r="A3853" s="7"/>
      <c r="B3853" s="7" t="s">
        <v>22</v>
      </c>
      <c r="C3853" s="7" t="s">
        <v>1449</v>
      </c>
      <c r="D3853" t="str">
        <f t="shared" si="69"/>
        <v>THA</v>
      </c>
    </row>
    <row r="3854" spans="1:4" ht="15.6" thickTop="1" thickBot="1">
      <c r="A3854" s="7"/>
      <c r="B3854" s="7" t="s">
        <v>23</v>
      </c>
      <c r="C3854" s="7" t="s">
        <v>1450</v>
      </c>
      <c r="D3854" t="str">
        <f t="shared" si="69"/>
        <v>THA</v>
      </c>
    </row>
    <row r="3855" spans="1:4" ht="15.6" thickTop="1" thickBot="1">
      <c r="A3855" s="7"/>
      <c r="B3855" s="7" t="s">
        <v>24</v>
      </c>
      <c r="C3855" s="7">
        <v>3380</v>
      </c>
      <c r="D3855" t="str">
        <f t="shared" si="69"/>
        <v>THA</v>
      </c>
    </row>
    <row r="3856" spans="1:4" ht="15.6" thickTop="1" thickBot="1">
      <c r="A3856" s="7"/>
      <c r="B3856" s="7" t="s">
        <v>18</v>
      </c>
      <c r="C3856" s="7" t="s">
        <v>1450</v>
      </c>
      <c r="D3856" t="str">
        <f t="shared" si="69"/>
        <v>THA</v>
      </c>
    </row>
    <row r="3857" spans="1:4" ht="15.6" thickTop="1" thickBot="1">
      <c r="A3857" s="7"/>
      <c r="B3857" s="7" t="s">
        <v>19</v>
      </c>
      <c r="C3857" s="7" t="s">
        <v>1451</v>
      </c>
      <c r="D3857" t="str">
        <f t="shared" si="69"/>
        <v>THA</v>
      </c>
    </row>
    <row r="3858" spans="1:4" ht="15.6" thickTop="1" thickBot="1">
      <c r="A3858" s="7"/>
      <c r="B3858" s="7" t="s">
        <v>21</v>
      </c>
      <c r="C3858" s="7" t="s">
        <v>1450</v>
      </c>
      <c r="D3858" t="str">
        <f t="shared" si="69"/>
        <v>THA</v>
      </c>
    </row>
    <row r="3859" spans="1:4" ht="15.6" thickTop="1" thickBot="1">
      <c r="A3859" s="7"/>
      <c r="B3859" s="7" t="s">
        <v>16</v>
      </c>
      <c r="C3859" s="7" t="s">
        <v>1449</v>
      </c>
      <c r="D3859" t="str">
        <f t="shared" si="69"/>
        <v>THA</v>
      </c>
    </row>
    <row r="3860" spans="1:4" ht="15.6" thickTop="1" thickBot="1">
      <c r="A3860" s="7"/>
      <c r="B3860" s="7" t="s">
        <v>17</v>
      </c>
      <c r="C3860" s="7" t="s">
        <v>1450</v>
      </c>
      <c r="D3860" t="str">
        <f t="shared" si="69"/>
        <v>THA</v>
      </c>
    </row>
    <row r="3861" spans="1:4" ht="49.2" thickTop="1" thickBot="1">
      <c r="A3861" s="7"/>
      <c r="B3861" s="7" t="s">
        <v>9</v>
      </c>
      <c r="C3861" s="7">
        <v>2017</v>
      </c>
      <c r="D3861" t="str">
        <f t="shared" si="69"/>
        <v>THA</v>
      </c>
    </row>
    <row r="3862" spans="1:4" ht="39.6" thickTop="1" thickBot="1">
      <c r="A3862" s="7"/>
      <c r="B3862" s="7" t="s">
        <v>10</v>
      </c>
      <c r="C3862" s="7">
        <v>2018</v>
      </c>
      <c r="D3862" t="str">
        <f t="shared" si="69"/>
        <v>THA</v>
      </c>
    </row>
    <row r="3863" spans="1:4" ht="20.399999999999999" thickTop="1" thickBot="1">
      <c r="A3863" s="9" t="s">
        <v>1452</v>
      </c>
      <c r="B3863" s="10"/>
      <c r="C3863" s="11"/>
      <c r="D3863" t="str">
        <f t="shared" si="69"/>
        <v>MKD</v>
      </c>
    </row>
    <row r="3864" spans="1:4" ht="30" thickTop="1" thickBot="1">
      <c r="A3864" s="7"/>
      <c r="B3864" s="7" t="s">
        <v>25</v>
      </c>
      <c r="C3864" s="7">
        <v>25230</v>
      </c>
      <c r="D3864" t="str">
        <f t="shared" si="69"/>
        <v>MKD</v>
      </c>
    </row>
    <row r="3865" spans="1:4" ht="30" thickTop="1" thickBot="1">
      <c r="A3865" s="7"/>
      <c r="B3865" s="7" t="s">
        <v>26</v>
      </c>
      <c r="C3865" s="7" t="s">
        <v>1453</v>
      </c>
      <c r="D3865" t="str">
        <f t="shared" si="69"/>
        <v>MKD</v>
      </c>
    </row>
    <row r="3866" spans="1:4" ht="20.399999999999999" thickTop="1" thickBot="1">
      <c r="A3866" s="7"/>
      <c r="B3866" s="7" t="s">
        <v>28</v>
      </c>
      <c r="C3866" s="7" t="s">
        <v>1454</v>
      </c>
      <c r="D3866" t="str">
        <f t="shared" si="69"/>
        <v>MKD</v>
      </c>
    </row>
    <row r="3867" spans="1:4" ht="68.400000000000006" thickTop="1" thickBot="1">
      <c r="A3867" s="7"/>
      <c r="B3867" s="7" t="s">
        <v>30</v>
      </c>
      <c r="C3867" s="7" t="s">
        <v>1455</v>
      </c>
      <c r="D3867" t="str">
        <f t="shared" si="69"/>
        <v>MKD</v>
      </c>
    </row>
    <row r="3868" spans="1:4" ht="20.399999999999999" thickTop="1" thickBot="1">
      <c r="A3868" s="7"/>
      <c r="B3868" s="7" t="s">
        <v>32</v>
      </c>
      <c r="C3868" s="7" t="s">
        <v>33</v>
      </c>
      <c r="D3868" t="str">
        <f t="shared" si="69"/>
        <v>MKD</v>
      </c>
    </row>
    <row r="3869" spans="1:4" ht="20.399999999999999" thickTop="1" thickBot="1">
      <c r="A3869" s="7"/>
      <c r="B3869" s="7" t="s">
        <v>1</v>
      </c>
      <c r="C3869" s="7" t="s">
        <v>35</v>
      </c>
      <c r="D3869" t="str">
        <f t="shared" si="69"/>
        <v>MKD</v>
      </c>
    </row>
    <row r="3870" spans="1:4" ht="30" thickTop="1" thickBot="1">
      <c r="A3870" s="7"/>
      <c r="B3870" s="7" t="s">
        <v>3</v>
      </c>
      <c r="C3870" s="7" t="s">
        <v>36</v>
      </c>
      <c r="D3870" t="str">
        <f t="shared" si="69"/>
        <v>MKD</v>
      </c>
    </row>
    <row r="3871" spans="1:4" ht="20.399999999999999" thickTop="1" thickBot="1">
      <c r="A3871" s="7"/>
      <c r="B3871" s="7" t="s">
        <v>5</v>
      </c>
      <c r="C3871" s="7" t="s">
        <v>37</v>
      </c>
      <c r="D3871" t="str">
        <f t="shared" si="69"/>
        <v>MKD</v>
      </c>
    </row>
    <row r="3872" spans="1:4" ht="30" thickTop="1" thickBot="1">
      <c r="A3872" s="7"/>
      <c r="B3872" s="7" t="s">
        <v>7</v>
      </c>
      <c r="C3872" s="7" t="s">
        <v>38</v>
      </c>
      <c r="D3872" t="str">
        <f t="shared" si="69"/>
        <v>MKD</v>
      </c>
    </row>
    <row r="3873" spans="1:4" ht="15.6" thickTop="1" thickBot="1">
      <c r="A3873" s="7"/>
      <c r="B3873" s="7" t="s">
        <v>11</v>
      </c>
      <c r="C3873" s="7" t="s">
        <v>1456</v>
      </c>
      <c r="D3873" t="str">
        <f t="shared" si="69"/>
        <v>MKD</v>
      </c>
    </row>
    <row r="3874" spans="1:4" ht="15.6" thickTop="1" thickBot="1">
      <c r="A3874" s="7"/>
      <c r="B3874" s="7" t="s">
        <v>13</v>
      </c>
      <c r="C3874" s="7" t="s">
        <v>1456</v>
      </c>
      <c r="D3874" t="str">
        <f t="shared" si="69"/>
        <v>MKD</v>
      </c>
    </row>
    <row r="3875" spans="1:4" ht="15.6" thickTop="1" thickBot="1">
      <c r="A3875" s="7"/>
      <c r="B3875" s="7" t="s">
        <v>15</v>
      </c>
      <c r="C3875" s="7" t="s">
        <v>1457</v>
      </c>
      <c r="D3875" t="str">
        <f t="shared" si="69"/>
        <v>MKD</v>
      </c>
    </row>
    <row r="3876" spans="1:4" ht="15.6" thickTop="1" thickBot="1">
      <c r="A3876" s="7"/>
      <c r="B3876" s="7" t="s">
        <v>16</v>
      </c>
      <c r="C3876" s="7" t="s">
        <v>1456</v>
      </c>
      <c r="D3876" t="str">
        <f t="shared" si="69"/>
        <v>MKD</v>
      </c>
    </row>
    <row r="3877" spans="1:4" ht="15.6" thickTop="1" thickBot="1">
      <c r="A3877" s="7"/>
      <c r="B3877" s="7" t="s">
        <v>17</v>
      </c>
      <c r="C3877" s="7" t="s">
        <v>1457</v>
      </c>
      <c r="D3877" t="str">
        <f t="shared" si="69"/>
        <v>MKD</v>
      </c>
    </row>
    <row r="3878" spans="1:4" ht="15.6" thickTop="1" thickBot="1">
      <c r="A3878" s="7"/>
      <c r="B3878" s="7" t="s">
        <v>18</v>
      </c>
      <c r="C3878" s="7" t="s">
        <v>1457</v>
      </c>
      <c r="D3878" t="str">
        <f t="shared" si="69"/>
        <v>MKD</v>
      </c>
    </row>
    <row r="3879" spans="1:4" ht="15.6" thickTop="1" thickBot="1">
      <c r="A3879" s="7"/>
      <c r="B3879" s="7" t="s">
        <v>19</v>
      </c>
      <c r="C3879" s="7" t="s">
        <v>1458</v>
      </c>
      <c r="D3879" t="str">
        <f t="shared" si="69"/>
        <v>MKD</v>
      </c>
    </row>
    <row r="3880" spans="1:4" ht="15.6" thickTop="1" thickBot="1">
      <c r="A3880" s="7"/>
      <c r="B3880" s="7" t="s">
        <v>21</v>
      </c>
      <c r="C3880" s="7" t="s">
        <v>1457</v>
      </c>
      <c r="D3880" t="str">
        <f t="shared" si="69"/>
        <v>MKD</v>
      </c>
    </row>
    <row r="3881" spans="1:4" ht="15.6" thickTop="1" thickBot="1">
      <c r="A3881" s="7"/>
      <c r="B3881" s="7" t="s">
        <v>22</v>
      </c>
      <c r="C3881" s="7" t="s">
        <v>989</v>
      </c>
      <c r="D3881" t="str">
        <f t="shared" si="69"/>
        <v>MKD</v>
      </c>
    </row>
    <row r="3882" spans="1:4" ht="15.6" thickTop="1" thickBot="1">
      <c r="A3882" s="7"/>
      <c r="B3882" s="7" t="s">
        <v>23</v>
      </c>
      <c r="C3882" s="7" t="s">
        <v>1457</v>
      </c>
      <c r="D3882" t="str">
        <f t="shared" si="69"/>
        <v>MKD</v>
      </c>
    </row>
    <row r="3883" spans="1:4" ht="15.6" thickTop="1" thickBot="1">
      <c r="A3883" s="7"/>
      <c r="B3883" s="7" t="s">
        <v>24</v>
      </c>
      <c r="C3883" s="7">
        <v>4195</v>
      </c>
      <c r="D3883" t="str">
        <f t="shared" si="69"/>
        <v>MKD</v>
      </c>
    </row>
    <row r="3884" spans="1:4" ht="49.2" thickTop="1" thickBot="1">
      <c r="A3884" s="7"/>
      <c r="B3884" s="7" t="s">
        <v>9</v>
      </c>
      <c r="C3884" s="7">
        <v>2017</v>
      </c>
      <c r="D3884" t="str">
        <f t="shared" si="69"/>
        <v>MKD</v>
      </c>
    </row>
    <row r="3885" spans="1:4" ht="39.6" thickTop="1" thickBot="1">
      <c r="A3885" s="7"/>
      <c r="B3885" s="7" t="s">
        <v>10</v>
      </c>
      <c r="C3885" s="7">
        <v>2018</v>
      </c>
      <c r="D3885" t="str">
        <f t="shared" si="69"/>
        <v>MKD</v>
      </c>
    </row>
    <row r="3886" spans="1:4" ht="20.399999999999999" thickTop="1" thickBot="1">
      <c r="A3886" s="9" t="s">
        <v>1459</v>
      </c>
      <c r="B3886" s="10"/>
      <c r="C3886" s="11"/>
      <c r="D3886" t="str">
        <f t="shared" si="69"/>
        <v>TLS</v>
      </c>
    </row>
    <row r="3887" spans="1:4" ht="30" thickTop="1" thickBot="1">
      <c r="A3887" s="7"/>
      <c r="B3887" s="7" t="s">
        <v>25</v>
      </c>
      <c r="C3887" s="8">
        <v>14870</v>
      </c>
      <c r="D3887" t="str">
        <f t="shared" si="69"/>
        <v>TLS</v>
      </c>
    </row>
    <row r="3888" spans="1:4" ht="39.6" thickTop="1" thickBot="1">
      <c r="A3888" s="7"/>
      <c r="B3888" s="7" t="s">
        <v>26</v>
      </c>
      <c r="C3888" s="7" t="s">
        <v>1460</v>
      </c>
      <c r="D3888" t="str">
        <f t="shared" si="69"/>
        <v>TLS</v>
      </c>
    </row>
    <row r="3889" spans="1:4" ht="20.399999999999999" thickTop="1" thickBot="1">
      <c r="A3889" s="7"/>
      <c r="B3889" s="7" t="s">
        <v>28</v>
      </c>
      <c r="C3889" s="7" t="s">
        <v>1461</v>
      </c>
      <c r="D3889" t="str">
        <f t="shared" si="69"/>
        <v>TLS</v>
      </c>
    </row>
    <row r="3890" spans="1:4" ht="20.399999999999999" thickTop="1" thickBot="1">
      <c r="A3890" s="7"/>
      <c r="B3890" s="7" t="s">
        <v>30</v>
      </c>
      <c r="C3890" s="7" t="s">
        <v>1461</v>
      </c>
      <c r="D3890" t="str">
        <f t="shared" si="69"/>
        <v>TLS</v>
      </c>
    </row>
    <row r="3891" spans="1:4" ht="20.399999999999999" thickTop="1" thickBot="1">
      <c r="A3891" s="7"/>
      <c r="B3891" s="7" t="s">
        <v>32</v>
      </c>
      <c r="C3891" s="7" t="s">
        <v>33</v>
      </c>
      <c r="D3891" t="str">
        <f t="shared" si="69"/>
        <v>TLS</v>
      </c>
    </row>
    <row r="3892" spans="1:4" ht="20.399999999999999" thickTop="1" thickBot="1">
      <c r="A3892" s="7"/>
      <c r="B3892" s="7" t="s">
        <v>1</v>
      </c>
      <c r="C3892" s="7" t="s">
        <v>152</v>
      </c>
      <c r="D3892" t="str">
        <f t="shared" si="69"/>
        <v>TLS</v>
      </c>
    </row>
    <row r="3893" spans="1:4" ht="30" thickTop="1" thickBot="1">
      <c r="A3893" s="7"/>
      <c r="B3893" s="7" t="s">
        <v>3</v>
      </c>
      <c r="C3893" s="7" t="s">
        <v>69</v>
      </c>
      <c r="D3893" t="str">
        <f t="shared" si="69"/>
        <v>TLS</v>
      </c>
    </row>
    <row r="3894" spans="1:4" ht="20.399999999999999" thickTop="1" thickBot="1">
      <c r="A3894" s="7"/>
      <c r="B3894" s="7" t="s">
        <v>5</v>
      </c>
      <c r="C3894" s="7" t="s">
        <v>153</v>
      </c>
      <c r="D3894" t="str">
        <f t="shared" si="69"/>
        <v>TLS</v>
      </c>
    </row>
    <row r="3895" spans="1:4" ht="30" thickTop="1" thickBot="1">
      <c r="A3895" s="7"/>
      <c r="B3895" s="7" t="s">
        <v>7</v>
      </c>
      <c r="C3895" s="7" t="s">
        <v>70</v>
      </c>
      <c r="D3895" t="str">
        <f t="shared" si="69"/>
        <v>TLS</v>
      </c>
    </row>
    <row r="3896" spans="1:4" ht="15.6" thickTop="1" thickBot="1">
      <c r="A3896" s="7"/>
      <c r="B3896" s="7" t="s">
        <v>13</v>
      </c>
      <c r="C3896" s="7" t="s">
        <v>1462</v>
      </c>
      <c r="D3896" t="str">
        <f t="shared" si="69"/>
        <v>TLS</v>
      </c>
    </row>
    <row r="3897" spans="1:4" ht="15.6" thickTop="1" thickBot="1">
      <c r="A3897" s="7"/>
      <c r="B3897" s="7" t="s">
        <v>15</v>
      </c>
      <c r="C3897" s="7" t="s">
        <v>1463</v>
      </c>
      <c r="D3897" t="str">
        <f t="shared" si="69"/>
        <v>TLS</v>
      </c>
    </row>
    <row r="3898" spans="1:4" ht="15.6" thickTop="1" thickBot="1">
      <c r="A3898" s="7"/>
      <c r="B3898" s="7" t="s">
        <v>16</v>
      </c>
      <c r="C3898" s="7" t="s">
        <v>1464</v>
      </c>
      <c r="D3898" t="str">
        <f t="shared" si="69"/>
        <v>TLS</v>
      </c>
    </row>
    <row r="3899" spans="1:4" ht="15.6" thickTop="1" thickBot="1">
      <c r="A3899" s="7"/>
      <c r="B3899" s="7" t="s">
        <v>17</v>
      </c>
      <c r="C3899" s="7" t="s">
        <v>1463</v>
      </c>
      <c r="D3899" t="str">
        <f t="shared" si="69"/>
        <v>TLS</v>
      </c>
    </row>
    <row r="3900" spans="1:4" ht="15.6" thickTop="1" thickBot="1">
      <c r="A3900" s="7"/>
      <c r="B3900" s="7" t="s">
        <v>18</v>
      </c>
      <c r="C3900" s="7" t="s">
        <v>1465</v>
      </c>
      <c r="D3900" t="str">
        <f t="shared" si="69"/>
        <v>TLS</v>
      </c>
    </row>
    <row r="3901" spans="1:4" ht="15.6" thickTop="1" thickBot="1">
      <c r="A3901" s="7"/>
      <c r="B3901" s="7" t="s">
        <v>19</v>
      </c>
      <c r="C3901" s="7" t="s">
        <v>1466</v>
      </c>
      <c r="D3901" t="str">
        <f t="shared" si="69"/>
        <v>TLS</v>
      </c>
    </row>
    <row r="3902" spans="1:4" ht="15.6" thickTop="1" thickBot="1">
      <c r="A3902" s="7"/>
      <c r="B3902" s="7" t="s">
        <v>21</v>
      </c>
      <c r="C3902" s="7" t="s">
        <v>1463</v>
      </c>
      <c r="D3902" t="str">
        <f t="shared" si="69"/>
        <v>TLS</v>
      </c>
    </row>
    <row r="3903" spans="1:4" ht="15.6" thickTop="1" thickBot="1">
      <c r="A3903" s="7"/>
      <c r="B3903" s="7" t="s">
        <v>22</v>
      </c>
      <c r="C3903" s="7" t="s">
        <v>1467</v>
      </c>
      <c r="D3903" t="str">
        <f t="shared" si="69"/>
        <v>TLS</v>
      </c>
    </row>
    <row r="3904" spans="1:4" ht="15.6" thickTop="1" thickBot="1">
      <c r="A3904" s="7"/>
      <c r="B3904" s="7" t="s">
        <v>23</v>
      </c>
      <c r="C3904" s="7" t="s">
        <v>1463</v>
      </c>
      <c r="D3904" t="str">
        <f t="shared" si="69"/>
        <v>TLS</v>
      </c>
    </row>
    <row r="3905" spans="1:4" ht="15.6" thickTop="1" thickBot="1">
      <c r="A3905" s="7"/>
      <c r="B3905" s="7" t="s">
        <v>24</v>
      </c>
      <c r="C3905" s="7">
        <v>3087</v>
      </c>
      <c r="D3905" t="str">
        <f t="shared" si="69"/>
        <v>TLS</v>
      </c>
    </row>
    <row r="3906" spans="1:4" ht="49.2" thickTop="1" thickBot="1">
      <c r="A3906" s="7"/>
      <c r="B3906" s="7" t="s">
        <v>9</v>
      </c>
      <c r="C3906" s="7">
        <v>2017</v>
      </c>
      <c r="D3906" t="str">
        <f t="shared" ref="D3906:D3969" si="70">IF(ISNUMBER(FIND(":", A3906)), LEFT(A3906, FIND(":", A3906) - 1), D3905)</f>
        <v>TLS</v>
      </c>
    </row>
    <row r="3907" spans="1:4" ht="39.6" thickTop="1" thickBot="1">
      <c r="A3907" s="7"/>
      <c r="B3907" s="7" t="s">
        <v>10</v>
      </c>
      <c r="C3907" s="7">
        <v>2018</v>
      </c>
      <c r="D3907" t="str">
        <f t="shared" si="70"/>
        <v>TLS</v>
      </c>
    </row>
    <row r="3908" spans="1:4" ht="15.6" thickTop="1" thickBot="1">
      <c r="A3908" s="9" t="s">
        <v>1468</v>
      </c>
      <c r="B3908" s="10"/>
      <c r="C3908" s="11"/>
      <c r="D3908" t="str">
        <f t="shared" si="70"/>
        <v>TGO</v>
      </c>
    </row>
    <row r="3909" spans="1:4" ht="30" thickTop="1" thickBot="1">
      <c r="A3909" s="7"/>
      <c r="B3909" s="7" t="s">
        <v>25</v>
      </c>
      <c r="C3909" s="8">
        <v>54390</v>
      </c>
      <c r="D3909" t="str">
        <f t="shared" si="70"/>
        <v>TGO</v>
      </c>
    </row>
    <row r="3910" spans="1:4" ht="30" thickTop="1" thickBot="1">
      <c r="A3910" s="7"/>
      <c r="B3910" s="7" t="s">
        <v>26</v>
      </c>
      <c r="C3910" s="7" t="s">
        <v>1469</v>
      </c>
      <c r="D3910" t="str">
        <f t="shared" si="70"/>
        <v>TGO</v>
      </c>
    </row>
    <row r="3911" spans="1:4" ht="20.399999999999999" thickTop="1" thickBot="1">
      <c r="A3911" s="7"/>
      <c r="B3911" s="7" t="s">
        <v>28</v>
      </c>
      <c r="C3911" s="7" t="s">
        <v>1470</v>
      </c>
      <c r="D3911" t="str">
        <f t="shared" si="70"/>
        <v>TGO</v>
      </c>
    </row>
    <row r="3912" spans="1:4" ht="20.399999999999999" thickTop="1" thickBot="1">
      <c r="A3912" s="7"/>
      <c r="B3912" s="7" t="s">
        <v>30</v>
      </c>
      <c r="C3912" s="7" t="s">
        <v>1471</v>
      </c>
      <c r="D3912" t="str">
        <f t="shared" si="70"/>
        <v>TGO</v>
      </c>
    </row>
    <row r="3913" spans="1:4" ht="20.399999999999999" thickTop="1" thickBot="1">
      <c r="A3913" s="7"/>
      <c r="B3913" s="7" t="s">
        <v>32</v>
      </c>
      <c r="C3913" s="7" t="s">
        <v>33</v>
      </c>
      <c r="D3913" t="str">
        <f t="shared" si="70"/>
        <v>TGO</v>
      </c>
    </row>
    <row r="3914" spans="1:4" ht="20.399999999999999" thickTop="1" thickBot="1">
      <c r="A3914" s="7"/>
      <c r="B3914" s="7" t="s">
        <v>1</v>
      </c>
      <c r="C3914" s="7" t="s">
        <v>50</v>
      </c>
      <c r="D3914" t="str">
        <f t="shared" si="70"/>
        <v>TGO</v>
      </c>
    </row>
    <row r="3915" spans="1:4" ht="30" thickTop="1" thickBot="1">
      <c r="A3915" s="7"/>
      <c r="B3915" s="7" t="s">
        <v>3</v>
      </c>
      <c r="C3915" s="7" t="s">
        <v>4</v>
      </c>
      <c r="D3915" t="str">
        <f t="shared" si="70"/>
        <v>TGO</v>
      </c>
    </row>
    <row r="3916" spans="1:4" ht="20.399999999999999" thickTop="1" thickBot="1">
      <c r="A3916" s="7"/>
      <c r="B3916" s="7" t="s">
        <v>5</v>
      </c>
      <c r="C3916" s="7" t="s">
        <v>51</v>
      </c>
      <c r="D3916" t="str">
        <f t="shared" si="70"/>
        <v>TGO</v>
      </c>
    </row>
    <row r="3917" spans="1:4" ht="30" thickTop="1" thickBot="1">
      <c r="A3917" s="7"/>
      <c r="B3917" s="7" t="s">
        <v>7</v>
      </c>
      <c r="C3917" s="7" t="s">
        <v>8</v>
      </c>
      <c r="D3917" t="str">
        <f t="shared" si="70"/>
        <v>TGO</v>
      </c>
    </row>
    <row r="3918" spans="1:4" ht="15.6" thickTop="1" thickBot="1">
      <c r="A3918" s="7"/>
      <c r="B3918" s="7" t="s">
        <v>11</v>
      </c>
      <c r="C3918" s="7" t="s">
        <v>1472</v>
      </c>
      <c r="D3918" t="str">
        <f t="shared" si="70"/>
        <v>TGO</v>
      </c>
    </row>
    <row r="3919" spans="1:4" ht="15.6" thickTop="1" thickBot="1">
      <c r="A3919" s="7"/>
      <c r="B3919" s="7" t="s">
        <v>13</v>
      </c>
      <c r="C3919" s="7" t="s">
        <v>1473</v>
      </c>
      <c r="D3919" t="str">
        <f t="shared" si="70"/>
        <v>TGO</v>
      </c>
    </row>
    <row r="3920" spans="1:4" ht="15.6" thickTop="1" thickBot="1">
      <c r="A3920" s="7"/>
      <c r="B3920" s="7" t="s">
        <v>15</v>
      </c>
      <c r="C3920" s="7" t="s">
        <v>1474</v>
      </c>
      <c r="D3920" t="str">
        <f t="shared" si="70"/>
        <v>TGO</v>
      </c>
    </row>
    <row r="3921" spans="1:4" ht="15.6" thickTop="1" thickBot="1">
      <c r="A3921" s="7"/>
      <c r="B3921" s="7" t="s">
        <v>16</v>
      </c>
      <c r="C3921" s="7" t="s">
        <v>1472</v>
      </c>
      <c r="D3921" t="str">
        <f t="shared" si="70"/>
        <v>TGO</v>
      </c>
    </row>
    <row r="3922" spans="1:4" ht="15.6" thickTop="1" thickBot="1">
      <c r="A3922" s="7"/>
      <c r="B3922" s="7" t="s">
        <v>17</v>
      </c>
      <c r="C3922" s="7" t="s">
        <v>1475</v>
      </c>
      <c r="D3922" t="str">
        <f t="shared" si="70"/>
        <v>TGO</v>
      </c>
    </row>
    <row r="3923" spans="1:4" ht="15.6" thickTop="1" thickBot="1">
      <c r="A3923" s="7"/>
      <c r="B3923" s="7" t="s">
        <v>18</v>
      </c>
      <c r="C3923" s="7" t="s">
        <v>1475</v>
      </c>
      <c r="D3923" t="str">
        <f t="shared" si="70"/>
        <v>TGO</v>
      </c>
    </row>
    <row r="3924" spans="1:4" ht="15.6" thickTop="1" thickBot="1">
      <c r="A3924" s="7"/>
      <c r="B3924" s="7" t="s">
        <v>19</v>
      </c>
      <c r="C3924" s="7" t="s">
        <v>1476</v>
      </c>
      <c r="D3924" t="str">
        <f t="shared" si="70"/>
        <v>TGO</v>
      </c>
    </row>
    <row r="3925" spans="1:4" ht="15.6" thickTop="1" thickBot="1">
      <c r="A3925" s="7"/>
      <c r="B3925" s="7" t="s">
        <v>21</v>
      </c>
      <c r="C3925" s="7" t="s">
        <v>1474</v>
      </c>
      <c r="D3925" t="str">
        <f t="shared" si="70"/>
        <v>TGO</v>
      </c>
    </row>
    <row r="3926" spans="1:4" ht="15.6" thickTop="1" thickBot="1">
      <c r="A3926" s="7"/>
      <c r="B3926" s="7" t="s">
        <v>22</v>
      </c>
      <c r="C3926" s="7" t="s">
        <v>1472</v>
      </c>
      <c r="D3926" t="str">
        <f t="shared" si="70"/>
        <v>TGO</v>
      </c>
    </row>
    <row r="3927" spans="1:4" ht="15.6" thickTop="1" thickBot="1">
      <c r="A3927" s="7"/>
      <c r="B3927" s="7" t="s">
        <v>23</v>
      </c>
      <c r="C3927" s="7" t="s">
        <v>1475</v>
      </c>
      <c r="D3927" t="str">
        <f t="shared" si="70"/>
        <v>TGO</v>
      </c>
    </row>
    <row r="3928" spans="1:4" ht="15.6" thickTop="1" thickBot="1">
      <c r="A3928" s="7"/>
      <c r="B3928" s="7" t="s">
        <v>24</v>
      </c>
      <c r="C3928" s="7">
        <v>1510</v>
      </c>
      <c r="D3928" t="str">
        <f t="shared" si="70"/>
        <v>TGO</v>
      </c>
    </row>
    <row r="3929" spans="1:4" ht="49.2" thickTop="1" thickBot="1">
      <c r="A3929" s="7"/>
      <c r="B3929" s="7" t="s">
        <v>9</v>
      </c>
      <c r="C3929" s="7">
        <v>2017</v>
      </c>
      <c r="D3929" t="str">
        <f t="shared" si="70"/>
        <v>TGO</v>
      </c>
    </row>
    <row r="3930" spans="1:4" ht="39.6" thickTop="1" thickBot="1">
      <c r="A3930" s="7"/>
      <c r="B3930" s="7" t="s">
        <v>10</v>
      </c>
      <c r="C3930" s="7">
        <v>2018</v>
      </c>
      <c r="D3930" t="str">
        <f t="shared" si="70"/>
        <v>TGO</v>
      </c>
    </row>
    <row r="3931" spans="1:4" ht="15.6" thickTop="1" thickBot="1">
      <c r="A3931" s="9" t="s">
        <v>1477</v>
      </c>
      <c r="B3931" s="10"/>
      <c r="C3931" s="11"/>
      <c r="D3931" t="str">
        <f t="shared" si="70"/>
        <v>TON</v>
      </c>
    </row>
    <row r="3932" spans="1:4" ht="30" thickTop="1" thickBot="1">
      <c r="A3932" s="7"/>
      <c r="B3932" s="7" t="s">
        <v>25</v>
      </c>
      <c r="C3932" s="7">
        <v>720</v>
      </c>
      <c r="D3932" t="str">
        <f t="shared" si="70"/>
        <v>TON</v>
      </c>
    </row>
    <row r="3933" spans="1:4" ht="20.399999999999999" thickTop="1" thickBot="1">
      <c r="A3933" s="7"/>
      <c r="B3933" s="7" t="s">
        <v>26</v>
      </c>
      <c r="C3933" s="7" t="s">
        <v>1478</v>
      </c>
      <c r="D3933" t="str">
        <f t="shared" si="70"/>
        <v>TON</v>
      </c>
    </row>
    <row r="3934" spans="1:4" ht="20.399999999999999" thickTop="1" thickBot="1">
      <c r="A3934" s="7"/>
      <c r="B3934" s="7" t="s">
        <v>28</v>
      </c>
      <c r="C3934" s="7" t="s">
        <v>1479</v>
      </c>
      <c r="D3934" t="str">
        <f t="shared" si="70"/>
        <v>TON</v>
      </c>
    </row>
    <row r="3935" spans="1:4" ht="20.399999999999999" thickTop="1" thickBot="1">
      <c r="A3935" s="7"/>
      <c r="B3935" s="7" t="s">
        <v>30</v>
      </c>
      <c r="C3935" s="7" t="s">
        <v>1479</v>
      </c>
      <c r="D3935" t="str">
        <f t="shared" si="70"/>
        <v>TON</v>
      </c>
    </row>
    <row r="3936" spans="1:4" ht="20.399999999999999" thickTop="1" thickBot="1">
      <c r="A3936" s="7"/>
      <c r="B3936" s="7" t="s">
        <v>32</v>
      </c>
      <c r="C3936" s="7" t="s">
        <v>33</v>
      </c>
      <c r="D3936" t="str">
        <f t="shared" si="70"/>
        <v>TON</v>
      </c>
    </row>
    <row r="3937" spans="1:4" ht="20.399999999999999" thickTop="1" thickBot="1">
      <c r="A3937" s="7"/>
      <c r="B3937" s="7" t="s">
        <v>1</v>
      </c>
      <c r="C3937" s="7" t="s">
        <v>107</v>
      </c>
      <c r="D3937" t="str">
        <f t="shared" si="70"/>
        <v>TON</v>
      </c>
    </row>
    <row r="3938" spans="1:4" ht="30" thickTop="1" thickBot="1">
      <c r="A3938" s="7"/>
      <c r="B3938" s="7" t="s">
        <v>3</v>
      </c>
      <c r="C3938" s="7" t="s">
        <v>36</v>
      </c>
      <c r="D3938" t="str">
        <f t="shared" si="70"/>
        <v>TON</v>
      </c>
    </row>
    <row r="3939" spans="1:4" ht="20.399999999999999" thickTop="1" thickBot="1">
      <c r="A3939" s="7"/>
      <c r="B3939" s="7" t="s">
        <v>5</v>
      </c>
      <c r="C3939" s="7" t="s">
        <v>108</v>
      </c>
      <c r="D3939" t="str">
        <f t="shared" si="70"/>
        <v>TON</v>
      </c>
    </row>
    <row r="3940" spans="1:4" ht="30" thickTop="1" thickBot="1">
      <c r="A3940" s="7"/>
      <c r="B3940" s="7" t="s">
        <v>7</v>
      </c>
      <c r="C3940" s="7" t="s">
        <v>38</v>
      </c>
      <c r="D3940" t="str">
        <f t="shared" si="70"/>
        <v>TON</v>
      </c>
    </row>
    <row r="3941" spans="1:4" ht="15.6" thickTop="1" thickBot="1">
      <c r="A3941" s="7"/>
      <c r="B3941" s="7" t="s">
        <v>13</v>
      </c>
      <c r="C3941" s="7" t="s">
        <v>1480</v>
      </c>
      <c r="D3941" t="str">
        <f t="shared" si="70"/>
        <v>TON</v>
      </c>
    </row>
    <row r="3942" spans="1:4" ht="15.6" thickTop="1" thickBot="1">
      <c r="A3942" s="7"/>
      <c r="B3942" s="7" t="s">
        <v>23</v>
      </c>
      <c r="C3942" s="7" t="s">
        <v>1481</v>
      </c>
      <c r="D3942" t="str">
        <f t="shared" si="70"/>
        <v>TON</v>
      </c>
    </row>
    <row r="3943" spans="1:4" ht="15.6" thickTop="1" thickBot="1">
      <c r="A3943" s="7"/>
      <c r="B3943" s="7" t="s">
        <v>24</v>
      </c>
      <c r="C3943" s="7">
        <v>5200</v>
      </c>
      <c r="D3943" t="str">
        <f t="shared" si="70"/>
        <v>TON</v>
      </c>
    </row>
    <row r="3944" spans="1:4" ht="15.6" thickTop="1" thickBot="1">
      <c r="A3944" s="7"/>
      <c r="B3944" s="7" t="s">
        <v>21</v>
      </c>
      <c r="C3944" s="7" t="s">
        <v>1481</v>
      </c>
      <c r="D3944" t="str">
        <f t="shared" si="70"/>
        <v>TON</v>
      </c>
    </row>
    <row r="3945" spans="1:4" ht="15.6" thickTop="1" thickBot="1">
      <c r="A3945" s="7"/>
      <c r="B3945" s="7" t="s">
        <v>22</v>
      </c>
      <c r="C3945" s="7" t="s">
        <v>1473</v>
      </c>
      <c r="D3945" t="str">
        <f t="shared" si="70"/>
        <v>TON</v>
      </c>
    </row>
    <row r="3946" spans="1:4" ht="15.6" thickTop="1" thickBot="1">
      <c r="A3946" s="7"/>
      <c r="B3946" s="7" t="s">
        <v>18</v>
      </c>
      <c r="C3946" s="7" t="s">
        <v>1481</v>
      </c>
      <c r="D3946" t="str">
        <f t="shared" si="70"/>
        <v>TON</v>
      </c>
    </row>
    <row r="3947" spans="1:4" ht="15.6" thickTop="1" thickBot="1">
      <c r="A3947" s="7"/>
      <c r="B3947" s="7" t="s">
        <v>19</v>
      </c>
      <c r="C3947" s="7" t="s">
        <v>1482</v>
      </c>
      <c r="D3947" t="str">
        <f t="shared" si="70"/>
        <v>TON</v>
      </c>
    </row>
    <row r="3948" spans="1:4" ht="15.6" thickTop="1" thickBot="1">
      <c r="A3948" s="7"/>
      <c r="B3948" s="7" t="s">
        <v>17</v>
      </c>
      <c r="C3948" s="7" t="s">
        <v>1481</v>
      </c>
      <c r="D3948" t="str">
        <f t="shared" si="70"/>
        <v>TON</v>
      </c>
    </row>
    <row r="3949" spans="1:4" ht="15.6" thickTop="1" thickBot="1">
      <c r="A3949" s="7"/>
      <c r="B3949" s="7" t="s">
        <v>15</v>
      </c>
      <c r="C3949" s="7" t="s">
        <v>1483</v>
      </c>
      <c r="D3949" t="str">
        <f t="shared" si="70"/>
        <v>TON</v>
      </c>
    </row>
    <row r="3950" spans="1:4" ht="15.6" thickTop="1" thickBot="1">
      <c r="A3950" s="7"/>
      <c r="B3950" s="7" t="s">
        <v>16</v>
      </c>
      <c r="C3950" s="7" t="s">
        <v>1473</v>
      </c>
      <c r="D3950" t="str">
        <f t="shared" si="70"/>
        <v>TON</v>
      </c>
    </row>
    <row r="3951" spans="1:4" ht="49.2" thickTop="1" thickBot="1">
      <c r="A3951" s="7"/>
      <c r="B3951" s="7" t="s">
        <v>9</v>
      </c>
      <c r="C3951" s="7">
        <v>2017</v>
      </c>
      <c r="D3951" t="str">
        <f t="shared" si="70"/>
        <v>TON</v>
      </c>
    </row>
    <row r="3952" spans="1:4" ht="39.6" thickTop="1" thickBot="1">
      <c r="A3952" s="7"/>
      <c r="B3952" s="7" t="s">
        <v>10</v>
      </c>
      <c r="C3952" s="7">
        <v>2018</v>
      </c>
      <c r="D3952" t="str">
        <f t="shared" si="70"/>
        <v>TON</v>
      </c>
    </row>
    <row r="3953" spans="1:4" ht="30" thickTop="1" thickBot="1">
      <c r="A3953" s="9" t="s">
        <v>1484</v>
      </c>
      <c r="B3953" s="10"/>
      <c r="C3953" s="11"/>
      <c r="D3953" t="str">
        <f t="shared" si="70"/>
        <v>TTO</v>
      </c>
    </row>
    <row r="3954" spans="1:4" ht="30" thickTop="1" thickBot="1">
      <c r="A3954" s="7"/>
      <c r="B3954" s="7" t="s">
        <v>25</v>
      </c>
      <c r="C3954" s="8">
        <v>5130</v>
      </c>
      <c r="D3954" t="str">
        <f t="shared" si="70"/>
        <v>TTO</v>
      </c>
    </row>
    <row r="3955" spans="1:4" ht="58.8" thickTop="1" thickBot="1">
      <c r="A3955" s="7"/>
      <c r="B3955" s="7" t="s">
        <v>26</v>
      </c>
      <c r="C3955" s="7" t="s">
        <v>1485</v>
      </c>
      <c r="D3955" t="str">
        <f t="shared" si="70"/>
        <v>TTO</v>
      </c>
    </row>
    <row r="3956" spans="1:4" ht="20.399999999999999" thickTop="1" thickBot="1">
      <c r="A3956" s="7"/>
      <c r="B3956" s="7" t="s">
        <v>28</v>
      </c>
      <c r="C3956" s="7" t="s">
        <v>1486</v>
      </c>
      <c r="D3956" t="str">
        <f t="shared" si="70"/>
        <v>TTO</v>
      </c>
    </row>
    <row r="3957" spans="1:4" ht="20.399999999999999" thickTop="1" thickBot="1">
      <c r="A3957" s="7"/>
      <c r="B3957" s="7" t="s">
        <v>30</v>
      </c>
      <c r="C3957" s="7" t="s">
        <v>1487</v>
      </c>
      <c r="D3957" t="str">
        <f t="shared" si="70"/>
        <v>TTO</v>
      </c>
    </row>
    <row r="3958" spans="1:4" ht="20.399999999999999" thickTop="1" thickBot="1">
      <c r="A3958" s="7"/>
      <c r="B3958" s="7" t="s">
        <v>32</v>
      </c>
      <c r="C3958" s="7" t="s">
        <v>33</v>
      </c>
      <c r="D3958" t="str">
        <f t="shared" si="70"/>
        <v>TTO</v>
      </c>
    </row>
    <row r="3959" spans="1:4" ht="49.2" thickTop="1" thickBot="1">
      <c r="A3959" s="7"/>
      <c r="B3959" s="7" t="s">
        <v>9</v>
      </c>
      <c r="C3959" s="7">
        <v>2017</v>
      </c>
      <c r="D3959" t="str">
        <f t="shared" si="70"/>
        <v>TTO</v>
      </c>
    </row>
    <row r="3960" spans="1:4" ht="39.6" thickTop="1" thickBot="1">
      <c r="A3960" s="7"/>
      <c r="B3960" s="7" t="s">
        <v>10</v>
      </c>
      <c r="C3960" s="7">
        <v>2018</v>
      </c>
      <c r="D3960" t="str">
        <f t="shared" si="70"/>
        <v>TTO</v>
      </c>
    </row>
    <row r="3961" spans="1:4" ht="20.399999999999999" thickTop="1" thickBot="1">
      <c r="A3961" s="7"/>
      <c r="B3961" s="7" t="s">
        <v>1</v>
      </c>
      <c r="C3961" s="7" t="s">
        <v>79</v>
      </c>
      <c r="D3961" t="str">
        <f t="shared" si="70"/>
        <v>TTO</v>
      </c>
    </row>
    <row r="3962" spans="1:4" ht="30" thickTop="1" thickBot="1">
      <c r="A3962" s="7"/>
      <c r="B3962" s="7" t="s">
        <v>3</v>
      </c>
      <c r="C3962" s="7" t="s">
        <v>59</v>
      </c>
      <c r="D3962" t="str">
        <f t="shared" si="70"/>
        <v>TTO</v>
      </c>
    </row>
    <row r="3963" spans="1:4" ht="20.399999999999999" thickTop="1" thickBot="1">
      <c r="A3963" s="7"/>
      <c r="B3963" s="7" t="s">
        <v>5</v>
      </c>
      <c r="C3963" s="7" t="s">
        <v>80</v>
      </c>
      <c r="D3963" t="str">
        <f t="shared" si="70"/>
        <v>TTO</v>
      </c>
    </row>
    <row r="3964" spans="1:4" ht="30" thickTop="1" thickBot="1">
      <c r="A3964" s="7"/>
      <c r="B3964" s="7" t="s">
        <v>7</v>
      </c>
      <c r="C3964" s="7" t="s">
        <v>60</v>
      </c>
      <c r="D3964" t="str">
        <f t="shared" si="70"/>
        <v>TTO</v>
      </c>
    </row>
    <row r="3965" spans="1:4" ht="15.6" thickTop="1" thickBot="1">
      <c r="A3965" s="7"/>
      <c r="B3965" s="7" t="s">
        <v>11</v>
      </c>
      <c r="C3965" s="7" t="s">
        <v>1462</v>
      </c>
      <c r="D3965" t="str">
        <f t="shared" si="70"/>
        <v>TTO</v>
      </c>
    </row>
    <row r="3966" spans="1:4" ht="15.6" thickTop="1" thickBot="1">
      <c r="A3966" s="7"/>
      <c r="B3966" s="7" t="s">
        <v>13</v>
      </c>
      <c r="C3966" s="7" t="s">
        <v>321</v>
      </c>
      <c r="D3966" t="str">
        <f t="shared" si="70"/>
        <v>TTO</v>
      </c>
    </row>
    <row r="3967" spans="1:4" ht="15.6" thickTop="1" thickBot="1">
      <c r="A3967" s="7"/>
      <c r="B3967" s="7" t="s">
        <v>15</v>
      </c>
      <c r="C3967" s="7" t="s">
        <v>1488</v>
      </c>
      <c r="D3967" t="str">
        <f t="shared" si="70"/>
        <v>TTO</v>
      </c>
    </row>
    <row r="3968" spans="1:4" ht="15.6" thickTop="1" thickBot="1">
      <c r="A3968" s="7"/>
      <c r="B3968" s="7" t="s">
        <v>22</v>
      </c>
      <c r="C3968" s="7" t="s">
        <v>321</v>
      </c>
      <c r="D3968" t="str">
        <f t="shared" si="70"/>
        <v>TTO</v>
      </c>
    </row>
    <row r="3969" spans="1:4" ht="15.6" thickTop="1" thickBot="1">
      <c r="A3969" s="7"/>
      <c r="B3969" s="7" t="s">
        <v>23</v>
      </c>
      <c r="C3969" s="7" t="s">
        <v>1489</v>
      </c>
      <c r="D3969" t="str">
        <f t="shared" si="70"/>
        <v>TTO</v>
      </c>
    </row>
    <row r="3970" spans="1:4" ht="15.6" thickTop="1" thickBot="1">
      <c r="A3970" s="7"/>
      <c r="B3970" s="7" t="s">
        <v>24</v>
      </c>
      <c r="C3970" s="7">
        <v>2440</v>
      </c>
      <c r="D3970" t="str">
        <f t="shared" ref="D3970:D4033" si="71">IF(ISNUMBER(FIND(":", A3970)), LEFT(A3970, FIND(":", A3970) - 1), D3969)</f>
        <v>TTO</v>
      </c>
    </row>
    <row r="3971" spans="1:4" ht="15.6" thickTop="1" thickBot="1">
      <c r="A3971" s="7"/>
      <c r="B3971" s="7" t="s">
        <v>18</v>
      </c>
      <c r="C3971" s="7" t="s">
        <v>1490</v>
      </c>
      <c r="D3971" t="str">
        <f t="shared" si="71"/>
        <v>TTO</v>
      </c>
    </row>
    <row r="3972" spans="1:4" ht="15.6" thickTop="1" thickBot="1">
      <c r="A3972" s="7"/>
      <c r="B3972" s="7" t="s">
        <v>19</v>
      </c>
      <c r="C3972" s="7" t="s">
        <v>1491</v>
      </c>
      <c r="D3972" t="str">
        <f t="shared" si="71"/>
        <v>TTO</v>
      </c>
    </row>
    <row r="3973" spans="1:4" ht="15.6" thickTop="1" thickBot="1">
      <c r="A3973" s="7"/>
      <c r="B3973" s="7" t="s">
        <v>21</v>
      </c>
      <c r="C3973" s="7" t="s">
        <v>1492</v>
      </c>
      <c r="D3973" t="str">
        <f t="shared" si="71"/>
        <v>TTO</v>
      </c>
    </row>
    <row r="3974" spans="1:4" ht="15.6" thickTop="1" thickBot="1">
      <c r="A3974" s="7"/>
      <c r="B3974" s="7" t="s">
        <v>16</v>
      </c>
      <c r="C3974" s="7" t="s">
        <v>1462</v>
      </c>
      <c r="D3974" t="str">
        <f t="shared" si="71"/>
        <v>TTO</v>
      </c>
    </row>
    <row r="3975" spans="1:4" ht="15.6" thickTop="1" thickBot="1">
      <c r="A3975" s="7"/>
      <c r="B3975" s="7" t="s">
        <v>17</v>
      </c>
      <c r="C3975" s="7" t="s">
        <v>1489</v>
      </c>
      <c r="D3975" t="str">
        <f t="shared" si="71"/>
        <v>TTO</v>
      </c>
    </row>
    <row r="3976" spans="1:4" ht="15.6" thickTop="1" thickBot="1">
      <c r="A3976" s="9" t="s">
        <v>1493</v>
      </c>
      <c r="B3976" s="10"/>
      <c r="C3976" s="11"/>
      <c r="D3976" t="str">
        <f t="shared" si="71"/>
        <v>TUN</v>
      </c>
    </row>
    <row r="3977" spans="1:4" ht="30" thickTop="1" thickBot="1">
      <c r="A3977" s="7"/>
      <c r="B3977" s="7" t="s">
        <v>25</v>
      </c>
      <c r="C3977" s="8">
        <v>155360</v>
      </c>
      <c r="D3977" t="str">
        <f t="shared" si="71"/>
        <v>TUN</v>
      </c>
    </row>
    <row r="3978" spans="1:4" ht="30" thickTop="1" thickBot="1">
      <c r="A3978" s="7"/>
      <c r="B3978" s="7" t="s">
        <v>26</v>
      </c>
      <c r="C3978" s="7" t="s">
        <v>1494</v>
      </c>
      <c r="D3978" t="str">
        <f t="shared" si="71"/>
        <v>TUN</v>
      </c>
    </row>
    <row r="3979" spans="1:4" ht="20.399999999999999" thickTop="1" thickBot="1">
      <c r="A3979" s="7"/>
      <c r="B3979" s="7" t="s">
        <v>28</v>
      </c>
      <c r="C3979" s="7" t="s">
        <v>1495</v>
      </c>
      <c r="D3979" t="str">
        <f t="shared" si="71"/>
        <v>TUN</v>
      </c>
    </row>
    <row r="3980" spans="1:4" ht="20.399999999999999" thickTop="1" thickBot="1">
      <c r="A3980" s="7"/>
      <c r="B3980" s="7" t="s">
        <v>30</v>
      </c>
      <c r="C3980" s="7" t="s">
        <v>1496</v>
      </c>
      <c r="D3980" t="str">
        <f t="shared" si="71"/>
        <v>TUN</v>
      </c>
    </row>
    <row r="3981" spans="1:4" ht="20.399999999999999" thickTop="1" thickBot="1">
      <c r="A3981" s="7"/>
      <c r="B3981" s="7" t="s">
        <v>32</v>
      </c>
      <c r="C3981" s="7" t="s">
        <v>33</v>
      </c>
      <c r="D3981" t="str">
        <f t="shared" si="71"/>
        <v>TUN</v>
      </c>
    </row>
    <row r="3982" spans="1:4" ht="49.2" thickTop="1" thickBot="1">
      <c r="A3982" s="7"/>
      <c r="B3982" s="7" t="s">
        <v>9</v>
      </c>
      <c r="C3982" s="7">
        <v>2017</v>
      </c>
      <c r="D3982" t="str">
        <f t="shared" si="71"/>
        <v>TUN</v>
      </c>
    </row>
    <row r="3983" spans="1:4" ht="39.6" thickTop="1" thickBot="1">
      <c r="A3983" s="7"/>
      <c r="B3983" s="7" t="s">
        <v>10</v>
      </c>
      <c r="C3983" s="7">
        <v>2018</v>
      </c>
      <c r="D3983" t="str">
        <f t="shared" si="71"/>
        <v>TUN</v>
      </c>
    </row>
    <row r="3984" spans="1:4" ht="30" thickTop="1" thickBot="1">
      <c r="A3984" s="7"/>
      <c r="B3984" s="7" t="s">
        <v>1</v>
      </c>
      <c r="C3984" s="7" t="s">
        <v>2</v>
      </c>
      <c r="D3984" t="str">
        <f t="shared" si="71"/>
        <v>TUN</v>
      </c>
    </row>
    <row r="3985" spans="1:4" ht="30" thickTop="1" thickBot="1">
      <c r="A3985" s="7"/>
      <c r="B3985" s="7" t="s">
        <v>3</v>
      </c>
      <c r="C3985" s="7" t="s">
        <v>69</v>
      </c>
      <c r="D3985" t="str">
        <f t="shared" si="71"/>
        <v>TUN</v>
      </c>
    </row>
    <row r="3986" spans="1:4" ht="20.399999999999999" thickTop="1" thickBot="1">
      <c r="A3986" s="7"/>
      <c r="B3986" s="7" t="s">
        <v>5</v>
      </c>
      <c r="C3986" s="7" t="s">
        <v>6</v>
      </c>
      <c r="D3986" t="str">
        <f t="shared" si="71"/>
        <v>TUN</v>
      </c>
    </row>
    <row r="3987" spans="1:4" ht="30" thickTop="1" thickBot="1">
      <c r="A3987" s="7"/>
      <c r="B3987" s="7" t="s">
        <v>7</v>
      </c>
      <c r="C3987" s="7" t="s">
        <v>70</v>
      </c>
      <c r="D3987" t="str">
        <f t="shared" si="71"/>
        <v>TUN</v>
      </c>
    </row>
    <row r="3988" spans="1:4" ht="15.6" thickTop="1" thickBot="1">
      <c r="A3988" s="7"/>
      <c r="B3988" s="7" t="s">
        <v>11</v>
      </c>
      <c r="C3988" s="7" t="s">
        <v>1480</v>
      </c>
      <c r="D3988" t="str">
        <f t="shared" si="71"/>
        <v>TUN</v>
      </c>
    </row>
    <row r="3989" spans="1:4" ht="15.6" thickTop="1" thickBot="1">
      <c r="A3989" s="7"/>
      <c r="B3989" s="7" t="s">
        <v>13</v>
      </c>
      <c r="C3989" s="7" t="s">
        <v>1497</v>
      </c>
      <c r="D3989" t="str">
        <f t="shared" si="71"/>
        <v>TUN</v>
      </c>
    </row>
    <row r="3990" spans="1:4" ht="15.6" thickTop="1" thickBot="1">
      <c r="A3990" s="7"/>
      <c r="B3990" s="7" t="s">
        <v>15</v>
      </c>
      <c r="C3990" s="7" t="s">
        <v>1498</v>
      </c>
      <c r="D3990" t="str">
        <f t="shared" si="71"/>
        <v>TUN</v>
      </c>
    </row>
    <row r="3991" spans="1:4" ht="15.6" thickTop="1" thickBot="1">
      <c r="A3991" s="7"/>
      <c r="B3991" s="7" t="s">
        <v>16</v>
      </c>
      <c r="C3991" s="7" t="s">
        <v>1480</v>
      </c>
      <c r="D3991" t="str">
        <f t="shared" si="71"/>
        <v>TUN</v>
      </c>
    </row>
    <row r="3992" spans="1:4" ht="15.6" thickTop="1" thickBot="1">
      <c r="A3992" s="7"/>
      <c r="B3992" s="7" t="s">
        <v>17</v>
      </c>
      <c r="C3992" s="7" t="s">
        <v>1498</v>
      </c>
      <c r="D3992" t="str">
        <f t="shared" si="71"/>
        <v>TUN</v>
      </c>
    </row>
    <row r="3993" spans="1:4" ht="15.6" thickTop="1" thickBot="1">
      <c r="A3993" s="7"/>
      <c r="B3993" s="7" t="s">
        <v>18</v>
      </c>
      <c r="C3993" s="7" t="s">
        <v>1498</v>
      </c>
      <c r="D3993" t="str">
        <f t="shared" si="71"/>
        <v>TUN</v>
      </c>
    </row>
    <row r="3994" spans="1:4" ht="15.6" thickTop="1" thickBot="1">
      <c r="A3994" s="7"/>
      <c r="B3994" s="7" t="s">
        <v>19</v>
      </c>
      <c r="C3994" s="7" t="s">
        <v>1499</v>
      </c>
      <c r="D3994" t="str">
        <f t="shared" si="71"/>
        <v>TUN</v>
      </c>
    </row>
    <row r="3995" spans="1:4" ht="15.6" thickTop="1" thickBot="1">
      <c r="A3995" s="7"/>
      <c r="B3995" s="7" t="s">
        <v>21</v>
      </c>
      <c r="C3995" s="7" t="s">
        <v>1498</v>
      </c>
      <c r="D3995" t="str">
        <f t="shared" si="71"/>
        <v>TUN</v>
      </c>
    </row>
    <row r="3996" spans="1:4" ht="15.6" thickTop="1" thickBot="1">
      <c r="A3996" s="7"/>
      <c r="B3996" s="7" t="s">
        <v>22</v>
      </c>
      <c r="C3996" s="7" t="s">
        <v>1497</v>
      </c>
      <c r="D3996" t="str">
        <f t="shared" si="71"/>
        <v>TUN</v>
      </c>
    </row>
    <row r="3997" spans="1:4" ht="15.6" thickTop="1" thickBot="1">
      <c r="A3997" s="7"/>
      <c r="B3997" s="7" t="s">
        <v>23</v>
      </c>
      <c r="C3997" s="7" t="s">
        <v>1498</v>
      </c>
      <c r="D3997" t="str">
        <f t="shared" si="71"/>
        <v>TUN</v>
      </c>
    </row>
    <row r="3998" spans="1:4" ht="15.6" thickTop="1" thickBot="1">
      <c r="A3998" s="7"/>
      <c r="B3998" s="7" t="s">
        <v>24</v>
      </c>
      <c r="C3998" s="7">
        <v>1520</v>
      </c>
      <c r="D3998" t="str">
        <f t="shared" si="71"/>
        <v>TUN</v>
      </c>
    </row>
    <row r="3999" spans="1:4" ht="15.6" thickTop="1" thickBot="1">
      <c r="A3999" s="9" t="s">
        <v>1500</v>
      </c>
      <c r="B3999" s="10"/>
      <c r="C3999" s="11"/>
      <c r="D3999" t="str">
        <f t="shared" si="71"/>
        <v>TUR</v>
      </c>
    </row>
    <row r="4000" spans="1:4" ht="30" thickTop="1" thickBot="1">
      <c r="A4000" s="7"/>
      <c r="B4000" s="7" t="s">
        <v>25</v>
      </c>
      <c r="C4000" s="8">
        <v>769630</v>
      </c>
      <c r="D4000" t="str">
        <f t="shared" si="71"/>
        <v>TUR</v>
      </c>
    </row>
    <row r="4001" spans="1:4" ht="49.2" thickTop="1" thickBot="1">
      <c r="A4001" s="7"/>
      <c r="B4001" s="7" t="s">
        <v>26</v>
      </c>
      <c r="C4001" s="7" t="s">
        <v>1501</v>
      </c>
      <c r="D4001" t="str">
        <f t="shared" si="71"/>
        <v>TUR</v>
      </c>
    </row>
    <row r="4002" spans="1:4" ht="20.399999999999999" thickTop="1" thickBot="1">
      <c r="A4002" s="7"/>
      <c r="B4002" s="7" t="s">
        <v>28</v>
      </c>
      <c r="C4002" s="7" t="s">
        <v>1502</v>
      </c>
      <c r="D4002" t="str">
        <f t="shared" si="71"/>
        <v>TUR</v>
      </c>
    </row>
    <row r="4003" spans="1:4" ht="20.399999999999999" thickTop="1" thickBot="1">
      <c r="A4003" s="7"/>
      <c r="B4003" s="7" t="s">
        <v>30</v>
      </c>
      <c r="C4003" s="7" t="s">
        <v>1502</v>
      </c>
      <c r="D4003" t="str">
        <f t="shared" si="71"/>
        <v>TUR</v>
      </c>
    </row>
    <row r="4004" spans="1:4" ht="20.399999999999999" thickTop="1" thickBot="1">
      <c r="A4004" s="7"/>
      <c r="B4004" s="7" t="s">
        <v>32</v>
      </c>
      <c r="C4004" s="7" t="s">
        <v>33</v>
      </c>
      <c r="D4004" t="str">
        <f t="shared" si="71"/>
        <v>TUR</v>
      </c>
    </row>
    <row r="4005" spans="1:4" ht="49.2" thickTop="1" thickBot="1">
      <c r="A4005" s="7"/>
      <c r="B4005" s="7" t="s">
        <v>9</v>
      </c>
      <c r="C4005" s="7">
        <v>2017</v>
      </c>
      <c r="D4005" t="str">
        <f t="shared" si="71"/>
        <v>TUR</v>
      </c>
    </row>
    <row r="4006" spans="1:4" ht="39.6" thickTop="1" thickBot="1">
      <c r="A4006" s="7"/>
      <c r="B4006" s="7" t="s">
        <v>10</v>
      </c>
      <c r="C4006" s="7">
        <v>2018</v>
      </c>
      <c r="D4006" t="str">
        <f t="shared" si="71"/>
        <v>TUR</v>
      </c>
    </row>
    <row r="4007" spans="1:4" ht="20.399999999999999" thickTop="1" thickBot="1">
      <c r="A4007" s="7"/>
      <c r="B4007" s="7" t="s">
        <v>1</v>
      </c>
      <c r="C4007" s="7" t="s">
        <v>35</v>
      </c>
      <c r="D4007" t="str">
        <f t="shared" si="71"/>
        <v>TUR</v>
      </c>
    </row>
    <row r="4008" spans="1:4" ht="30" thickTop="1" thickBot="1">
      <c r="A4008" s="7"/>
      <c r="B4008" s="7" t="s">
        <v>3</v>
      </c>
      <c r="C4008" s="7" t="s">
        <v>36</v>
      </c>
      <c r="D4008" t="str">
        <f t="shared" si="71"/>
        <v>TUR</v>
      </c>
    </row>
    <row r="4009" spans="1:4" ht="20.399999999999999" thickTop="1" thickBot="1">
      <c r="A4009" s="7"/>
      <c r="B4009" s="7" t="s">
        <v>5</v>
      </c>
      <c r="C4009" s="7" t="s">
        <v>37</v>
      </c>
      <c r="D4009" t="str">
        <f t="shared" si="71"/>
        <v>TUR</v>
      </c>
    </row>
    <row r="4010" spans="1:4" ht="30" thickTop="1" thickBot="1">
      <c r="A4010" s="7"/>
      <c r="B4010" s="7" t="s">
        <v>7</v>
      </c>
      <c r="C4010" s="7" t="s">
        <v>38</v>
      </c>
      <c r="D4010" t="str">
        <f t="shared" si="71"/>
        <v>TUR</v>
      </c>
    </row>
    <row r="4011" spans="1:4" ht="15.6" thickTop="1" thickBot="1">
      <c r="A4011" s="7"/>
      <c r="B4011" s="7" t="s">
        <v>11</v>
      </c>
      <c r="C4011" s="7" t="s">
        <v>1503</v>
      </c>
      <c r="D4011" t="str">
        <f t="shared" si="71"/>
        <v>TUR</v>
      </c>
    </row>
    <row r="4012" spans="1:4" ht="15.6" thickTop="1" thickBot="1">
      <c r="A4012" s="7"/>
      <c r="B4012" s="7" t="s">
        <v>13</v>
      </c>
      <c r="C4012" s="7" t="s">
        <v>1504</v>
      </c>
      <c r="D4012" t="str">
        <f t="shared" si="71"/>
        <v>TUR</v>
      </c>
    </row>
    <row r="4013" spans="1:4" ht="15.6" thickTop="1" thickBot="1">
      <c r="A4013" s="7"/>
      <c r="B4013" s="7" t="s">
        <v>15</v>
      </c>
      <c r="C4013" s="7" t="s">
        <v>1505</v>
      </c>
      <c r="D4013" t="str">
        <f t="shared" si="71"/>
        <v>TUR</v>
      </c>
    </row>
    <row r="4014" spans="1:4" ht="15.6" thickTop="1" thickBot="1">
      <c r="A4014" s="7"/>
      <c r="B4014" s="7" t="s">
        <v>16</v>
      </c>
      <c r="C4014" s="7" t="s">
        <v>1503</v>
      </c>
      <c r="D4014" t="str">
        <f t="shared" si="71"/>
        <v>TUR</v>
      </c>
    </row>
    <row r="4015" spans="1:4" ht="15.6" thickTop="1" thickBot="1">
      <c r="A4015" s="7"/>
      <c r="B4015" s="7" t="s">
        <v>17</v>
      </c>
      <c r="C4015" s="7" t="s">
        <v>1505</v>
      </c>
      <c r="D4015" t="str">
        <f t="shared" si="71"/>
        <v>TUR</v>
      </c>
    </row>
    <row r="4016" spans="1:4" ht="15.6" thickTop="1" thickBot="1">
      <c r="A4016" s="7"/>
      <c r="B4016" s="7" t="s">
        <v>18</v>
      </c>
      <c r="C4016" s="7" t="s">
        <v>1505</v>
      </c>
      <c r="D4016" t="str">
        <f t="shared" si="71"/>
        <v>TUR</v>
      </c>
    </row>
    <row r="4017" spans="1:4" ht="15.6" thickTop="1" thickBot="1">
      <c r="A4017" s="7"/>
      <c r="B4017" s="7" t="s">
        <v>19</v>
      </c>
      <c r="C4017" s="7" t="s">
        <v>1506</v>
      </c>
      <c r="D4017" t="str">
        <f t="shared" si="71"/>
        <v>TUR</v>
      </c>
    </row>
    <row r="4018" spans="1:4" ht="15.6" thickTop="1" thickBot="1">
      <c r="A4018" s="7"/>
      <c r="B4018" s="7" t="s">
        <v>21</v>
      </c>
      <c r="C4018" s="7" t="s">
        <v>1505</v>
      </c>
      <c r="D4018" t="str">
        <f t="shared" si="71"/>
        <v>TUR</v>
      </c>
    </row>
    <row r="4019" spans="1:4" ht="15.6" thickTop="1" thickBot="1">
      <c r="A4019" s="7"/>
      <c r="B4019" s="7" t="s">
        <v>22</v>
      </c>
      <c r="C4019" s="7" t="s">
        <v>1504</v>
      </c>
      <c r="D4019" t="str">
        <f t="shared" si="71"/>
        <v>TUR</v>
      </c>
    </row>
    <row r="4020" spans="1:4" ht="15.6" thickTop="1" thickBot="1">
      <c r="A4020" s="7"/>
      <c r="B4020" s="7" t="s">
        <v>23</v>
      </c>
      <c r="C4020" s="7" t="s">
        <v>1505</v>
      </c>
      <c r="D4020" t="str">
        <f t="shared" si="71"/>
        <v>TUR</v>
      </c>
    </row>
    <row r="4021" spans="1:4" ht="15.6" thickTop="1" thickBot="1">
      <c r="A4021" s="7"/>
      <c r="B4021" s="7" t="s">
        <v>24</v>
      </c>
      <c r="C4021" s="7">
        <v>3400</v>
      </c>
      <c r="D4021" t="str">
        <f t="shared" si="71"/>
        <v>TUR</v>
      </c>
    </row>
    <row r="4022" spans="1:4" ht="30" thickTop="1" thickBot="1">
      <c r="A4022" s="9" t="s">
        <v>1507</v>
      </c>
      <c r="B4022" s="10"/>
      <c r="C4022" s="11"/>
      <c r="D4022" t="str">
        <f t="shared" si="71"/>
        <v>TKM</v>
      </c>
    </row>
    <row r="4023" spans="1:4" ht="30" thickTop="1" thickBot="1">
      <c r="A4023" s="7"/>
      <c r="B4023" s="7" t="s">
        <v>25</v>
      </c>
      <c r="C4023" s="8">
        <v>469930</v>
      </c>
      <c r="D4023" t="str">
        <f t="shared" si="71"/>
        <v>TKM</v>
      </c>
    </row>
    <row r="4024" spans="1:4" ht="39.6" thickTop="1" thickBot="1">
      <c r="A4024" s="7"/>
      <c r="B4024" s="7" t="s">
        <v>26</v>
      </c>
      <c r="C4024" s="7" t="s">
        <v>1508</v>
      </c>
      <c r="D4024" t="str">
        <f t="shared" si="71"/>
        <v>TKM</v>
      </c>
    </row>
    <row r="4025" spans="1:4" ht="20.399999999999999" thickTop="1" thickBot="1">
      <c r="A4025" s="7"/>
      <c r="B4025" s="7" t="s">
        <v>28</v>
      </c>
      <c r="C4025" s="7" t="s">
        <v>1509</v>
      </c>
      <c r="D4025" t="str">
        <f t="shared" si="71"/>
        <v>TKM</v>
      </c>
    </row>
    <row r="4026" spans="1:4" ht="20.399999999999999" thickTop="1" thickBot="1">
      <c r="A4026" s="7"/>
      <c r="B4026" s="7" t="s">
        <v>30</v>
      </c>
      <c r="C4026" s="7" t="s">
        <v>1510</v>
      </c>
      <c r="D4026" t="str">
        <f t="shared" si="71"/>
        <v>TKM</v>
      </c>
    </row>
    <row r="4027" spans="1:4" ht="20.399999999999999" thickTop="1" thickBot="1">
      <c r="A4027" s="7"/>
      <c r="B4027" s="7" t="s">
        <v>32</v>
      </c>
      <c r="C4027" s="7" t="s">
        <v>33</v>
      </c>
      <c r="D4027" t="str">
        <f t="shared" si="71"/>
        <v>TKM</v>
      </c>
    </row>
    <row r="4028" spans="1:4" ht="49.2" thickTop="1" thickBot="1">
      <c r="A4028" s="7"/>
      <c r="B4028" s="7" t="s">
        <v>9</v>
      </c>
      <c r="C4028" s="7">
        <v>2017</v>
      </c>
      <c r="D4028" t="str">
        <f t="shared" si="71"/>
        <v>TKM</v>
      </c>
    </row>
    <row r="4029" spans="1:4" ht="39.6" thickTop="1" thickBot="1">
      <c r="A4029" s="7"/>
      <c r="B4029" s="7" t="s">
        <v>10</v>
      </c>
      <c r="C4029" s="7">
        <v>2018</v>
      </c>
      <c r="D4029" t="str">
        <f t="shared" si="71"/>
        <v>TKM</v>
      </c>
    </row>
    <row r="4030" spans="1:4" ht="20.399999999999999" thickTop="1" thickBot="1">
      <c r="A4030" s="7"/>
      <c r="B4030" s="7" t="s">
        <v>1</v>
      </c>
      <c r="C4030" s="7" t="s">
        <v>35</v>
      </c>
      <c r="D4030" t="str">
        <f t="shared" si="71"/>
        <v>TKM</v>
      </c>
    </row>
    <row r="4031" spans="1:4" ht="30" thickTop="1" thickBot="1">
      <c r="A4031" s="7"/>
      <c r="B4031" s="7" t="s">
        <v>3</v>
      </c>
      <c r="C4031" s="7" t="s">
        <v>36</v>
      </c>
      <c r="D4031" t="str">
        <f t="shared" si="71"/>
        <v>TKM</v>
      </c>
    </row>
    <row r="4032" spans="1:4" ht="20.399999999999999" thickTop="1" thickBot="1">
      <c r="A4032" s="7"/>
      <c r="B4032" s="7" t="s">
        <v>5</v>
      </c>
      <c r="C4032" s="7" t="s">
        <v>37</v>
      </c>
      <c r="D4032" t="str">
        <f t="shared" si="71"/>
        <v>TKM</v>
      </c>
    </row>
    <row r="4033" spans="1:4" ht="30" thickTop="1" thickBot="1">
      <c r="A4033" s="7"/>
      <c r="B4033" s="7" t="s">
        <v>7</v>
      </c>
      <c r="C4033" s="7" t="s">
        <v>38</v>
      </c>
      <c r="D4033" t="str">
        <f t="shared" si="71"/>
        <v>TKM</v>
      </c>
    </row>
    <row r="4034" spans="1:4" ht="15.6" thickTop="1" thickBot="1">
      <c r="A4034" s="7"/>
      <c r="B4034" s="7" t="s">
        <v>11</v>
      </c>
      <c r="C4034" s="7" t="s">
        <v>1467</v>
      </c>
      <c r="D4034" t="str">
        <f t="shared" ref="D4034:D4097" si="72">IF(ISNUMBER(FIND(":", A4034)), LEFT(A4034, FIND(":", A4034) - 1), D4033)</f>
        <v>TKM</v>
      </c>
    </row>
    <row r="4035" spans="1:4" ht="15.6" thickTop="1" thickBot="1">
      <c r="A4035" s="7"/>
      <c r="B4035" s="7" t="s">
        <v>13</v>
      </c>
      <c r="C4035" s="7" t="s">
        <v>1511</v>
      </c>
      <c r="D4035" t="str">
        <f t="shared" si="72"/>
        <v>TKM</v>
      </c>
    </row>
    <row r="4036" spans="1:4" ht="15.6" thickTop="1" thickBot="1">
      <c r="A4036" s="7"/>
      <c r="B4036" s="7" t="s">
        <v>15</v>
      </c>
      <c r="C4036" s="7" t="s">
        <v>1512</v>
      </c>
      <c r="D4036" t="str">
        <f t="shared" si="72"/>
        <v>TKM</v>
      </c>
    </row>
    <row r="4037" spans="1:4" ht="15.6" thickTop="1" thickBot="1">
      <c r="A4037" s="7"/>
      <c r="B4037" s="7" t="s">
        <v>16</v>
      </c>
      <c r="C4037" s="7" t="s">
        <v>1467</v>
      </c>
      <c r="D4037" t="str">
        <f t="shared" si="72"/>
        <v>TKM</v>
      </c>
    </row>
    <row r="4038" spans="1:4" ht="15.6" thickTop="1" thickBot="1">
      <c r="A4038" s="7"/>
      <c r="B4038" s="7" t="s">
        <v>17</v>
      </c>
      <c r="C4038" s="7" t="s">
        <v>1512</v>
      </c>
      <c r="D4038" t="str">
        <f t="shared" si="72"/>
        <v>TKM</v>
      </c>
    </row>
    <row r="4039" spans="1:4" ht="15.6" thickTop="1" thickBot="1">
      <c r="A4039" s="7"/>
      <c r="B4039" s="7" t="s">
        <v>18</v>
      </c>
      <c r="C4039" s="7" t="s">
        <v>1512</v>
      </c>
      <c r="D4039" t="str">
        <f t="shared" si="72"/>
        <v>TKM</v>
      </c>
    </row>
    <row r="4040" spans="1:4" ht="15.6" thickTop="1" thickBot="1">
      <c r="A4040" s="7"/>
      <c r="B4040" s="7" t="s">
        <v>19</v>
      </c>
      <c r="C4040" s="7" t="s">
        <v>1513</v>
      </c>
      <c r="D4040" t="str">
        <f t="shared" si="72"/>
        <v>TKM</v>
      </c>
    </row>
    <row r="4041" spans="1:4" ht="15.6" thickTop="1" thickBot="1">
      <c r="A4041" s="7"/>
      <c r="B4041" s="7" t="s">
        <v>21</v>
      </c>
      <c r="C4041" s="7" t="s">
        <v>1512</v>
      </c>
      <c r="D4041" t="str">
        <f t="shared" si="72"/>
        <v>TKM</v>
      </c>
    </row>
    <row r="4042" spans="1:4" ht="15.6" thickTop="1" thickBot="1">
      <c r="A4042" s="7"/>
      <c r="B4042" s="7" t="s">
        <v>22</v>
      </c>
      <c r="C4042" s="7" t="s">
        <v>1503</v>
      </c>
      <c r="D4042" t="str">
        <f t="shared" si="72"/>
        <v>TKM</v>
      </c>
    </row>
    <row r="4043" spans="1:4" ht="15.6" thickTop="1" thickBot="1">
      <c r="A4043" s="7"/>
      <c r="B4043" s="7" t="s">
        <v>23</v>
      </c>
      <c r="C4043" s="7" t="s">
        <v>1512</v>
      </c>
      <c r="D4043" t="str">
        <f t="shared" si="72"/>
        <v>TKM</v>
      </c>
    </row>
    <row r="4044" spans="1:4" ht="15.6" thickTop="1" thickBot="1">
      <c r="A4044" s="7"/>
      <c r="B4044" s="7" t="s">
        <v>24</v>
      </c>
      <c r="C4044" s="7">
        <v>4302</v>
      </c>
      <c r="D4044" t="str">
        <f t="shared" si="72"/>
        <v>TKM</v>
      </c>
    </row>
    <row r="4045" spans="1:4" ht="15.6" thickTop="1" thickBot="1">
      <c r="A4045" s="9" t="s">
        <v>1514</v>
      </c>
      <c r="B4045" s="10"/>
      <c r="C4045" s="11"/>
      <c r="D4045" t="str">
        <f t="shared" si="72"/>
        <v>TUV</v>
      </c>
    </row>
    <row r="4046" spans="1:4" ht="30" thickTop="1" thickBot="1">
      <c r="A4046" s="7"/>
      <c r="B4046" s="7" t="s">
        <v>25</v>
      </c>
      <c r="C4046" s="7">
        <v>30</v>
      </c>
      <c r="D4046" t="str">
        <f t="shared" si="72"/>
        <v>TUV</v>
      </c>
    </row>
    <row r="4047" spans="1:4" ht="39.6" thickTop="1" thickBot="1">
      <c r="A4047" s="7"/>
      <c r="B4047" s="7" t="s">
        <v>26</v>
      </c>
      <c r="C4047" s="7" t="s">
        <v>1515</v>
      </c>
      <c r="D4047" t="str">
        <f t="shared" si="72"/>
        <v>TUV</v>
      </c>
    </row>
    <row r="4048" spans="1:4" ht="20.399999999999999" thickTop="1" thickBot="1">
      <c r="A4048" s="7"/>
      <c r="B4048" s="7" t="s">
        <v>28</v>
      </c>
      <c r="C4048" s="7" t="s">
        <v>1516</v>
      </c>
      <c r="D4048" t="str">
        <f t="shared" si="72"/>
        <v>TUV</v>
      </c>
    </row>
    <row r="4049" spans="1:4" ht="20.399999999999999" thickTop="1" thickBot="1">
      <c r="A4049" s="7"/>
      <c r="B4049" s="7" t="s">
        <v>30</v>
      </c>
      <c r="C4049" s="7" t="s">
        <v>1516</v>
      </c>
      <c r="D4049" t="str">
        <f t="shared" si="72"/>
        <v>TUV</v>
      </c>
    </row>
    <row r="4050" spans="1:4" ht="20.399999999999999" thickTop="1" thickBot="1">
      <c r="A4050" s="7"/>
      <c r="B4050" s="7" t="s">
        <v>32</v>
      </c>
      <c r="C4050" s="7" t="s">
        <v>33</v>
      </c>
      <c r="D4050" t="str">
        <f t="shared" si="72"/>
        <v>TUV</v>
      </c>
    </row>
    <row r="4051" spans="1:4" ht="49.2" thickTop="1" thickBot="1">
      <c r="A4051" s="7"/>
      <c r="B4051" s="7" t="s">
        <v>9</v>
      </c>
      <c r="C4051" s="7">
        <v>2017</v>
      </c>
      <c r="D4051" t="str">
        <f t="shared" si="72"/>
        <v>TUV</v>
      </c>
    </row>
    <row r="4052" spans="1:4" ht="39.6" thickTop="1" thickBot="1">
      <c r="A4052" s="7"/>
      <c r="B4052" s="7" t="s">
        <v>10</v>
      </c>
      <c r="C4052" s="7">
        <v>2018</v>
      </c>
      <c r="D4052" t="str">
        <f t="shared" si="72"/>
        <v>TUV</v>
      </c>
    </row>
    <row r="4053" spans="1:4" ht="20.399999999999999" thickTop="1" thickBot="1">
      <c r="A4053" s="7"/>
      <c r="B4053" s="7" t="s">
        <v>1</v>
      </c>
      <c r="C4053" s="7" t="s">
        <v>107</v>
      </c>
      <c r="D4053" t="str">
        <f t="shared" si="72"/>
        <v>TUV</v>
      </c>
    </row>
    <row r="4054" spans="1:4" ht="30" thickTop="1" thickBot="1">
      <c r="A4054" s="7"/>
      <c r="B4054" s="7" t="s">
        <v>3</v>
      </c>
      <c r="C4054" s="7" t="s">
        <v>36</v>
      </c>
      <c r="D4054" t="str">
        <f t="shared" si="72"/>
        <v>TUV</v>
      </c>
    </row>
    <row r="4055" spans="1:4" ht="20.399999999999999" thickTop="1" thickBot="1">
      <c r="A4055" s="7"/>
      <c r="B4055" s="7" t="s">
        <v>5</v>
      </c>
      <c r="C4055" s="7" t="s">
        <v>108</v>
      </c>
      <c r="D4055" t="str">
        <f t="shared" si="72"/>
        <v>TUV</v>
      </c>
    </row>
    <row r="4056" spans="1:4" ht="30" thickTop="1" thickBot="1">
      <c r="A4056" s="7"/>
      <c r="B4056" s="7" t="s">
        <v>7</v>
      </c>
      <c r="C4056" s="7" t="s">
        <v>38</v>
      </c>
      <c r="D4056" t="str">
        <f t="shared" si="72"/>
        <v>TUV</v>
      </c>
    </row>
    <row r="4057" spans="1:4" ht="15.6" thickTop="1" thickBot="1">
      <c r="A4057" s="7"/>
      <c r="B4057" s="7" t="s">
        <v>13</v>
      </c>
      <c r="C4057" s="7" t="s">
        <v>1517</v>
      </c>
      <c r="D4057" t="str">
        <f t="shared" si="72"/>
        <v>TUV</v>
      </c>
    </row>
    <row r="4058" spans="1:4" ht="15.6" thickTop="1" thickBot="1">
      <c r="A4058" s="7"/>
      <c r="B4058" s="7" t="s">
        <v>15</v>
      </c>
      <c r="C4058" s="7" t="s">
        <v>1518</v>
      </c>
      <c r="D4058" t="str">
        <f t="shared" si="72"/>
        <v>TUV</v>
      </c>
    </row>
    <row r="4059" spans="1:4" ht="15.6" thickTop="1" thickBot="1">
      <c r="A4059" s="7"/>
      <c r="B4059" s="7" t="s">
        <v>16</v>
      </c>
      <c r="C4059" s="7" t="s">
        <v>1517</v>
      </c>
      <c r="D4059" t="str">
        <f t="shared" si="72"/>
        <v>TUV</v>
      </c>
    </row>
    <row r="4060" spans="1:4" ht="15.6" thickTop="1" thickBot="1">
      <c r="A4060" s="7"/>
      <c r="B4060" s="7" t="s">
        <v>17</v>
      </c>
      <c r="C4060" s="7" t="s">
        <v>1518</v>
      </c>
      <c r="D4060" t="str">
        <f t="shared" si="72"/>
        <v>TUV</v>
      </c>
    </row>
    <row r="4061" spans="1:4" ht="15.6" thickTop="1" thickBot="1">
      <c r="A4061" s="7"/>
      <c r="B4061" s="7" t="s">
        <v>18</v>
      </c>
      <c r="C4061" s="7" t="s">
        <v>1518</v>
      </c>
      <c r="D4061" t="str">
        <f t="shared" si="72"/>
        <v>TUV</v>
      </c>
    </row>
    <row r="4062" spans="1:4" ht="15.6" thickTop="1" thickBot="1">
      <c r="A4062" s="7"/>
      <c r="B4062" s="7" t="s">
        <v>19</v>
      </c>
      <c r="C4062" s="7" t="s">
        <v>1519</v>
      </c>
      <c r="D4062" t="str">
        <f t="shared" si="72"/>
        <v>TUV</v>
      </c>
    </row>
    <row r="4063" spans="1:4" ht="15.6" thickTop="1" thickBot="1">
      <c r="A4063" s="7"/>
      <c r="B4063" s="7" t="s">
        <v>21</v>
      </c>
      <c r="C4063" s="7" t="s">
        <v>1518</v>
      </c>
      <c r="D4063" t="str">
        <f t="shared" si="72"/>
        <v>TUV</v>
      </c>
    </row>
    <row r="4064" spans="1:4" ht="15.6" thickTop="1" thickBot="1">
      <c r="A4064" s="7"/>
      <c r="B4064" s="7" t="s">
        <v>22</v>
      </c>
      <c r="C4064" s="7" t="s">
        <v>1517</v>
      </c>
      <c r="D4064" t="str">
        <f t="shared" si="72"/>
        <v>TUV</v>
      </c>
    </row>
    <row r="4065" spans="1:4" ht="15.6" thickTop="1" thickBot="1">
      <c r="A4065" s="7"/>
      <c r="B4065" s="7" t="s">
        <v>23</v>
      </c>
      <c r="C4065" s="7" t="s">
        <v>1518</v>
      </c>
      <c r="D4065" t="str">
        <f t="shared" si="72"/>
        <v>TUV</v>
      </c>
    </row>
    <row r="4066" spans="1:4" ht="15.6" thickTop="1" thickBot="1">
      <c r="A4066" s="7"/>
      <c r="B4066" s="7" t="s">
        <v>24</v>
      </c>
      <c r="C4066" s="7">
        <v>5205</v>
      </c>
      <c r="D4066" t="str">
        <f t="shared" si="72"/>
        <v>TUV</v>
      </c>
    </row>
    <row r="4067" spans="1:4" ht="15.6" thickTop="1" thickBot="1">
      <c r="A4067" s="9" t="s">
        <v>1520</v>
      </c>
      <c r="B4067" s="10"/>
      <c r="C4067" s="11"/>
      <c r="D4067" t="str">
        <f t="shared" si="72"/>
        <v>UGA</v>
      </c>
    </row>
    <row r="4068" spans="1:4" ht="30" thickTop="1" thickBot="1">
      <c r="A4068" s="7"/>
      <c r="B4068" s="7" t="s">
        <v>25</v>
      </c>
      <c r="C4068" s="8">
        <v>199810</v>
      </c>
      <c r="D4068" t="str">
        <f t="shared" si="72"/>
        <v>UGA</v>
      </c>
    </row>
    <row r="4069" spans="1:4" ht="78" thickTop="1" thickBot="1">
      <c r="A4069" s="7"/>
      <c r="B4069" s="7" t="s">
        <v>26</v>
      </c>
      <c r="C4069" s="7" t="s">
        <v>1521</v>
      </c>
      <c r="D4069" t="str">
        <f t="shared" si="72"/>
        <v>UGA</v>
      </c>
    </row>
    <row r="4070" spans="1:4" ht="20.399999999999999" thickTop="1" thickBot="1">
      <c r="A4070" s="7"/>
      <c r="B4070" s="7" t="s">
        <v>28</v>
      </c>
      <c r="C4070" s="7" t="s">
        <v>1522</v>
      </c>
      <c r="D4070" t="str">
        <f t="shared" si="72"/>
        <v>UGA</v>
      </c>
    </row>
    <row r="4071" spans="1:4" ht="20.399999999999999" thickTop="1" thickBot="1">
      <c r="A4071" s="7"/>
      <c r="B4071" s="7" t="s">
        <v>30</v>
      </c>
      <c r="C4071" s="7" t="s">
        <v>1523</v>
      </c>
      <c r="D4071" t="str">
        <f t="shared" si="72"/>
        <v>UGA</v>
      </c>
    </row>
    <row r="4072" spans="1:4" ht="20.399999999999999" thickTop="1" thickBot="1">
      <c r="A4072" s="7"/>
      <c r="B4072" s="7" t="s">
        <v>32</v>
      </c>
      <c r="C4072" s="7" t="s">
        <v>33</v>
      </c>
      <c r="D4072" t="str">
        <f t="shared" si="72"/>
        <v>UGA</v>
      </c>
    </row>
    <row r="4073" spans="1:4" ht="49.2" thickTop="1" thickBot="1">
      <c r="A4073" s="7"/>
      <c r="B4073" s="7" t="s">
        <v>9</v>
      </c>
      <c r="C4073" s="7">
        <v>2017</v>
      </c>
      <c r="D4073" t="str">
        <f t="shared" si="72"/>
        <v>UGA</v>
      </c>
    </row>
    <row r="4074" spans="1:4" ht="39.6" thickTop="1" thickBot="1">
      <c r="A4074" s="7"/>
      <c r="B4074" s="7" t="s">
        <v>10</v>
      </c>
      <c r="C4074" s="7">
        <v>2018</v>
      </c>
      <c r="D4074" t="str">
        <f t="shared" si="72"/>
        <v>UGA</v>
      </c>
    </row>
    <row r="4075" spans="1:4" ht="20.399999999999999" thickTop="1" thickBot="1">
      <c r="A4075" s="7"/>
      <c r="B4075" s="7" t="s">
        <v>1</v>
      </c>
      <c r="C4075" s="7" t="s">
        <v>50</v>
      </c>
      <c r="D4075" t="str">
        <f t="shared" si="72"/>
        <v>UGA</v>
      </c>
    </row>
    <row r="4076" spans="1:4" ht="30" thickTop="1" thickBot="1">
      <c r="A4076" s="7"/>
      <c r="B4076" s="7" t="s">
        <v>3</v>
      </c>
      <c r="C4076" s="7" t="s">
        <v>4</v>
      </c>
      <c r="D4076" t="str">
        <f t="shared" si="72"/>
        <v>UGA</v>
      </c>
    </row>
    <row r="4077" spans="1:4" ht="20.399999999999999" thickTop="1" thickBot="1">
      <c r="A4077" s="7"/>
      <c r="B4077" s="7" t="s">
        <v>5</v>
      </c>
      <c r="C4077" s="7" t="s">
        <v>51</v>
      </c>
      <c r="D4077" t="str">
        <f t="shared" si="72"/>
        <v>UGA</v>
      </c>
    </row>
    <row r="4078" spans="1:4" ht="30" thickTop="1" thickBot="1">
      <c r="A4078" s="7"/>
      <c r="B4078" s="7" t="s">
        <v>7</v>
      </c>
      <c r="C4078" s="7" t="s">
        <v>8</v>
      </c>
      <c r="D4078" t="str">
        <f t="shared" si="72"/>
        <v>UGA</v>
      </c>
    </row>
    <row r="4079" spans="1:4" ht="15.6" thickTop="1" thickBot="1">
      <c r="A4079" s="7"/>
      <c r="B4079" s="7" t="s">
        <v>11</v>
      </c>
      <c r="C4079" s="7" t="s">
        <v>1524</v>
      </c>
      <c r="D4079" t="str">
        <f t="shared" si="72"/>
        <v>UGA</v>
      </c>
    </row>
    <row r="4080" spans="1:4" ht="15.6" thickTop="1" thickBot="1">
      <c r="A4080" s="7"/>
      <c r="B4080" s="7" t="s">
        <v>13</v>
      </c>
      <c r="C4080" s="7" t="s">
        <v>1525</v>
      </c>
      <c r="D4080" t="str">
        <f t="shared" si="72"/>
        <v>UGA</v>
      </c>
    </row>
    <row r="4081" spans="1:4" ht="15.6" thickTop="1" thickBot="1">
      <c r="A4081" s="7"/>
      <c r="B4081" s="7" t="s">
        <v>15</v>
      </c>
      <c r="C4081" s="7" t="s">
        <v>1526</v>
      </c>
      <c r="D4081" t="str">
        <f t="shared" si="72"/>
        <v>UGA</v>
      </c>
    </row>
    <row r="4082" spans="1:4" ht="15.6" thickTop="1" thickBot="1">
      <c r="A4082" s="7"/>
      <c r="B4082" s="7" t="s">
        <v>16</v>
      </c>
      <c r="C4082" s="7" t="s">
        <v>1525</v>
      </c>
      <c r="D4082" t="str">
        <f t="shared" si="72"/>
        <v>UGA</v>
      </c>
    </row>
    <row r="4083" spans="1:4" ht="15.6" thickTop="1" thickBot="1">
      <c r="A4083" s="7"/>
      <c r="B4083" s="7" t="s">
        <v>17</v>
      </c>
      <c r="C4083" s="7" t="s">
        <v>1526</v>
      </c>
      <c r="D4083" t="str">
        <f t="shared" si="72"/>
        <v>UGA</v>
      </c>
    </row>
    <row r="4084" spans="1:4" ht="15.6" thickTop="1" thickBot="1">
      <c r="A4084" s="7"/>
      <c r="B4084" s="7" t="s">
        <v>18</v>
      </c>
      <c r="C4084" s="7" t="s">
        <v>1526</v>
      </c>
      <c r="D4084" t="str">
        <f t="shared" si="72"/>
        <v>UGA</v>
      </c>
    </row>
    <row r="4085" spans="1:4" ht="15.6" thickTop="1" thickBot="1">
      <c r="A4085" s="7"/>
      <c r="B4085" s="7" t="s">
        <v>19</v>
      </c>
      <c r="C4085" s="7" t="s">
        <v>1527</v>
      </c>
      <c r="D4085" t="str">
        <f t="shared" si="72"/>
        <v>UGA</v>
      </c>
    </row>
    <row r="4086" spans="1:4" ht="15.6" thickTop="1" thickBot="1">
      <c r="A4086" s="7"/>
      <c r="B4086" s="7" t="s">
        <v>21</v>
      </c>
      <c r="C4086" s="7" t="s">
        <v>1526</v>
      </c>
      <c r="D4086" t="str">
        <f t="shared" si="72"/>
        <v>UGA</v>
      </c>
    </row>
    <row r="4087" spans="1:4" ht="15.6" thickTop="1" thickBot="1">
      <c r="A4087" s="7"/>
      <c r="B4087" s="7" t="s">
        <v>22</v>
      </c>
      <c r="C4087" s="7" t="s">
        <v>1525</v>
      </c>
      <c r="D4087" t="str">
        <f t="shared" si="72"/>
        <v>UGA</v>
      </c>
    </row>
    <row r="4088" spans="1:4" ht="15.6" thickTop="1" thickBot="1">
      <c r="A4088" s="7"/>
      <c r="B4088" s="7" t="s">
        <v>23</v>
      </c>
      <c r="C4088" s="7" t="s">
        <v>1526</v>
      </c>
      <c r="D4088" t="str">
        <f t="shared" si="72"/>
        <v>UGA</v>
      </c>
    </row>
    <row r="4089" spans="1:4" ht="15.6" thickTop="1" thickBot="1">
      <c r="A4089" s="7"/>
      <c r="B4089" s="7" t="s">
        <v>24</v>
      </c>
      <c r="C4089" s="7">
        <v>1530</v>
      </c>
      <c r="D4089" t="str">
        <f t="shared" si="72"/>
        <v>UGA</v>
      </c>
    </row>
    <row r="4090" spans="1:4" ht="20.399999999999999" thickTop="1" thickBot="1">
      <c r="A4090" s="9" t="s">
        <v>1528</v>
      </c>
      <c r="B4090" s="10"/>
      <c r="C4090" s="11"/>
      <c r="D4090" t="str">
        <f t="shared" si="72"/>
        <v>UKR</v>
      </c>
    </row>
    <row r="4091" spans="1:4" ht="30" thickTop="1" thickBot="1">
      <c r="A4091" s="7"/>
      <c r="B4091" s="7" t="s">
        <v>25</v>
      </c>
      <c r="C4091" s="8">
        <v>579320</v>
      </c>
      <c r="D4091" t="str">
        <f t="shared" si="72"/>
        <v>UKR</v>
      </c>
    </row>
    <row r="4092" spans="1:4" ht="30" thickTop="1" thickBot="1">
      <c r="A4092" s="7"/>
      <c r="B4092" s="7" t="s">
        <v>26</v>
      </c>
      <c r="C4092" s="7" t="s">
        <v>1529</v>
      </c>
      <c r="D4092" t="str">
        <f t="shared" si="72"/>
        <v>UKR</v>
      </c>
    </row>
    <row r="4093" spans="1:4" ht="20.399999999999999" thickTop="1" thickBot="1">
      <c r="A4093" s="7"/>
      <c r="B4093" s="7" t="s">
        <v>28</v>
      </c>
      <c r="C4093" s="7" t="s">
        <v>1530</v>
      </c>
      <c r="D4093" t="str">
        <f t="shared" si="72"/>
        <v>UKR</v>
      </c>
    </row>
    <row r="4094" spans="1:4" ht="20.399999999999999" thickTop="1" thickBot="1">
      <c r="A4094" s="7"/>
      <c r="B4094" s="7" t="s">
        <v>30</v>
      </c>
      <c r="C4094" s="7" t="s">
        <v>1531</v>
      </c>
      <c r="D4094" t="str">
        <f t="shared" si="72"/>
        <v>UKR</v>
      </c>
    </row>
    <row r="4095" spans="1:4" ht="20.399999999999999" thickTop="1" thickBot="1">
      <c r="A4095" s="7"/>
      <c r="B4095" s="7" t="s">
        <v>32</v>
      </c>
      <c r="C4095" s="7" t="s">
        <v>33</v>
      </c>
      <c r="D4095" t="str">
        <f t="shared" si="72"/>
        <v>UKR</v>
      </c>
    </row>
    <row r="4096" spans="1:4" ht="49.2" thickTop="1" thickBot="1">
      <c r="A4096" s="7"/>
      <c r="B4096" s="7" t="s">
        <v>9</v>
      </c>
      <c r="C4096" s="7">
        <v>2017</v>
      </c>
      <c r="D4096" t="str">
        <f t="shared" si="72"/>
        <v>UKR</v>
      </c>
    </row>
    <row r="4097" spans="1:4" ht="39.6" thickTop="1" thickBot="1">
      <c r="A4097" s="7"/>
      <c r="B4097" s="7" t="s">
        <v>10</v>
      </c>
      <c r="C4097" s="7">
        <v>2018</v>
      </c>
      <c r="D4097" t="str">
        <f t="shared" si="72"/>
        <v>UKR</v>
      </c>
    </row>
    <row r="4098" spans="1:4" ht="20.399999999999999" thickTop="1" thickBot="1">
      <c r="A4098" s="7"/>
      <c r="B4098" s="7" t="s">
        <v>1</v>
      </c>
      <c r="C4098" s="7" t="s">
        <v>35</v>
      </c>
      <c r="D4098" t="str">
        <f t="shared" ref="D4098:D4161" si="73">IF(ISNUMBER(FIND(":", A4098)), LEFT(A4098, FIND(":", A4098) - 1), D4097)</f>
        <v>UKR</v>
      </c>
    </row>
    <row r="4099" spans="1:4" ht="30" thickTop="1" thickBot="1">
      <c r="A4099" s="7"/>
      <c r="B4099" s="7" t="s">
        <v>3</v>
      </c>
      <c r="C4099" s="7" t="s">
        <v>69</v>
      </c>
      <c r="D4099" t="str">
        <f t="shared" si="73"/>
        <v>UKR</v>
      </c>
    </row>
    <row r="4100" spans="1:4" ht="20.399999999999999" thickTop="1" thickBot="1">
      <c r="A4100" s="7"/>
      <c r="B4100" s="7" t="s">
        <v>5</v>
      </c>
      <c r="C4100" s="7" t="s">
        <v>37</v>
      </c>
      <c r="D4100" t="str">
        <f t="shared" si="73"/>
        <v>UKR</v>
      </c>
    </row>
    <row r="4101" spans="1:4" ht="30" thickTop="1" thickBot="1">
      <c r="A4101" s="7"/>
      <c r="B4101" s="7" t="s">
        <v>7</v>
      </c>
      <c r="C4101" s="7" t="s">
        <v>70</v>
      </c>
      <c r="D4101" t="str">
        <f t="shared" si="73"/>
        <v>UKR</v>
      </c>
    </row>
    <row r="4102" spans="1:4" ht="15.6" thickTop="1" thickBot="1">
      <c r="A4102" s="7"/>
      <c r="B4102" s="7" t="s">
        <v>11</v>
      </c>
      <c r="C4102" s="7" t="s">
        <v>1532</v>
      </c>
      <c r="D4102" t="str">
        <f t="shared" si="73"/>
        <v>UKR</v>
      </c>
    </row>
    <row r="4103" spans="1:4" ht="15.6" thickTop="1" thickBot="1">
      <c r="A4103" s="7"/>
      <c r="B4103" s="7" t="s">
        <v>13</v>
      </c>
      <c r="C4103" s="7" t="s">
        <v>1533</v>
      </c>
      <c r="D4103" t="str">
        <f t="shared" si="73"/>
        <v>UKR</v>
      </c>
    </row>
    <row r="4104" spans="1:4" ht="15.6" thickTop="1" thickBot="1">
      <c r="A4104" s="7"/>
      <c r="B4104" s="7" t="s">
        <v>15</v>
      </c>
      <c r="C4104" s="7" t="s">
        <v>1534</v>
      </c>
      <c r="D4104" t="str">
        <f t="shared" si="73"/>
        <v>UKR</v>
      </c>
    </row>
    <row r="4105" spans="1:4" ht="15.6" thickTop="1" thickBot="1">
      <c r="A4105" s="7"/>
      <c r="B4105" s="7" t="s">
        <v>22</v>
      </c>
      <c r="C4105" s="7" t="s">
        <v>1535</v>
      </c>
      <c r="D4105" t="str">
        <f t="shared" si="73"/>
        <v>UKR</v>
      </c>
    </row>
    <row r="4106" spans="1:4" ht="15.6" thickTop="1" thickBot="1">
      <c r="A4106" s="7"/>
      <c r="B4106" s="7" t="s">
        <v>23</v>
      </c>
      <c r="C4106" s="7" t="s">
        <v>1534</v>
      </c>
      <c r="D4106" t="str">
        <f t="shared" si="73"/>
        <v>UKR</v>
      </c>
    </row>
    <row r="4107" spans="1:4" ht="15.6" thickTop="1" thickBot="1">
      <c r="A4107" s="7"/>
      <c r="B4107" s="7" t="s">
        <v>24</v>
      </c>
      <c r="C4107" s="7">
        <v>4303</v>
      </c>
      <c r="D4107" t="str">
        <f t="shared" si="73"/>
        <v>UKR</v>
      </c>
    </row>
    <row r="4108" spans="1:4" ht="15.6" thickTop="1" thickBot="1">
      <c r="A4108" s="7"/>
      <c r="B4108" s="7" t="s">
        <v>18</v>
      </c>
      <c r="C4108" s="7" t="s">
        <v>1534</v>
      </c>
      <c r="D4108" t="str">
        <f t="shared" si="73"/>
        <v>UKR</v>
      </c>
    </row>
    <row r="4109" spans="1:4" ht="15.6" thickTop="1" thickBot="1">
      <c r="A4109" s="7"/>
      <c r="B4109" s="7" t="s">
        <v>19</v>
      </c>
      <c r="C4109" s="7" t="s">
        <v>1536</v>
      </c>
      <c r="D4109" t="str">
        <f t="shared" si="73"/>
        <v>UKR</v>
      </c>
    </row>
    <row r="4110" spans="1:4" ht="15.6" thickTop="1" thickBot="1">
      <c r="A4110" s="7"/>
      <c r="B4110" s="7" t="s">
        <v>21</v>
      </c>
      <c r="C4110" s="7" t="s">
        <v>1534</v>
      </c>
      <c r="D4110" t="str">
        <f t="shared" si="73"/>
        <v>UKR</v>
      </c>
    </row>
    <row r="4111" spans="1:4" ht="15.6" thickTop="1" thickBot="1">
      <c r="A4111" s="7"/>
      <c r="B4111" s="7" t="s">
        <v>16</v>
      </c>
      <c r="C4111" s="7" t="s">
        <v>1532</v>
      </c>
      <c r="D4111" t="str">
        <f t="shared" si="73"/>
        <v>UKR</v>
      </c>
    </row>
    <row r="4112" spans="1:4" ht="15.6" thickTop="1" thickBot="1">
      <c r="A4112" s="7"/>
      <c r="B4112" s="7" t="s">
        <v>17</v>
      </c>
      <c r="C4112" s="7" t="s">
        <v>1534</v>
      </c>
      <c r="D4112" t="str">
        <f t="shared" si="73"/>
        <v>UKR</v>
      </c>
    </row>
    <row r="4113" spans="1:4" ht="30" thickTop="1" thickBot="1">
      <c r="A4113" s="9" t="s">
        <v>1537</v>
      </c>
      <c r="B4113" s="10"/>
      <c r="C4113" s="11"/>
      <c r="D4113" t="str">
        <f t="shared" si="73"/>
        <v>ARE</v>
      </c>
    </row>
    <row r="4114" spans="1:4" ht="30" thickTop="1" thickBot="1">
      <c r="A4114" s="7"/>
      <c r="B4114" s="7" t="s">
        <v>25</v>
      </c>
      <c r="C4114" s="8">
        <v>83600</v>
      </c>
      <c r="D4114" t="str">
        <f t="shared" si="73"/>
        <v>ARE</v>
      </c>
    </row>
    <row r="4115" spans="1:4" ht="39.6" thickTop="1" thickBot="1">
      <c r="A4115" s="7"/>
      <c r="B4115" s="7" t="s">
        <v>26</v>
      </c>
      <c r="C4115" s="7" t="s">
        <v>1538</v>
      </c>
      <c r="D4115" t="str">
        <f t="shared" si="73"/>
        <v>ARE</v>
      </c>
    </row>
    <row r="4116" spans="1:4" ht="49.2" thickTop="1" thickBot="1">
      <c r="A4116" s="7"/>
      <c r="B4116" s="7" t="s">
        <v>9</v>
      </c>
      <c r="C4116" s="7">
        <v>2017</v>
      </c>
      <c r="D4116" t="str">
        <f t="shared" si="73"/>
        <v>ARE</v>
      </c>
    </row>
    <row r="4117" spans="1:4" ht="39.6" thickTop="1" thickBot="1">
      <c r="A4117" s="7"/>
      <c r="B4117" s="7" t="s">
        <v>10</v>
      </c>
      <c r="C4117" s="7">
        <v>2018</v>
      </c>
      <c r="D4117" t="str">
        <f t="shared" si="73"/>
        <v>ARE</v>
      </c>
    </row>
    <row r="4118" spans="1:4" ht="30" thickTop="1" thickBot="1">
      <c r="A4118" s="7"/>
      <c r="B4118" s="7" t="s">
        <v>1</v>
      </c>
      <c r="C4118" s="7" t="s">
        <v>2</v>
      </c>
      <c r="D4118" t="str">
        <f t="shared" si="73"/>
        <v>ARE</v>
      </c>
    </row>
    <row r="4119" spans="1:4" ht="30" thickTop="1" thickBot="1">
      <c r="A4119" s="7"/>
      <c r="B4119" s="7" t="s">
        <v>3</v>
      </c>
      <c r="C4119" s="7" t="s">
        <v>59</v>
      </c>
      <c r="D4119" t="str">
        <f t="shared" si="73"/>
        <v>ARE</v>
      </c>
    </row>
    <row r="4120" spans="1:4" ht="20.399999999999999" thickTop="1" thickBot="1">
      <c r="A4120" s="7"/>
      <c r="B4120" s="7" t="s">
        <v>5</v>
      </c>
      <c r="C4120" s="7" t="s">
        <v>6</v>
      </c>
      <c r="D4120" t="str">
        <f t="shared" si="73"/>
        <v>ARE</v>
      </c>
    </row>
    <row r="4121" spans="1:4" ht="30" thickTop="1" thickBot="1">
      <c r="A4121" s="7"/>
      <c r="B4121" s="7" t="s">
        <v>7</v>
      </c>
      <c r="C4121" s="7" t="s">
        <v>60</v>
      </c>
      <c r="D4121" t="str">
        <f t="shared" si="73"/>
        <v>ARE</v>
      </c>
    </row>
    <row r="4122" spans="1:4" ht="15.6" thickTop="1" thickBot="1">
      <c r="A4122" s="7"/>
      <c r="B4122" s="7" t="s">
        <v>13</v>
      </c>
      <c r="C4122" s="7" t="s">
        <v>1539</v>
      </c>
      <c r="D4122" t="str">
        <f t="shared" si="73"/>
        <v>ARE</v>
      </c>
    </row>
    <row r="4123" spans="1:4" ht="15.6" thickTop="1" thickBot="1">
      <c r="A4123" s="7"/>
      <c r="B4123" s="7" t="s">
        <v>15</v>
      </c>
      <c r="C4123" s="7" t="s">
        <v>1540</v>
      </c>
      <c r="D4123" t="str">
        <f t="shared" si="73"/>
        <v>ARE</v>
      </c>
    </row>
    <row r="4124" spans="1:4" ht="15.6" thickTop="1" thickBot="1">
      <c r="A4124" s="7"/>
      <c r="B4124" s="7" t="s">
        <v>16</v>
      </c>
      <c r="C4124" s="7" t="s">
        <v>1539</v>
      </c>
      <c r="D4124" t="str">
        <f t="shared" si="73"/>
        <v>ARE</v>
      </c>
    </row>
    <row r="4125" spans="1:4" ht="15.6" thickTop="1" thickBot="1">
      <c r="A4125" s="7"/>
      <c r="B4125" s="7" t="s">
        <v>17</v>
      </c>
      <c r="C4125" s="7" t="s">
        <v>1541</v>
      </c>
      <c r="D4125" t="str">
        <f t="shared" si="73"/>
        <v>ARE</v>
      </c>
    </row>
    <row r="4126" spans="1:4" ht="15.6" thickTop="1" thickBot="1">
      <c r="A4126" s="7"/>
      <c r="B4126" s="7" t="s">
        <v>18</v>
      </c>
      <c r="C4126" s="7" t="s">
        <v>1540</v>
      </c>
      <c r="D4126" t="str">
        <f t="shared" si="73"/>
        <v>ARE</v>
      </c>
    </row>
    <row r="4127" spans="1:4" ht="15.6" thickTop="1" thickBot="1">
      <c r="A4127" s="7"/>
      <c r="B4127" s="7" t="s">
        <v>19</v>
      </c>
      <c r="C4127" s="7" t="s">
        <v>1542</v>
      </c>
      <c r="D4127" t="str">
        <f t="shared" si="73"/>
        <v>ARE</v>
      </c>
    </row>
    <row r="4128" spans="1:4" ht="15.6" thickTop="1" thickBot="1">
      <c r="A4128" s="7"/>
      <c r="B4128" s="7" t="s">
        <v>21</v>
      </c>
      <c r="C4128" s="7" t="s">
        <v>1540</v>
      </c>
      <c r="D4128" t="str">
        <f t="shared" si="73"/>
        <v>ARE</v>
      </c>
    </row>
    <row r="4129" spans="1:4" ht="15.6" thickTop="1" thickBot="1">
      <c r="A4129" s="7"/>
      <c r="B4129" s="7" t="s">
        <v>22</v>
      </c>
      <c r="C4129" s="7" t="s">
        <v>518</v>
      </c>
      <c r="D4129" t="str">
        <f t="shared" si="73"/>
        <v>ARE</v>
      </c>
    </row>
    <row r="4130" spans="1:4" ht="15.6" thickTop="1" thickBot="1">
      <c r="A4130" s="7"/>
      <c r="B4130" s="7" t="s">
        <v>23</v>
      </c>
      <c r="C4130" s="7" t="s">
        <v>1541</v>
      </c>
      <c r="D4130" t="str">
        <f t="shared" si="73"/>
        <v>ARE</v>
      </c>
    </row>
    <row r="4131" spans="1:4" ht="15.6" thickTop="1" thickBot="1">
      <c r="A4131" s="7"/>
      <c r="B4131" s="7" t="s">
        <v>24</v>
      </c>
      <c r="C4131" s="7">
        <v>3405</v>
      </c>
      <c r="D4131" t="str">
        <f t="shared" si="73"/>
        <v>ARE</v>
      </c>
    </row>
    <row r="4132" spans="1:4" ht="30" thickTop="1" thickBot="1">
      <c r="A4132" s="7"/>
      <c r="B4132" s="7" t="s">
        <v>28</v>
      </c>
      <c r="C4132" s="7" t="s">
        <v>1543</v>
      </c>
      <c r="D4132" t="str">
        <f t="shared" si="73"/>
        <v>ARE</v>
      </c>
    </row>
    <row r="4133" spans="1:4" ht="20.399999999999999" thickTop="1" thickBot="1">
      <c r="A4133" s="7"/>
      <c r="B4133" s="7" t="s">
        <v>30</v>
      </c>
      <c r="C4133" s="7" t="s">
        <v>1544</v>
      </c>
      <c r="D4133" t="str">
        <f t="shared" si="73"/>
        <v>ARE</v>
      </c>
    </row>
    <row r="4134" spans="1:4" ht="18" customHeight="1" thickTop="1" thickBot="1">
      <c r="A4134" s="7"/>
      <c r="B4134" s="7" t="s">
        <v>32</v>
      </c>
      <c r="C4134" s="7" t="s">
        <v>33</v>
      </c>
      <c r="D4134" t="str">
        <f t="shared" si="73"/>
        <v>ARE</v>
      </c>
    </row>
    <row r="4135" spans="1:4" ht="58.8" thickTop="1" thickBot="1">
      <c r="A4135" s="9" t="s">
        <v>1545</v>
      </c>
      <c r="B4135" s="10"/>
      <c r="C4135" s="11"/>
      <c r="D4135" t="str">
        <f t="shared" si="73"/>
        <v>GBR</v>
      </c>
    </row>
    <row r="4136" spans="1:4" ht="30" thickTop="1" thickBot="1">
      <c r="A4136" s="7"/>
      <c r="B4136" s="7" t="s">
        <v>25</v>
      </c>
      <c r="C4136" s="8">
        <v>241930</v>
      </c>
      <c r="D4136" t="str">
        <f t="shared" si="73"/>
        <v>GBR</v>
      </c>
    </row>
    <row r="4137" spans="1:4" ht="20.399999999999999" thickTop="1" thickBot="1">
      <c r="A4137" s="7"/>
      <c r="B4137" s="7" t="s">
        <v>26</v>
      </c>
      <c r="C4137" s="7" t="s">
        <v>106</v>
      </c>
      <c r="D4137" t="str">
        <f t="shared" si="73"/>
        <v>GBR</v>
      </c>
    </row>
    <row r="4138" spans="1:4" ht="49.2" thickTop="1" thickBot="1">
      <c r="A4138" s="7"/>
      <c r="B4138" s="7" t="s">
        <v>28</v>
      </c>
      <c r="C4138" s="7" t="s">
        <v>1546</v>
      </c>
      <c r="D4138" t="str">
        <f t="shared" si="73"/>
        <v>GBR</v>
      </c>
    </row>
    <row r="4139" spans="1:4" ht="58.8" thickTop="1" thickBot="1">
      <c r="A4139" s="7"/>
      <c r="B4139" s="7" t="s">
        <v>30</v>
      </c>
      <c r="C4139" s="7" t="s">
        <v>1547</v>
      </c>
      <c r="D4139" t="str">
        <f t="shared" si="73"/>
        <v>GBR</v>
      </c>
    </row>
    <row r="4140" spans="1:4" ht="20.399999999999999" thickTop="1" thickBot="1">
      <c r="A4140" s="7"/>
      <c r="B4140" s="7" t="s">
        <v>32</v>
      </c>
      <c r="C4140" s="7" t="s">
        <v>33</v>
      </c>
      <c r="D4140" t="str">
        <f t="shared" si="73"/>
        <v>GBR</v>
      </c>
    </row>
    <row r="4141" spans="1:4" ht="49.2" thickTop="1" thickBot="1">
      <c r="A4141" s="7"/>
      <c r="B4141" s="7" t="s">
        <v>9</v>
      </c>
      <c r="C4141" s="7">
        <v>2017</v>
      </c>
      <c r="D4141" t="str">
        <f t="shared" si="73"/>
        <v>GBR</v>
      </c>
    </row>
    <row r="4142" spans="1:4" ht="39.6" thickTop="1" thickBot="1">
      <c r="A4142" s="7"/>
      <c r="B4142" s="7" t="s">
        <v>10</v>
      </c>
      <c r="C4142" s="7">
        <v>2018</v>
      </c>
      <c r="D4142" t="str">
        <f t="shared" si="73"/>
        <v>GBR</v>
      </c>
    </row>
    <row r="4143" spans="1:4" ht="20.399999999999999" thickTop="1" thickBot="1">
      <c r="A4143" s="7"/>
      <c r="B4143" s="7" t="s">
        <v>1</v>
      </c>
      <c r="C4143" s="7" t="s">
        <v>35</v>
      </c>
      <c r="D4143" t="str">
        <f t="shared" si="73"/>
        <v>GBR</v>
      </c>
    </row>
    <row r="4144" spans="1:4" ht="30" thickTop="1" thickBot="1">
      <c r="A4144" s="7"/>
      <c r="B4144" s="7" t="s">
        <v>3</v>
      </c>
      <c r="C4144" s="7" t="s">
        <v>59</v>
      </c>
      <c r="D4144" t="str">
        <f t="shared" si="73"/>
        <v>GBR</v>
      </c>
    </row>
    <row r="4145" spans="1:4" ht="20.399999999999999" thickTop="1" thickBot="1">
      <c r="A4145" s="7"/>
      <c r="B4145" s="7" t="s">
        <v>5</v>
      </c>
      <c r="C4145" s="7" t="s">
        <v>37</v>
      </c>
      <c r="D4145" t="str">
        <f t="shared" si="73"/>
        <v>GBR</v>
      </c>
    </row>
    <row r="4146" spans="1:4" ht="30" thickTop="1" thickBot="1">
      <c r="A4146" s="7"/>
      <c r="B4146" s="7" t="s">
        <v>7</v>
      </c>
      <c r="C4146" s="7" t="s">
        <v>60</v>
      </c>
      <c r="D4146" t="str">
        <f t="shared" si="73"/>
        <v>GBR</v>
      </c>
    </row>
    <row r="4147" spans="1:4" ht="15.6" thickTop="1" thickBot="1">
      <c r="A4147" s="7"/>
      <c r="B4147" s="7" t="s">
        <v>11</v>
      </c>
      <c r="C4147" s="7" t="s">
        <v>562</v>
      </c>
      <c r="D4147" t="str">
        <f t="shared" si="73"/>
        <v>GBR</v>
      </c>
    </row>
    <row r="4148" spans="1:4" ht="15.6" thickTop="1" thickBot="1">
      <c r="A4148" s="7"/>
      <c r="B4148" s="7" t="s">
        <v>13</v>
      </c>
      <c r="C4148" s="7" t="s">
        <v>1548</v>
      </c>
      <c r="D4148" t="str">
        <f t="shared" si="73"/>
        <v>GBR</v>
      </c>
    </row>
    <row r="4149" spans="1:4" ht="15.6" thickTop="1" thickBot="1">
      <c r="A4149" s="7"/>
      <c r="B4149" s="7" t="s">
        <v>15</v>
      </c>
      <c r="C4149" s="7" t="s">
        <v>1549</v>
      </c>
      <c r="D4149" t="str">
        <f t="shared" si="73"/>
        <v>GBR</v>
      </c>
    </row>
    <row r="4150" spans="1:4" ht="15.6" thickTop="1" thickBot="1">
      <c r="A4150" s="7"/>
      <c r="B4150" s="7" t="s">
        <v>22</v>
      </c>
      <c r="C4150" s="7" t="s">
        <v>1548</v>
      </c>
      <c r="D4150" t="str">
        <f t="shared" si="73"/>
        <v>GBR</v>
      </c>
    </row>
    <row r="4151" spans="1:4" ht="15.6" thickTop="1" thickBot="1">
      <c r="A4151" s="7"/>
      <c r="B4151" s="7" t="s">
        <v>23</v>
      </c>
      <c r="C4151" s="7" t="s">
        <v>1549</v>
      </c>
      <c r="D4151" t="str">
        <f t="shared" si="73"/>
        <v>GBR</v>
      </c>
    </row>
    <row r="4152" spans="1:4" ht="15.6" thickTop="1" thickBot="1">
      <c r="A4152" s="7"/>
      <c r="B4152" s="7" t="s">
        <v>24</v>
      </c>
      <c r="C4152" s="7">
        <v>4308</v>
      </c>
      <c r="D4152" t="str">
        <f t="shared" si="73"/>
        <v>GBR</v>
      </c>
    </row>
    <row r="4153" spans="1:4" ht="15.6" thickTop="1" thickBot="1">
      <c r="A4153" s="7"/>
      <c r="B4153" s="7" t="s">
        <v>18</v>
      </c>
      <c r="C4153" s="7" t="s">
        <v>561</v>
      </c>
      <c r="D4153" t="str">
        <f t="shared" si="73"/>
        <v>GBR</v>
      </c>
    </row>
    <row r="4154" spans="1:4" ht="15.6" thickTop="1" thickBot="1">
      <c r="A4154" s="7"/>
      <c r="B4154" s="7" t="s">
        <v>19</v>
      </c>
      <c r="C4154" s="7" t="s">
        <v>1550</v>
      </c>
      <c r="D4154" t="str">
        <f t="shared" si="73"/>
        <v>GBR</v>
      </c>
    </row>
    <row r="4155" spans="1:4" ht="15.6" thickTop="1" thickBot="1">
      <c r="A4155" s="7"/>
      <c r="B4155" s="7" t="s">
        <v>21</v>
      </c>
      <c r="C4155" s="7" t="s">
        <v>1551</v>
      </c>
      <c r="D4155" t="str">
        <f t="shared" si="73"/>
        <v>GBR</v>
      </c>
    </row>
    <row r="4156" spans="1:4" ht="15.6" thickTop="1" thickBot="1">
      <c r="A4156" s="7"/>
      <c r="B4156" s="7" t="s">
        <v>16</v>
      </c>
      <c r="C4156" s="7" t="s">
        <v>562</v>
      </c>
      <c r="D4156" t="str">
        <f t="shared" si="73"/>
        <v>GBR</v>
      </c>
    </row>
    <row r="4157" spans="1:4" ht="15.6" thickTop="1" thickBot="1">
      <c r="A4157" s="7"/>
      <c r="B4157" s="7" t="s">
        <v>17</v>
      </c>
      <c r="C4157" s="7" t="s">
        <v>1549</v>
      </c>
      <c r="D4157" t="str">
        <f t="shared" si="73"/>
        <v>GBR</v>
      </c>
    </row>
    <row r="4158" spans="1:4" ht="30" thickTop="1" thickBot="1">
      <c r="A4158" s="9" t="s">
        <v>1552</v>
      </c>
      <c r="B4158" s="10"/>
      <c r="C4158" s="11"/>
      <c r="D4158" t="str">
        <f t="shared" si="73"/>
        <v>TZA</v>
      </c>
    </row>
    <row r="4159" spans="1:4" ht="30" thickTop="1" thickBot="1">
      <c r="A4159" s="7"/>
      <c r="B4159" s="7" t="s">
        <v>25</v>
      </c>
      <c r="C4159" s="8">
        <v>885800</v>
      </c>
      <c r="D4159" t="str">
        <f t="shared" si="73"/>
        <v>TZA</v>
      </c>
    </row>
    <row r="4160" spans="1:4" ht="58.8" thickTop="1" thickBot="1">
      <c r="A4160" s="7"/>
      <c r="B4160" s="7" t="s">
        <v>26</v>
      </c>
      <c r="C4160" s="7" t="s">
        <v>1553</v>
      </c>
      <c r="D4160" t="str">
        <f t="shared" si="73"/>
        <v>TZA</v>
      </c>
    </row>
    <row r="4161" spans="1:4" ht="30" thickTop="1" thickBot="1">
      <c r="A4161" s="7"/>
      <c r="B4161" s="7" t="s">
        <v>28</v>
      </c>
      <c r="C4161" s="7" t="s">
        <v>1554</v>
      </c>
      <c r="D4161" t="str">
        <f t="shared" si="73"/>
        <v>TZA</v>
      </c>
    </row>
    <row r="4162" spans="1:4" ht="30" thickTop="1" thickBot="1">
      <c r="A4162" s="7"/>
      <c r="B4162" s="7" t="s">
        <v>30</v>
      </c>
      <c r="C4162" s="7" t="s">
        <v>1555</v>
      </c>
      <c r="D4162" t="str">
        <f t="shared" ref="D4162:D4225" si="74">IF(ISNUMBER(FIND(":", A4162)), LEFT(A4162, FIND(":", A4162) - 1), D4161)</f>
        <v>TZA</v>
      </c>
    </row>
    <row r="4163" spans="1:4" ht="20.399999999999999" thickTop="1" thickBot="1">
      <c r="A4163" s="7"/>
      <c r="B4163" s="7" t="s">
        <v>32</v>
      </c>
      <c r="C4163" s="7" t="s">
        <v>33</v>
      </c>
      <c r="D4163" t="str">
        <f t="shared" si="74"/>
        <v>TZA</v>
      </c>
    </row>
    <row r="4164" spans="1:4" ht="49.2" thickTop="1" thickBot="1">
      <c r="A4164" s="7"/>
      <c r="B4164" s="7" t="s">
        <v>9</v>
      </c>
      <c r="C4164" s="7">
        <v>2017</v>
      </c>
      <c r="D4164" t="str">
        <f t="shared" si="74"/>
        <v>TZA</v>
      </c>
    </row>
    <row r="4165" spans="1:4" ht="39.6" thickTop="1" thickBot="1">
      <c r="A4165" s="7"/>
      <c r="B4165" s="7" t="s">
        <v>10</v>
      </c>
      <c r="C4165" s="7">
        <v>2018</v>
      </c>
      <c r="D4165" t="str">
        <f t="shared" si="74"/>
        <v>TZA</v>
      </c>
    </row>
    <row r="4166" spans="1:4" ht="20.399999999999999" thickTop="1" thickBot="1">
      <c r="A4166" s="7"/>
      <c r="B4166" s="7" t="s">
        <v>1</v>
      </c>
      <c r="C4166" s="7" t="s">
        <v>50</v>
      </c>
      <c r="D4166" t="str">
        <f t="shared" si="74"/>
        <v>TZA</v>
      </c>
    </row>
    <row r="4167" spans="1:4" ht="30" thickTop="1" thickBot="1">
      <c r="A4167" s="7"/>
      <c r="B4167" s="7" t="s">
        <v>3</v>
      </c>
      <c r="C4167" s="7" t="s">
        <v>4</v>
      </c>
      <c r="D4167" t="str">
        <f t="shared" si="74"/>
        <v>TZA</v>
      </c>
    </row>
    <row r="4168" spans="1:4" ht="20.399999999999999" thickTop="1" thickBot="1">
      <c r="A4168" s="7"/>
      <c r="B4168" s="7" t="s">
        <v>5</v>
      </c>
      <c r="C4168" s="7" t="s">
        <v>51</v>
      </c>
      <c r="D4168" t="str">
        <f t="shared" si="74"/>
        <v>TZA</v>
      </c>
    </row>
    <row r="4169" spans="1:4" ht="30" thickTop="1" thickBot="1">
      <c r="A4169" s="7"/>
      <c r="B4169" s="7" t="s">
        <v>7</v>
      </c>
      <c r="C4169" s="7" t="s">
        <v>8</v>
      </c>
      <c r="D4169" t="str">
        <f t="shared" si="74"/>
        <v>TZA</v>
      </c>
    </row>
    <row r="4170" spans="1:4" ht="15.6" thickTop="1" thickBot="1">
      <c r="A4170" s="7"/>
      <c r="B4170" s="7" t="s">
        <v>11</v>
      </c>
      <c r="C4170" s="7" t="s">
        <v>1556</v>
      </c>
      <c r="D4170" t="str">
        <f t="shared" si="74"/>
        <v>TZA</v>
      </c>
    </row>
    <row r="4171" spans="1:4" ht="15.6" thickTop="1" thickBot="1">
      <c r="A4171" s="7"/>
      <c r="B4171" s="7" t="s">
        <v>13</v>
      </c>
      <c r="C4171" s="7" t="s">
        <v>1557</v>
      </c>
      <c r="D4171" t="str">
        <f t="shared" si="74"/>
        <v>TZA</v>
      </c>
    </row>
    <row r="4172" spans="1:4" ht="15.6" thickTop="1" thickBot="1">
      <c r="A4172" s="7"/>
      <c r="B4172" s="7" t="s">
        <v>15</v>
      </c>
      <c r="C4172" s="7" t="s">
        <v>1558</v>
      </c>
      <c r="D4172" t="str">
        <f t="shared" si="74"/>
        <v>TZA</v>
      </c>
    </row>
    <row r="4173" spans="1:4" ht="15.6" thickTop="1" thickBot="1">
      <c r="A4173" s="7"/>
      <c r="B4173" s="7" t="s">
        <v>22</v>
      </c>
      <c r="C4173" s="7" t="s">
        <v>1480</v>
      </c>
      <c r="D4173" t="str">
        <f t="shared" si="74"/>
        <v>TZA</v>
      </c>
    </row>
    <row r="4174" spans="1:4" ht="15.6" thickTop="1" thickBot="1">
      <c r="A4174" s="7"/>
      <c r="B4174" s="7" t="s">
        <v>23</v>
      </c>
      <c r="C4174" s="7" t="s">
        <v>1559</v>
      </c>
      <c r="D4174" t="str">
        <f t="shared" si="74"/>
        <v>TZA</v>
      </c>
    </row>
    <row r="4175" spans="1:4" ht="15.6" thickTop="1" thickBot="1">
      <c r="A4175" s="7"/>
      <c r="B4175" s="7" t="s">
        <v>24</v>
      </c>
      <c r="C4175" s="7">
        <v>1546</v>
      </c>
      <c r="D4175" t="str">
        <f t="shared" si="74"/>
        <v>TZA</v>
      </c>
    </row>
    <row r="4176" spans="1:4" ht="15.6" thickTop="1" thickBot="1">
      <c r="A4176" s="7"/>
      <c r="B4176" s="7" t="s">
        <v>18</v>
      </c>
      <c r="C4176" s="7" t="s">
        <v>1559</v>
      </c>
      <c r="D4176" t="str">
        <f t="shared" si="74"/>
        <v>TZA</v>
      </c>
    </row>
    <row r="4177" spans="1:4" ht="15.6" thickTop="1" thickBot="1">
      <c r="A4177" s="7"/>
      <c r="B4177" s="7" t="s">
        <v>19</v>
      </c>
      <c r="C4177" s="7" t="s">
        <v>1560</v>
      </c>
      <c r="D4177" t="str">
        <f t="shared" si="74"/>
        <v>TZA</v>
      </c>
    </row>
    <row r="4178" spans="1:4" ht="15.6" thickTop="1" thickBot="1">
      <c r="A4178" s="7"/>
      <c r="B4178" s="7" t="s">
        <v>21</v>
      </c>
      <c r="C4178" s="7" t="s">
        <v>1558</v>
      </c>
      <c r="D4178" t="str">
        <f t="shared" si="74"/>
        <v>TZA</v>
      </c>
    </row>
    <row r="4179" spans="1:4" ht="15.6" thickTop="1" thickBot="1">
      <c r="A4179" s="7"/>
      <c r="B4179" s="7" t="s">
        <v>16</v>
      </c>
      <c r="C4179" s="7" t="s">
        <v>1557</v>
      </c>
      <c r="D4179" t="str">
        <f t="shared" si="74"/>
        <v>TZA</v>
      </c>
    </row>
    <row r="4180" spans="1:4" ht="15.6" thickTop="1" thickBot="1">
      <c r="A4180" s="7"/>
      <c r="B4180" s="7" t="s">
        <v>17</v>
      </c>
      <c r="C4180" s="7" t="s">
        <v>1559</v>
      </c>
      <c r="D4180" t="str">
        <f t="shared" si="74"/>
        <v>TZA</v>
      </c>
    </row>
    <row r="4181" spans="1:4" ht="30" thickTop="1" thickBot="1">
      <c r="A4181" s="9" t="s">
        <v>1561</v>
      </c>
      <c r="B4181" s="10"/>
      <c r="C4181" s="11"/>
      <c r="D4181" t="str">
        <f t="shared" si="74"/>
        <v>USA</v>
      </c>
    </row>
    <row r="4182" spans="1:4" ht="30" thickTop="1" thickBot="1">
      <c r="A4182" s="7"/>
      <c r="B4182" s="7" t="s">
        <v>25</v>
      </c>
      <c r="C4182" s="8">
        <v>9147420</v>
      </c>
      <c r="D4182" t="str">
        <f t="shared" si="74"/>
        <v>USA</v>
      </c>
    </row>
    <row r="4183" spans="1:4" ht="20.399999999999999" thickTop="1" thickBot="1">
      <c r="A4183" s="7"/>
      <c r="B4183" s="7" t="s">
        <v>26</v>
      </c>
      <c r="C4183" s="7" t="s">
        <v>106</v>
      </c>
      <c r="D4183" t="str">
        <f t="shared" si="74"/>
        <v>USA</v>
      </c>
    </row>
    <row r="4184" spans="1:4" ht="30" thickTop="1" thickBot="1">
      <c r="A4184" s="7"/>
      <c r="B4184" s="7" t="s">
        <v>28</v>
      </c>
      <c r="C4184" s="7" t="s">
        <v>1562</v>
      </c>
      <c r="D4184" t="str">
        <f t="shared" si="74"/>
        <v>USA</v>
      </c>
    </row>
    <row r="4185" spans="1:4" ht="20.399999999999999" thickTop="1" thickBot="1">
      <c r="A4185" s="7"/>
      <c r="B4185" s="7" t="s">
        <v>30</v>
      </c>
      <c r="C4185" s="7" t="s">
        <v>1563</v>
      </c>
      <c r="D4185" t="str">
        <f t="shared" si="74"/>
        <v>USA</v>
      </c>
    </row>
    <row r="4186" spans="1:4" ht="20.399999999999999" thickTop="1" thickBot="1">
      <c r="A4186" s="7"/>
      <c r="B4186" s="7" t="s">
        <v>32</v>
      </c>
      <c r="C4186" s="7" t="s">
        <v>33</v>
      </c>
      <c r="D4186" t="str">
        <f t="shared" si="74"/>
        <v>USA</v>
      </c>
    </row>
    <row r="4187" spans="1:4" ht="49.2" thickTop="1" thickBot="1">
      <c r="A4187" s="7"/>
      <c r="B4187" s="7" t="s">
        <v>9</v>
      </c>
      <c r="C4187" s="7">
        <v>2017</v>
      </c>
      <c r="D4187" t="str">
        <f t="shared" si="74"/>
        <v>USA</v>
      </c>
    </row>
    <row r="4188" spans="1:4" ht="39.6" thickTop="1" thickBot="1">
      <c r="A4188" s="7"/>
      <c r="B4188" s="7" t="s">
        <v>10</v>
      </c>
      <c r="C4188" s="7">
        <v>2018</v>
      </c>
      <c r="D4188" t="str">
        <f t="shared" si="74"/>
        <v>USA</v>
      </c>
    </row>
    <row r="4189" spans="1:4" ht="20.399999999999999" thickTop="1" thickBot="1">
      <c r="A4189" s="7"/>
      <c r="B4189" s="7" t="s">
        <v>1</v>
      </c>
      <c r="C4189" s="7" t="s">
        <v>79</v>
      </c>
      <c r="D4189" t="str">
        <f t="shared" si="74"/>
        <v>USA</v>
      </c>
    </row>
    <row r="4190" spans="1:4" ht="30" thickTop="1" thickBot="1">
      <c r="A4190" s="7"/>
      <c r="B4190" s="7" t="s">
        <v>3</v>
      </c>
      <c r="C4190" s="7" t="s">
        <v>59</v>
      </c>
      <c r="D4190" t="str">
        <f t="shared" si="74"/>
        <v>USA</v>
      </c>
    </row>
    <row r="4191" spans="1:4" ht="20.399999999999999" thickTop="1" thickBot="1">
      <c r="A4191" s="7"/>
      <c r="B4191" s="7" t="s">
        <v>5</v>
      </c>
      <c r="C4191" s="7" t="s">
        <v>80</v>
      </c>
      <c r="D4191" t="str">
        <f t="shared" si="74"/>
        <v>USA</v>
      </c>
    </row>
    <row r="4192" spans="1:4" ht="30" thickTop="1" thickBot="1">
      <c r="A4192" s="7"/>
      <c r="B4192" s="7" t="s">
        <v>7</v>
      </c>
      <c r="C4192" s="7" t="s">
        <v>60</v>
      </c>
      <c r="D4192" t="str">
        <f t="shared" si="74"/>
        <v>USA</v>
      </c>
    </row>
    <row r="4193" spans="1:4" ht="15.6" thickTop="1" thickBot="1">
      <c r="A4193" s="7"/>
      <c r="B4193" s="7" t="s">
        <v>11</v>
      </c>
      <c r="C4193" s="7" t="s">
        <v>1564</v>
      </c>
      <c r="D4193" t="str">
        <f t="shared" si="74"/>
        <v>USA</v>
      </c>
    </row>
    <row r="4194" spans="1:4" ht="15.6" thickTop="1" thickBot="1">
      <c r="A4194" s="7"/>
      <c r="B4194" s="7" t="s">
        <v>13</v>
      </c>
      <c r="C4194" s="7" t="s">
        <v>1565</v>
      </c>
      <c r="D4194" t="str">
        <f t="shared" si="74"/>
        <v>USA</v>
      </c>
    </row>
    <row r="4195" spans="1:4" ht="15.6" thickTop="1" thickBot="1">
      <c r="A4195" s="7"/>
      <c r="B4195" s="7" t="s">
        <v>15</v>
      </c>
      <c r="C4195" s="7" t="s">
        <v>1564</v>
      </c>
      <c r="D4195" t="str">
        <f t="shared" si="74"/>
        <v>USA</v>
      </c>
    </row>
    <row r="4196" spans="1:4" ht="15.6" thickTop="1" thickBot="1">
      <c r="A4196" s="7"/>
      <c r="B4196" s="7" t="s">
        <v>16</v>
      </c>
      <c r="C4196" s="7" t="s">
        <v>1565</v>
      </c>
      <c r="D4196" t="str">
        <f t="shared" si="74"/>
        <v>USA</v>
      </c>
    </row>
    <row r="4197" spans="1:4" ht="15.6" thickTop="1" thickBot="1">
      <c r="A4197" s="7"/>
      <c r="B4197" s="7" t="s">
        <v>17</v>
      </c>
      <c r="C4197" s="7" t="s">
        <v>1564</v>
      </c>
      <c r="D4197" t="str">
        <f t="shared" si="74"/>
        <v>USA</v>
      </c>
    </row>
    <row r="4198" spans="1:4" ht="15.6" thickTop="1" thickBot="1">
      <c r="A4198" s="7"/>
      <c r="B4198" s="7" t="s">
        <v>18</v>
      </c>
      <c r="C4198" s="7" t="s">
        <v>1564</v>
      </c>
      <c r="D4198" t="str">
        <f t="shared" si="74"/>
        <v>USA</v>
      </c>
    </row>
    <row r="4199" spans="1:4" ht="15.6" thickTop="1" thickBot="1">
      <c r="A4199" s="7"/>
      <c r="B4199" s="7" t="s">
        <v>19</v>
      </c>
      <c r="C4199" s="7" t="s">
        <v>1566</v>
      </c>
      <c r="D4199" t="str">
        <f t="shared" si="74"/>
        <v>USA</v>
      </c>
    </row>
    <row r="4200" spans="1:4" ht="15.6" thickTop="1" thickBot="1">
      <c r="A4200" s="7"/>
      <c r="B4200" s="7" t="s">
        <v>21</v>
      </c>
      <c r="C4200" s="7" t="s">
        <v>1564</v>
      </c>
      <c r="D4200" t="str">
        <f t="shared" si="74"/>
        <v>USA</v>
      </c>
    </row>
    <row r="4201" spans="1:4" ht="15.6" thickTop="1" thickBot="1">
      <c r="A4201" s="7"/>
      <c r="B4201" s="7" t="s">
        <v>22</v>
      </c>
      <c r="C4201" s="7" t="s">
        <v>1565</v>
      </c>
      <c r="D4201" t="str">
        <f t="shared" si="74"/>
        <v>USA</v>
      </c>
    </row>
    <row r="4202" spans="1:4" ht="15.6" thickTop="1" thickBot="1">
      <c r="A4202" s="7"/>
      <c r="B4202" s="7" t="s">
        <v>23</v>
      </c>
      <c r="C4202" s="7" t="s">
        <v>1564</v>
      </c>
      <c r="D4202" t="str">
        <f t="shared" si="74"/>
        <v>USA</v>
      </c>
    </row>
    <row r="4203" spans="1:4" ht="15.6" thickTop="1" thickBot="1">
      <c r="A4203" s="7"/>
      <c r="B4203" s="7" t="s">
        <v>24</v>
      </c>
      <c r="C4203" s="7">
        <v>2450</v>
      </c>
      <c r="D4203" t="str">
        <f t="shared" si="74"/>
        <v>USA</v>
      </c>
    </row>
    <row r="4204" spans="1:4" ht="20.399999999999999" thickTop="1" thickBot="1">
      <c r="A4204" s="9" t="s">
        <v>1567</v>
      </c>
      <c r="B4204" s="10"/>
      <c r="C4204" s="11"/>
      <c r="D4204" t="str">
        <f t="shared" si="74"/>
        <v>URY</v>
      </c>
    </row>
    <row r="4205" spans="1:4" ht="30" thickTop="1" thickBot="1">
      <c r="A4205" s="7"/>
      <c r="B4205" s="7" t="s">
        <v>25</v>
      </c>
      <c r="C4205" s="8">
        <v>175020</v>
      </c>
      <c r="D4205" t="str">
        <f t="shared" si="74"/>
        <v>URY</v>
      </c>
    </row>
    <row r="4206" spans="1:4" ht="30" thickTop="1" thickBot="1">
      <c r="A4206" s="7"/>
      <c r="B4206" s="7" t="s">
        <v>26</v>
      </c>
      <c r="C4206" s="7" t="s">
        <v>1568</v>
      </c>
      <c r="D4206" t="str">
        <f t="shared" si="74"/>
        <v>URY</v>
      </c>
    </row>
    <row r="4207" spans="1:4" ht="20.399999999999999" thickTop="1" thickBot="1">
      <c r="A4207" s="7"/>
      <c r="B4207" s="7" t="s">
        <v>28</v>
      </c>
      <c r="C4207" s="7" t="s">
        <v>1569</v>
      </c>
      <c r="D4207" t="str">
        <f t="shared" si="74"/>
        <v>URY</v>
      </c>
    </row>
    <row r="4208" spans="1:4" ht="20.399999999999999" thickTop="1" thickBot="1">
      <c r="A4208" s="7"/>
      <c r="B4208" s="7" t="s">
        <v>30</v>
      </c>
      <c r="C4208" s="7" t="s">
        <v>1569</v>
      </c>
      <c r="D4208" t="str">
        <f t="shared" si="74"/>
        <v>URY</v>
      </c>
    </row>
    <row r="4209" spans="1:4" ht="20.399999999999999" thickTop="1" thickBot="1">
      <c r="A4209" s="7"/>
      <c r="B4209" s="7" t="s">
        <v>32</v>
      </c>
      <c r="C4209" s="7" t="s">
        <v>33</v>
      </c>
      <c r="D4209" t="str">
        <f t="shared" si="74"/>
        <v>URY</v>
      </c>
    </row>
    <row r="4210" spans="1:4" ht="49.2" thickTop="1" thickBot="1">
      <c r="A4210" s="7"/>
      <c r="B4210" s="7" t="s">
        <v>9</v>
      </c>
      <c r="C4210" s="7">
        <v>2017</v>
      </c>
      <c r="D4210" t="str">
        <f t="shared" si="74"/>
        <v>URY</v>
      </c>
    </row>
    <row r="4211" spans="1:4" ht="39.6" thickTop="1" thickBot="1">
      <c r="A4211" s="7"/>
      <c r="B4211" s="7" t="s">
        <v>10</v>
      </c>
      <c r="C4211" s="7">
        <v>2018</v>
      </c>
      <c r="D4211" t="str">
        <f t="shared" si="74"/>
        <v>URY</v>
      </c>
    </row>
    <row r="4212" spans="1:4" ht="20.399999999999999" thickTop="1" thickBot="1">
      <c r="A4212" s="7"/>
      <c r="B4212" s="7" t="s">
        <v>1</v>
      </c>
      <c r="C4212" s="7" t="s">
        <v>79</v>
      </c>
      <c r="D4212" t="str">
        <f t="shared" si="74"/>
        <v>URY</v>
      </c>
    </row>
    <row r="4213" spans="1:4" ht="30" thickTop="1" thickBot="1">
      <c r="A4213" s="7"/>
      <c r="B4213" s="7" t="s">
        <v>3</v>
      </c>
      <c r="C4213" s="7" t="s">
        <v>59</v>
      </c>
      <c r="D4213" t="str">
        <f t="shared" si="74"/>
        <v>URY</v>
      </c>
    </row>
    <row r="4214" spans="1:4" ht="20.399999999999999" thickTop="1" thickBot="1">
      <c r="A4214" s="7"/>
      <c r="B4214" s="7" t="s">
        <v>5</v>
      </c>
      <c r="C4214" s="7" t="s">
        <v>80</v>
      </c>
      <c r="D4214" t="str">
        <f t="shared" si="74"/>
        <v>URY</v>
      </c>
    </row>
    <row r="4215" spans="1:4" ht="30" thickTop="1" thickBot="1">
      <c r="A4215" s="7"/>
      <c r="B4215" s="7" t="s">
        <v>7</v>
      </c>
      <c r="C4215" s="7" t="s">
        <v>60</v>
      </c>
      <c r="D4215" t="str">
        <f t="shared" si="74"/>
        <v>URY</v>
      </c>
    </row>
    <row r="4216" spans="1:4" ht="15.6" thickTop="1" thickBot="1">
      <c r="A4216" s="7"/>
      <c r="B4216" s="7" t="s">
        <v>11</v>
      </c>
      <c r="C4216" s="7" t="s">
        <v>1207</v>
      </c>
      <c r="D4216" t="str">
        <f t="shared" si="74"/>
        <v>URY</v>
      </c>
    </row>
    <row r="4217" spans="1:4" ht="15.6" thickTop="1" thickBot="1">
      <c r="A4217" s="7"/>
      <c r="B4217" s="7" t="s">
        <v>13</v>
      </c>
      <c r="C4217" s="7" t="s">
        <v>1570</v>
      </c>
      <c r="D4217" t="str">
        <f t="shared" si="74"/>
        <v>URY</v>
      </c>
    </row>
    <row r="4218" spans="1:4" ht="15.6" thickTop="1" thickBot="1">
      <c r="A4218" s="7"/>
      <c r="B4218" s="7" t="s">
        <v>15</v>
      </c>
      <c r="C4218" s="7" t="s">
        <v>1571</v>
      </c>
      <c r="D4218" t="str">
        <f t="shared" si="74"/>
        <v>URY</v>
      </c>
    </row>
    <row r="4219" spans="1:4" ht="15.6" thickTop="1" thickBot="1">
      <c r="A4219" s="7"/>
      <c r="B4219" s="7" t="s">
        <v>16</v>
      </c>
      <c r="C4219" s="7" t="s">
        <v>1570</v>
      </c>
      <c r="D4219" t="str">
        <f t="shared" si="74"/>
        <v>URY</v>
      </c>
    </row>
    <row r="4220" spans="1:4" ht="15.6" thickTop="1" thickBot="1">
      <c r="A4220" s="7"/>
      <c r="B4220" s="7" t="s">
        <v>17</v>
      </c>
      <c r="C4220" s="7" t="s">
        <v>1572</v>
      </c>
      <c r="D4220" t="str">
        <f t="shared" si="74"/>
        <v>URY</v>
      </c>
    </row>
    <row r="4221" spans="1:4" ht="15.6" thickTop="1" thickBot="1">
      <c r="A4221" s="7"/>
      <c r="B4221" s="7" t="s">
        <v>18</v>
      </c>
      <c r="C4221" s="7" t="s">
        <v>1573</v>
      </c>
      <c r="D4221" t="str">
        <f t="shared" si="74"/>
        <v>URY</v>
      </c>
    </row>
    <row r="4222" spans="1:4" ht="15.6" thickTop="1" thickBot="1">
      <c r="A4222" s="7"/>
      <c r="B4222" s="7" t="s">
        <v>19</v>
      </c>
      <c r="C4222" s="7" t="s">
        <v>1574</v>
      </c>
      <c r="D4222" t="str">
        <f t="shared" si="74"/>
        <v>URY</v>
      </c>
    </row>
    <row r="4223" spans="1:4" ht="15.6" thickTop="1" thickBot="1">
      <c r="A4223" s="7"/>
      <c r="B4223" s="7" t="s">
        <v>21</v>
      </c>
      <c r="C4223" s="7" t="s">
        <v>1571</v>
      </c>
      <c r="D4223" t="str">
        <f t="shared" si="74"/>
        <v>URY</v>
      </c>
    </row>
    <row r="4224" spans="1:4" ht="15.6" thickTop="1" thickBot="1">
      <c r="A4224" s="7"/>
      <c r="B4224" s="7" t="s">
        <v>22</v>
      </c>
      <c r="C4224" s="7" t="s">
        <v>1570</v>
      </c>
      <c r="D4224" t="str">
        <f t="shared" si="74"/>
        <v>URY</v>
      </c>
    </row>
    <row r="4225" spans="1:4" ht="15.6" thickTop="1" thickBot="1">
      <c r="A4225" s="7"/>
      <c r="B4225" s="7" t="s">
        <v>23</v>
      </c>
      <c r="C4225" s="7" t="s">
        <v>1572</v>
      </c>
      <c r="D4225" t="str">
        <f t="shared" si="74"/>
        <v>URY</v>
      </c>
    </row>
    <row r="4226" spans="1:4" ht="15.6" thickTop="1" thickBot="1">
      <c r="A4226" s="7"/>
      <c r="B4226" s="7" t="s">
        <v>24</v>
      </c>
      <c r="C4226" s="7">
        <v>2460</v>
      </c>
      <c r="D4226" t="str">
        <f t="shared" ref="D4226:D4289" si="75">IF(ISNUMBER(FIND(":", A4226)), LEFT(A4226, FIND(":", A4226) - 1), D4225)</f>
        <v>URY</v>
      </c>
    </row>
    <row r="4227" spans="1:4" ht="20.399999999999999" thickTop="1" thickBot="1">
      <c r="A4227" s="9" t="s">
        <v>1575</v>
      </c>
      <c r="B4227" s="10"/>
      <c r="C4227" s="11"/>
      <c r="D4227" t="str">
        <f t="shared" si="75"/>
        <v>UZB</v>
      </c>
    </row>
    <row r="4228" spans="1:4" ht="30" thickTop="1" thickBot="1">
      <c r="A4228" s="7"/>
      <c r="B4228" s="7" t="s">
        <v>25</v>
      </c>
      <c r="C4228" s="8">
        <v>425400</v>
      </c>
      <c r="D4228" t="str">
        <f t="shared" si="75"/>
        <v>UZB</v>
      </c>
    </row>
    <row r="4229" spans="1:4" ht="30" thickTop="1" thickBot="1">
      <c r="A4229" s="7"/>
      <c r="B4229" s="7" t="s">
        <v>26</v>
      </c>
      <c r="C4229" s="7" t="s">
        <v>1576</v>
      </c>
      <c r="D4229" t="str">
        <f t="shared" si="75"/>
        <v>UZB</v>
      </c>
    </row>
    <row r="4230" spans="1:4" ht="20.399999999999999" thickTop="1" thickBot="1">
      <c r="A4230" s="7"/>
      <c r="B4230" s="7" t="s">
        <v>28</v>
      </c>
      <c r="C4230" s="7" t="s">
        <v>1577</v>
      </c>
      <c r="D4230" t="str">
        <f t="shared" si="75"/>
        <v>UZB</v>
      </c>
    </row>
    <row r="4231" spans="1:4" ht="20.399999999999999" thickTop="1" thickBot="1">
      <c r="A4231" s="7"/>
      <c r="B4231" s="7" t="s">
        <v>30</v>
      </c>
      <c r="C4231" s="7" t="s">
        <v>1578</v>
      </c>
      <c r="D4231" t="str">
        <f t="shared" si="75"/>
        <v>UZB</v>
      </c>
    </row>
    <row r="4232" spans="1:4" ht="20.399999999999999" thickTop="1" thickBot="1">
      <c r="A4232" s="7"/>
      <c r="B4232" s="7" t="s">
        <v>32</v>
      </c>
      <c r="C4232" s="7" t="s">
        <v>33</v>
      </c>
      <c r="D4232" t="str">
        <f t="shared" si="75"/>
        <v>UZB</v>
      </c>
    </row>
    <row r="4233" spans="1:4" ht="49.2" thickTop="1" thickBot="1">
      <c r="A4233" s="7"/>
      <c r="B4233" s="7" t="s">
        <v>9</v>
      </c>
      <c r="C4233" s="7">
        <v>2017</v>
      </c>
      <c r="D4233" t="str">
        <f t="shared" si="75"/>
        <v>UZB</v>
      </c>
    </row>
    <row r="4234" spans="1:4" ht="39.6" thickTop="1" thickBot="1">
      <c r="A4234" s="7"/>
      <c r="B4234" s="7" t="s">
        <v>10</v>
      </c>
      <c r="C4234" s="7">
        <v>2018</v>
      </c>
      <c r="D4234" t="str">
        <f t="shared" si="75"/>
        <v>UZB</v>
      </c>
    </row>
    <row r="4235" spans="1:4" ht="20.399999999999999" thickTop="1" thickBot="1">
      <c r="A4235" s="7"/>
      <c r="B4235" s="7" t="s">
        <v>1</v>
      </c>
      <c r="C4235" s="7" t="s">
        <v>35</v>
      </c>
      <c r="D4235" t="str">
        <f t="shared" si="75"/>
        <v>UZB</v>
      </c>
    </row>
    <row r="4236" spans="1:4" ht="30" thickTop="1" thickBot="1">
      <c r="A4236" s="7"/>
      <c r="B4236" s="7" t="s">
        <v>3</v>
      </c>
      <c r="C4236" s="7" t="s">
        <v>69</v>
      </c>
      <c r="D4236" t="str">
        <f t="shared" si="75"/>
        <v>UZB</v>
      </c>
    </row>
    <row r="4237" spans="1:4" ht="20.399999999999999" thickTop="1" thickBot="1">
      <c r="A4237" s="7"/>
      <c r="B4237" s="7" t="s">
        <v>5</v>
      </c>
      <c r="C4237" s="7" t="s">
        <v>37</v>
      </c>
      <c r="D4237" t="str">
        <f t="shared" si="75"/>
        <v>UZB</v>
      </c>
    </row>
    <row r="4238" spans="1:4" ht="30" thickTop="1" thickBot="1">
      <c r="A4238" s="7"/>
      <c r="B4238" s="7" t="s">
        <v>7</v>
      </c>
      <c r="C4238" s="7" t="s">
        <v>70</v>
      </c>
      <c r="D4238" t="str">
        <f t="shared" si="75"/>
        <v>UZB</v>
      </c>
    </row>
    <row r="4239" spans="1:4" ht="15.6" thickTop="1" thickBot="1">
      <c r="A4239" s="7"/>
      <c r="B4239" s="7" t="s">
        <v>11</v>
      </c>
      <c r="C4239" s="7" t="s">
        <v>1579</v>
      </c>
      <c r="D4239" t="str">
        <f t="shared" si="75"/>
        <v>UZB</v>
      </c>
    </row>
    <row r="4240" spans="1:4" ht="15.6" thickTop="1" thickBot="1">
      <c r="A4240" s="7"/>
      <c r="B4240" s="7" t="s">
        <v>13</v>
      </c>
      <c r="C4240" s="7" t="s">
        <v>1579</v>
      </c>
      <c r="D4240" t="str">
        <f t="shared" si="75"/>
        <v>UZB</v>
      </c>
    </row>
    <row r="4241" spans="1:4" ht="15.6" thickTop="1" thickBot="1">
      <c r="A4241" s="7"/>
      <c r="B4241" s="7" t="s">
        <v>15</v>
      </c>
      <c r="C4241" s="7" t="s">
        <v>1580</v>
      </c>
      <c r="D4241" t="str">
        <f t="shared" si="75"/>
        <v>UZB</v>
      </c>
    </row>
    <row r="4242" spans="1:4" ht="15.6" thickTop="1" thickBot="1">
      <c r="A4242" s="7"/>
      <c r="B4242" s="7" t="s">
        <v>16</v>
      </c>
      <c r="C4242" s="7" t="s">
        <v>1579</v>
      </c>
      <c r="D4242" t="str">
        <f t="shared" si="75"/>
        <v>UZB</v>
      </c>
    </row>
    <row r="4243" spans="1:4" ht="15.6" thickTop="1" thickBot="1">
      <c r="A4243" s="7"/>
      <c r="B4243" s="7" t="s">
        <v>17</v>
      </c>
      <c r="C4243" s="7" t="s">
        <v>1580</v>
      </c>
      <c r="D4243" t="str">
        <f t="shared" si="75"/>
        <v>UZB</v>
      </c>
    </row>
    <row r="4244" spans="1:4" ht="15.6" thickTop="1" thickBot="1">
      <c r="A4244" s="7"/>
      <c r="B4244" s="7" t="s">
        <v>18</v>
      </c>
      <c r="C4244" s="7" t="s">
        <v>1580</v>
      </c>
      <c r="D4244" t="str">
        <f t="shared" si="75"/>
        <v>UZB</v>
      </c>
    </row>
    <row r="4245" spans="1:4" ht="15.6" thickTop="1" thickBot="1">
      <c r="A4245" s="7"/>
      <c r="B4245" s="7" t="s">
        <v>19</v>
      </c>
      <c r="C4245" s="7" t="s">
        <v>1581</v>
      </c>
      <c r="D4245" t="str">
        <f t="shared" si="75"/>
        <v>UZB</v>
      </c>
    </row>
    <row r="4246" spans="1:4" ht="15.6" thickTop="1" thickBot="1">
      <c r="A4246" s="7"/>
      <c r="B4246" s="7" t="s">
        <v>21</v>
      </c>
      <c r="C4246" s="7" t="s">
        <v>1580</v>
      </c>
      <c r="D4246" t="str">
        <f t="shared" si="75"/>
        <v>UZB</v>
      </c>
    </row>
    <row r="4247" spans="1:4" ht="15.6" thickTop="1" thickBot="1">
      <c r="A4247" s="7"/>
      <c r="B4247" s="7" t="s">
        <v>22</v>
      </c>
      <c r="C4247" s="7" t="s">
        <v>1579</v>
      </c>
      <c r="D4247" t="str">
        <f t="shared" si="75"/>
        <v>UZB</v>
      </c>
    </row>
    <row r="4248" spans="1:4" ht="15.6" thickTop="1" thickBot="1">
      <c r="A4248" s="7"/>
      <c r="B4248" s="7" t="s">
        <v>23</v>
      </c>
      <c r="C4248" s="7" t="s">
        <v>1580</v>
      </c>
      <c r="D4248" t="str">
        <f t="shared" si="75"/>
        <v>UZB</v>
      </c>
    </row>
    <row r="4249" spans="1:4" ht="15.6" thickTop="1" thickBot="1">
      <c r="A4249" s="7"/>
      <c r="B4249" s="7" t="s">
        <v>24</v>
      </c>
      <c r="C4249" s="7">
        <v>4335</v>
      </c>
      <c r="D4249" t="str">
        <f t="shared" si="75"/>
        <v>UZB</v>
      </c>
    </row>
    <row r="4250" spans="1:4" ht="20.399999999999999" thickTop="1" thickBot="1">
      <c r="A4250" s="9" t="s">
        <v>1582</v>
      </c>
      <c r="B4250" s="10"/>
      <c r="C4250" s="11"/>
      <c r="D4250" t="str">
        <f t="shared" si="75"/>
        <v>VUT</v>
      </c>
    </row>
    <row r="4251" spans="1:4" ht="30" thickTop="1" thickBot="1">
      <c r="A4251" s="7"/>
      <c r="B4251" s="7" t="s">
        <v>25</v>
      </c>
      <c r="C4251" s="8">
        <v>12190</v>
      </c>
      <c r="D4251" t="str">
        <f t="shared" si="75"/>
        <v>VUT</v>
      </c>
    </row>
    <row r="4252" spans="1:4" ht="68.400000000000006" thickTop="1" thickBot="1">
      <c r="A4252" s="7"/>
      <c r="B4252" s="7" t="s">
        <v>26</v>
      </c>
      <c r="C4252" s="7" t="s">
        <v>1583</v>
      </c>
      <c r="D4252" t="str">
        <f t="shared" si="75"/>
        <v>VUT</v>
      </c>
    </row>
    <row r="4253" spans="1:4" ht="20.399999999999999" thickTop="1" thickBot="1">
      <c r="A4253" s="7"/>
      <c r="B4253" s="7" t="s">
        <v>28</v>
      </c>
      <c r="C4253" s="7" t="s">
        <v>1584</v>
      </c>
      <c r="D4253" t="str">
        <f t="shared" si="75"/>
        <v>VUT</v>
      </c>
    </row>
    <row r="4254" spans="1:4" ht="20.399999999999999" thickTop="1" thickBot="1">
      <c r="A4254" s="7"/>
      <c r="B4254" s="7" t="s">
        <v>30</v>
      </c>
      <c r="C4254" s="7" t="s">
        <v>1584</v>
      </c>
      <c r="D4254" t="str">
        <f t="shared" si="75"/>
        <v>VUT</v>
      </c>
    </row>
    <row r="4255" spans="1:4" ht="20.399999999999999" thickTop="1" thickBot="1">
      <c r="A4255" s="7"/>
      <c r="B4255" s="7" t="s">
        <v>32</v>
      </c>
      <c r="C4255" s="7" t="s">
        <v>33</v>
      </c>
      <c r="D4255" t="str">
        <f t="shared" si="75"/>
        <v>VUT</v>
      </c>
    </row>
    <row r="4256" spans="1:4" ht="49.2" thickTop="1" thickBot="1">
      <c r="A4256" s="7"/>
      <c r="B4256" s="7" t="s">
        <v>9</v>
      </c>
      <c r="C4256" s="7">
        <v>2017</v>
      </c>
      <c r="D4256" t="str">
        <f t="shared" si="75"/>
        <v>VUT</v>
      </c>
    </row>
    <row r="4257" spans="1:4" ht="39.6" thickTop="1" thickBot="1">
      <c r="A4257" s="7"/>
      <c r="B4257" s="7" t="s">
        <v>10</v>
      </c>
      <c r="C4257" s="7">
        <v>2018</v>
      </c>
      <c r="D4257" t="str">
        <f t="shared" si="75"/>
        <v>VUT</v>
      </c>
    </row>
    <row r="4258" spans="1:4" ht="20.399999999999999" thickTop="1" thickBot="1">
      <c r="A4258" s="7"/>
      <c r="B4258" s="7" t="s">
        <v>1</v>
      </c>
      <c r="C4258" s="7" t="s">
        <v>107</v>
      </c>
      <c r="D4258" t="str">
        <f t="shared" si="75"/>
        <v>VUT</v>
      </c>
    </row>
    <row r="4259" spans="1:4" ht="30" thickTop="1" thickBot="1">
      <c r="A4259" s="7"/>
      <c r="B4259" s="7" t="s">
        <v>3</v>
      </c>
      <c r="C4259" s="7" t="s">
        <v>69</v>
      </c>
      <c r="D4259" t="str">
        <f t="shared" si="75"/>
        <v>VUT</v>
      </c>
    </row>
    <row r="4260" spans="1:4" ht="20.399999999999999" thickTop="1" thickBot="1">
      <c r="A4260" s="7"/>
      <c r="B4260" s="7" t="s">
        <v>5</v>
      </c>
      <c r="C4260" s="7" t="s">
        <v>108</v>
      </c>
      <c r="D4260" t="str">
        <f t="shared" si="75"/>
        <v>VUT</v>
      </c>
    </row>
    <row r="4261" spans="1:4" ht="30" thickTop="1" thickBot="1">
      <c r="A4261" s="7"/>
      <c r="B4261" s="7" t="s">
        <v>7</v>
      </c>
      <c r="C4261" s="7" t="s">
        <v>70</v>
      </c>
      <c r="D4261" t="str">
        <f t="shared" si="75"/>
        <v>VUT</v>
      </c>
    </row>
    <row r="4262" spans="1:4" ht="15.6" thickTop="1" thickBot="1">
      <c r="A4262" s="7"/>
      <c r="B4262" s="7" t="s">
        <v>13</v>
      </c>
      <c r="C4262" s="7" t="s">
        <v>1585</v>
      </c>
      <c r="D4262" t="str">
        <f t="shared" si="75"/>
        <v>VUT</v>
      </c>
    </row>
    <row r="4263" spans="1:4" ht="15.6" thickTop="1" thickBot="1">
      <c r="A4263" s="7"/>
      <c r="B4263" s="7" t="s">
        <v>15</v>
      </c>
      <c r="C4263" s="7" t="s">
        <v>1586</v>
      </c>
      <c r="D4263" t="str">
        <f t="shared" si="75"/>
        <v>VUT</v>
      </c>
    </row>
    <row r="4264" spans="1:4" ht="15.6" thickTop="1" thickBot="1">
      <c r="A4264" s="7"/>
      <c r="B4264" s="7" t="s">
        <v>16</v>
      </c>
      <c r="C4264" s="7" t="s">
        <v>1587</v>
      </c>
      <c r="D4264" t="str">
        <f t="shared" si="75"/>
        <v>VUT</v>
      </c>
    </row>
    <row r="4265" spans="1:4" ht="15.6" thickTop="1" thickBot="1">
      <c r="A4265" s="7"/>
      <c r="B4265" s="7" t="s">
        <v>17</v>
      </c>
      <c r="C4265" s="7" t="s">
        <v>1588</v>
      </c>
      <c r="D4265" t="str">
        <f t="shared" si="75"/>
        <v>VUT</v>
      </c>
    </row>
    <row r="4266" spans="1:4" ht="15.6" thickTop="1" thickBot="1">
      <c r="A4266" s="7"/>
      <c r="B4266" s="7" t="s">
        <v>18</v>
      </c>
      <c r="C4266" s="7" t="s">
        <v>1588</v>
      </c>
      <c r="D4266" t="str">
        <f t="shared" si="75"/>
        <v>VUT</v>
      </c>
    </row>
    <row r="4267" spans="1:4" ht="15.6" thickTop="1" thickBot="1">
      <c r="A4267" s="7"/>
      <c r="B4267" s="7" t="s">
        <v>19</v>
      </c>
      <c r="C4267" s="7" t="s">
        <v>1589</v>
      </c>
      <c r="D4267" t="str">
        <f t="shared" si="75"/>
        <v>VUT</v>
      </c>
    </row>
    <row r="4268" spans="1:4" ht="15.6" thickTop="1" thickBot="1">
      <c r="A4268" s="7"/>
      <c r="B4268" s="7" t="s">
        <v>21</v>
      </c>
      <c r="C4268" s="7" t="s">
        <v>1586</v>
      </c>
      <c r="D4268" t="str">
        <f t="shared" si="75"/>
        <v>VUT</v>
      </c>
    </row>
    <row r="4269" spans="1:4" ht="15.6" thickTop="1" thickBot="1">
      <c r="A4269" s="7"/>
      <c r="B4269" s="7" t="s">
        <v>22</v>
      </c>
      <c r="C4269" s="7" t="s">
        <v>1590</v>
      </c>
      <c r="D4269" t="str">
        <f t="shared" si="75"/>
        <v>VUT</v>
      </c>
    </row>
    <row r="4270" spans="1:4" ht="15.6" thickTop="1" thickBot="1">
      <c r="A4270" s="7"/>
      <c r="B4270" s="7" t="s">
        <v>23</v>
      </c>
      <c r="C4270" s="7" t="s">
        <v>1588</v>
      </c>
      <c r="D4270" t="str">
        <f t="shared" si="75"/>
        <v>VUT</v>
      </c>
    </row>
    <row r="4271" spans="1:4" ht="15.6" thickTop="1" thickBot="1">
      <c r="A4271" s="7"/>
      <c r="B4271" s="7" t="s">
        <v>24</v>
      </c>
      <c r="C4271" s="7">
        <v>5207</v>
      </c>
      <c r="D4271" t="str">
        <f t="shared" si="75"/>
        <v>VUT</v>
      </c>
    </row>
    <row r="4272" spans="1:4" ht="39.6" thickTop="1" thickBot="1">
      <c r="A4272" s="9" t="s">
        <v>1591</v>
      </c>
      <c r="B4272" s="10"/>
      <c r="C4272" s="11"/>
      <c r="D4272" t="str">
        <f t="shared" si="75"/>
        <v>VEN</v>
      </c>
    </row>
    <row r="4273" spans="1:4" ht="30" thickTop="1" thickBot="1">
      <c r="A4273" s="7"/>
      <c r="B4273" s="7" t="s">
        <v>25</v>
      </c>
      <c r="C4273" s="8">
        <v>882050</v>
      </c>
      <c r="D4273" t="str">
        <f t="shared" si="75"/>
        <v>VEN</v>
      </c>
    </row>
    <row r="4274" spans="1:4" ht="39.6" thickTop="1" thickBot="1">
      <c r="A4274" s="7"/>
      <c r="B4274" s="7" t="s">
        <v>26</v>
      </c>
      <c r="C4274" s="7" t="s">
        <v>1592</v>
      </c>
      <c r="D4274" t="str">
        <f t="shared" si="75"/>
        <v>VEN</v>
      </c>
    </row>
    <row r="4275" spans="1:4" ht="39.6" thickTop="1" thickBot="1">
      <c r="A4275" s="7"/>
      <c r="B4275" s="7" t="s">
        <v>28</v>
      </c>
      <c r="C4275" s="7" t="s">
        <v>1593</v>
      </c>
      <c r="D4275" t="str">
        <f t="shared" si="75"/>
        <v>VEN</v>
      </c>
    </row>
    <row r="4276" spans="1:4" ht="39.6" thickTop="1" thickBot="1">
      <c r="A4276" s="7"/>
      <c r="B4276" s="7" t="s">
        <v>30</v>
      </c>
      <c r="C4276" s="7" t="s">
        <v>1594</v>
      </c>
      <c r="D4276" t="str">
        <f t="shared" si="75"/>
        <v>VEN</v>
      </c>
    </row>
    <row r="4277" spans="1:4" ht="20.399999999999999" thickTop="1" thickBot="1">
      <c r="A4277" s="7"/>
      <c r="B4277" s="7" t="s">
        <v>32</v>
      </c>
      <c r="C4277" s="7" t="s">
        <v>33</v>
      </c>
      <c r="D4277" t="str">
        <f t="shared" si="75"/>
        <v>VEN</v>
      </c>
    </row>
    <row r="4278" spans="1:4" ht="49.2" thickTop="1" thickBot="1">
      <c r="A4278" s="7"/>
      <c r="B4278" s="7" t="s">
        <v>9</v>
      </c>
      <c r="C4278" s="7">
        <v>2017</v>
      </c>
      <c r="D4278" t="str">
        <f t="shared" si="75"/>
        <v>VEN</v>
      </c>
    </row>
    <row r="4279" spans="1:4" ht="39.6" thickTop="1" thickBot="1">
      <c r="A4279" s="7"/>
      <c r="B4279" s="7" t="s">
        <v>10</v>
      </c>
      <c r="C4279" s="7">
        <v>2018</v>
      </c>
      <c r="D4279" t="str">
        <f t="shared" si="75"/>
        <v>VEN</v>
      </c>
    </row>
    <row r="4280" spans="1:4" ht="20.399999999999999" thickTop="1" thickBot="1">
      <c r="A4280" s="7"/>
      <c r="B4280" s="7" t="s">
        <v>1</v>
      </c>
      <c r="C4280" s="7" t="s">
        <v>79</v>
      </c>
      <c r="D4280" t="str">
        <f t="shared" si="75"/>
        <v>VEN</v>
      </c>
    </row>
    <row r="4281" spans="1:4" ht="30" thickTop="1" thickBot="1">
      <c r="A4281" s="7"/>
      <c r="B4281" s="7" t="s">
        <v>3</v>
      </c>
      <c r="C4281" s="7" t="s">
        <v>36</v>
      </c>
      <c r="D4281" t="str">
        <f t="shared" si="75"/>
        <v>VEN</v>
      </c>
    </row>
    <row r="4282" spans="1:4" ht="20.399999999999999" thickTop="1" thickBot="1">
      <c r="A4282" s="7"/>
      <c r="B4282" s="7" t="s">
        <v>5</v>
      </c>
      <c r="C4282" s="7" t="s">
        <v>80</v>
      </c>
      <c r="D4282" t="str">
        <f t="shared" si="75"/>
        <v>VEN</v>
      </c>
    </row>
    <row r="4283" spans="1:4" ht="30" thickTop="1" thickBot="1">
      <c r="A4283" s="7"/>
      <c r="B4283" s="7" t="s">
        <v>7</v>
      </c>
      <c r="C4283" s="7" t="s">
        <v>38</v>
      </c>
      <c r="D4283" t="str">
        <f t="shared" si="75"/>
        <v>VEN</v>
      </c>
    </row>
    <row r="4284" spans="1:4" ht="15.6" thickTop="1" thickBot="1">
      <c r="A4284" s="7"/>
      <c r="B4284" s="7" t="s">
        <v>11</v>
      </c>
      <c r="C4284" s="7" t="s">
        <v>1595</v>
      </c>
      <c r="D4284" t="str">
        <f t="shared" si="75"/>
        <v>VEN</v>
      </c>
    </row>
    <row r="4285" spans="1:4" ht="15.6" thickTop="1" thickBot="1">
      <c r="A4285" s="7"/>
      <c r="B4285" s="7" t="s">
        <v>13</v>
      </c>
      <c r="C4285" s="7" t="s">
        <v>1596</v>
      </c>
      <c r="D4285" t="str">
        <f t="shared" si="75"/>
        <v>VEN</v>
      </c>
    </row>
    <row r="4286" spans="1:4" ht="15.6" thickTop="1" thickBot="1">
      <c r="A4286" s="7"/>
      <c r="B4286" s="7" t="s">
        <v>15</v>
      </c>
      <c r="C4286" s="7" t="s">
        <v>1597</v>
      </c>
      <c r="D4286" t="str">
        <f t="shared" si="75"/>
        <v>VEN</v>
      </c>
    </row>
    <row r="4287" spans="1:4" ht="15.6" thickTop="1" thickBot="1">
      <c r="A4287" s="7"/>
      <c r="B4287" s="7" t="s">
        <v>16</v>
      </c>
      <c r="C4287" s="7" t="s">
        <v>1596</v>
      </c>
      <c r="D4287" t="str">
        <f t="shared" si="75"/>
        <v>VEN</v>
      </c>
    </row>
    <row r="4288" spans="1:4" ht="15.6" thickTop="1" thickBot="1">
      <c r="A4288" s="7"/>
      <c r="B4288" s="7" t="s">
        <v>17</v>
      </c>
      <c r="C4288" s="7" t="s">
        <v>1597</v>
      </c>
      <c r="D4288" t="str">
        <f t="shared" si="75"/>
        <v>VEN</v>
      </c>
    </row>
    <row r="4289" spans="1:4" ht="15.6" thickTop="1" thickBot="1">
      <c r="A4289" s="7"/>
      <c r="B4289" s="7" t="s">
        <v>18</v>
      </c>
      <c r="C4289" s="7" t="s">
        <v>1597</v>
      </c>
      <c r="D4289" t="str">
        <f t="shared" si="75"/>
        <v>VEN</v>
      </c>
    </row>
    <row r="4290" spans="1:4" ht="15.6" thickTop="1" thickBot="1">
      <c r="A4290" s="7"/>
      <c r="B4290" s="7" t="s">
        <v>19</v>
      </c>
      <c r="C4290" s="7" t="s">
        <v>1598</v>
      </c>
      <c r="D4290" t="str">
        <f t="shared" ref="D4290:D4353" si="76">IF(ISNUMBER(FIND(":", A4290)), LEFT(A4290, FIND(":", A4290) - 1), D4289)</f>
        <v>VEN</v>
      </c>
    </row>
    <row r="4291" spans="1:4" ht="15.6" thickTop="1" thickBot="1">
      <c r="A4291" s="7"/>
      <c r="B4291" s="7" t="s">
        <v>21</v>
      </c>
      <c r="C4291" s="7" t="s">
        <v>1597</v>
      </c>
      <c r="D4291" t="str">
        <f t="shared" si="76"/>
        <v>VEN</v>
      </c>
    </row>
    <row r="4292" spans="1:4" ht="15.6" thickTop="1" thickBot="1">
      <c r="A4292" s="7"/>
      <c r="B4292" s="7" t="s">
        <v>22</v>
      </c>
      <c r="C4292" s="7" t="s">
        <v>1599</v>
      </c>
      <c r="D4292" t="str">
        <f t="shared" si="76"/>
        <v>VEN</v>
      </c>
    </row>
    <row r="4293" spans="1:4" ht="15.6" thickTop="1" thickBot="1">
      <c r="A4293" s="7"/>
      <c r="B4293" s="7" t="s">
        <v>23</v>
      </c>
      <c r="C4293" s="7" t="s">
        <v>1597</v>
      </c>
      <c r="D4293" t="str">
        <f t="shared" si="76"/>
        <v>VEN</v>
      </c>
    </row>
    <row r="4294" spans="1:4" ht="15.6" thickTop="1" thickBot="1">
      <c r="A4294" s="7"/>
      <c r="B4294" s="7" t="s">
        <v>24</v>
      </c>
      <c r="C4294" s="7">
        <v>2470</v>
      </c>
      <c r="D4294" t="str">
        <f t="shared" si="76"/>
        <v>VEN</v>
      </c>
    </row>
    <row r="4295" spans="1:4" ht="20.399999999999999" thickTop="1" thickBot="1">
      <c r="A4295" s="9" t="s">
        <v>1600</v>
      </c>
      <c r="B4295" s="10"/>
      <c r="C4295" s="11"/>
      <c r="D4295" t="str">
        <f t="shared" si="76"/>
        <v>VNM</v>
      </c>
    </row>
    <row r="4296" spans="1:4" ht="30" thickTop="1" thickBot="1">
      <c r="A4296" s="7"/>
      <c r="B4296" s="7" t="s">
        <v>25</v>
      </c>
      <c r="C4296" s="8">
        <v>310070</v>
      </c>
      <c r="D4296" t="str">
        <f t="shared" si="76"/>
        <v>VNM</v>
      </c>
    </row>
    <row r="4297" spans="1:4" ht="20.399999999999999" thickTop="1" thickBot="1">
      <c r="A4297" s="7"/>
      <c r="B4297" s="7" t="s">
        <v>26</v>
      </c>
      <c r="C4297" s="7" t="s">
        <v>1601</v>
      </c>
      <c r="D4297" t="str">
        <f t="shared" si="76"/>
        <v>VNM</v>
      </c>
    </row>
    <row r="4298" spans="1:4" ht="20.399999999999999" thickTop="1" thickBot="1">
      <c r="A4298" s="7"/>
      <c r="B4298" s="7" t="s">
        <v>28</v>
      </c>
      <c r="C4298" s="7" t="s">
        <v>1602</v>
      </c>
      <c r="D4298" t="str">
        <f t="shared" si="76"/>
        <v>VNM</v>
      </c>
    </row>
    <row r="4299" spans="1:4" ht="20.399999999999999" thickTop="1" thickBot="1">
      <c r="A4299" s="7"/>
      <c r="B4299" s="7" t="s">
        <v>30</v>
      </c>
      <c r="C4299" s="7" t="s">
        <v>1602</v>
      </c>
      <c r="D4299" t="str">
        <f t="shared" si="76"/>
        <v>VNM</v>
      </c>
    </row>
    <row r="4300" spans="1:4" ht="20.399999999999999" thickTop="1" thickBot="1">
      <c r="A4300" s="7"/>
      <c r="B4300" s="7" t="s">
        <v>32</v>
      </c>
      <c r="C4300" s="7" t="s">
        <v>33</v>
      </c>
      <c r="D4300" t="str">
        <f t="shared" si="76"/>
        <v>VNM</v>
      </c>
    </row>
    <row r="4301" spans="1:4" ht="49.2" thickTop="1" thickBot="1">
      <c r="A4301" s="7"/>
      <c r="B4301" s="7" t="s">
        <v>9</v>
      </c>
      <c r="C4301" s="7">
        <v>2017</v>
      </c>
      <c r="D4301" t="str">
        <f t="shared" si="76"/>
        <v>VNM</v>
      </c>
    </row>
    <row r="4302" spans="1:4" ht="39.6" thickTop="1" thickBot="1">
      <c r="A4302" s="7"/>
      <c r="B4302" s="7" t="s">
        <v>10</v>
      </c>
      <c r="C4302" s="7">
        <v>2018</v>
      </c>
      <c r="D4302" t="str">
        <f t="shared" si="76"/>
        <v>VNM</v>
      </c>
    </row>
    <row r="4303" spans="1:4" ht="20.399999999999999" thickTop="1" thickBot="1">
      <c r="A4303" s="7"/>
      <c r="B4303" s="7" t="s">
        <v>1</v>
      </c>
      <c r="C4303" s="7" t="s">
        <v>107</v>
      </c>
      <c r="D4303" t="str">
        <f t="shared" si="76"/>
        <v>VNM</v>
      </c>
    </row>
    <row r="4304" spans="1:4" ht="30" thickTop="1" thickBot="1">
      <c r="A4304" s="7"/>
      <c r="B4304" s="7" t="s">
        <v>3</v>
      </c>
      <c r="C4304" s="7" t="s">
        <v>69</v>
      </c>
      <c r="D4304" t="str">
        <f t="shared" si="76"/>
        <v>VNM</v>
      </c>
    </row>
    <row r="4305" spans="1:4" ht="20.399999999999999" thickTop="1" thickBot="1">
      <c r="A4305" s="7"/>
      <c r="B4305" s="7" t="s">
        <v>5</v>
      </c>
      <c r="C4305" s="7" t="s">
        <v>108</v>
      </c>
      <c r="D4305" t="str">
        <f t="shared" si="76"/>
        <v>VNM</v>
      </c>
    </row>
    <row r="4306" spans="1:4" ht="30" thickTop="1" thickBot="1">
      <c r="A4306" s="7"/>
      <c r="B4306" s="7" t="s">
        <v>7</v>
      </c>
      <c r="C4306" s="7" t="s">
        <v>70</v>
      </c>
      <c r="D4306" t="str">
        <f t="shared" si="76"/>
        <v>VNM</v>
      </c>
    </row>
    <row r="4307" spans="1:4" ht="15.6" thickTop="1" thickBot="1">
      <c r="A4307" s="7"/>
      <c r="B4307" s="7" t="s">
        <v>11</v>
      </c>
      <c r="C4307" s="7" t="s">
        <v>1599</v>
      </c>
      <c r="D4307" t="str">
        <f t="shared" si="76"/>
        <v>VNM</v>
      </c>
    </row>
    <row r="4308" spans="1:4" ht="15.6" thickTop="1" thickBot="1">
      <c r="A4308" s="7"/>
      <c r="B4308" s="7" t="s">
        <v>13</v>
      </c>
      <c r="C4308" s="7" t="s">
        <v>1603</v>
      </c>
      <c r="D4308" t="str">
        <f t="shared" si="76"/>
        <v>VNM</v>
      </c>
    </row>
    <row r="4309" spans="1:4" ht="15.6" thickTop="1" thickBot="1">
      <c r="A4309" s="7"/>
      <c r="B4309" s="7" t="s">
        <v>15</v>
      </c>
      <c r="C4309" s="7" t="s">
        <v>1604</v>
      </c>
      <c r="D4309" t="str">
        <f t="shared" si="76"/>
        <v>VNM</v>
      </c>
    </row>
    <row r="4310" spans="1:4" ht="15.6" thickTop="1" thickBot="1">
      <c r="A4310" s="7"/>
      <c r="B4310" s="7" t="s">
        <v>16</v>
      </c>
      <c r="C4310" s="7" t="s">
        <v>1599</v>
      </c>
      <c r="D4310" t="str">
        <f t="shared" si="76"/>
        <v>VNM</v>
      </c>
    </row>
    <row r="4311" spans="1:4" ht="15.6" thickTop="1" thickBot="1">
      <c r="A4311" s="7"/>
      <c r="B4311" s="7" t="s">
        <v>17</v>
      </c>
      <c r="C4311" s="7" t="s">
        <v>1605</v>
      </c>
      <c r="D4311" t="str">
        <f t="shared" si="76"/>
        <v>VNM</v>
      </c>
    </row>
    <row r="4312" spans="1:4" ht="15.6" thickTop="1" thickBot="1">
      <c r="A4312" s="7"/>
      <c r="B4312" s="7" t="s">
        <v>18</v>
      </c>
      <c r="C4312" s="7" t="s">
        <v>1606</v>
      </c>
      <c r="D4312" t="str">
        <f t="shared" si="76"/>
        <v>VNM</v>
      </c>
    </row>
    <row r="4313" spans="1:4" ht="15.6" thickTop="1" thickBot="1">
      <c r="A4313" s="7"/>
      <c r="B4313" s="7" t="s">
        <v>19</v>
      </c>
      <c r="C4313" s="7" t="s">
        <v>1607</v>
      </c>
      <c r="D4313" t="str">
        <f t="shared" si="76"/>
        <v>VNM</v>
      </c>
    </row>
    <row r="4314" spans="1:4" ht="15.6" thickTop="1" thickBot="1">
      <c r="A4314" s="7"/>
      <c r="B4314" s="7" t="s">
        <v>21</v>
      </c>
      <c r="C4314" s="7" t="s">
        <v>1606</v>
      </c>
      <c r="D4314" t="str">
        <f t="shared" si="76"/>
        <v>VNM</v>
      </c>
    </row>
    <row r="4315" spans="1:4" ht="15.6" thickTop="1" thickBot="1">
      <c r="A4315" s="7"/>
      <c r="B4315" s="7" t="s">
        <v>22</v>
      </c>
      <c r="C4315" s="7" t="s">
        <v>1608</v>
      </c>
      <c r="D4315" t="str">
        <f t="shared" si="76"/>
        <v>VNM</v>
      </c>
    </row>
    <row r="4316" spans="1:4" ht="15.6" thickTop="1" thickBot="1">
      <c r="A4316" s="7"/>
      <c r="B4316" s="7" t="s">
        <v>23</v>
      </c>
      <c r="C4316" s="7" t="s">
        <v>1605</v>
      </c>
      <c r="D4316" t="str">
        <f t="shared" si="76"/>
        <v>VNM</v>
      </c>
    </row>
    <row r="4317" spans="1:4" ht="15.6" thickTop="1" thickBot="1">
      <c r="A4317" s="7"/>
      <c r="B4317" s="7" t="s">
        <v>24</v>
      </c>
      <c r="C4317" s="7">
        <v>3408</v>
      </c>
      <c r="D4317" t="str">
        <f t="shared" si="76"/>
        <v>VNM</v>
      </c>
    </row>
    <row r="4318" spans="1:4" ht="15.6" thickTop="1" thickBot="1">
      <c r="A4318" s="9" t="s">
        <v>1609</v>
      </c>
      <c r="B4318" s="10"/>
      <c r="C4318" s="11"/>
      <c r="D4318" t="str">
        <f t="shared" si="76"/>
        <v>YEM</v>
      </c>
    </row>
    <row r="4319" spans="1:4" ht="30" thickTop="1" thickBot="1">
      <c r="A4319" s="7"/>
      <c r="B4319" s="7" t="s">
        <v>25</v>
      </c>
      <c r="C4319" s="8">
        <v>527970</v>
      </c>
      <c r="D4319" t="str">
        <f t="shared" si="76"/>
        <v>YEM</v>
      </c>
    </row>
    <row r="4320" spans="1:4" ht="20.399999999999999" thickTop="1" thickBot="1">
      <c r="A4320" s="7"/>
      <c r="B4320" s="7" t="s">
        <v>26</v>
      </c>
      <c r="C4320" s="7" t="s">
        <v>486</v>
      </c>
      <c r="D4320" t="str">
        <f t="shared" si="76"/>
        <v>YEM</v>
      </c>
    </row>
    <row r="4321" spans="1:4" ht="20.399999999999999" thickTop="1" thickBot="1">
      <c r="A4321" s="7"/>
      <c r="B4321" s="7" t="s">
        <v>28</v>
      </c>
      <c r="C4321" s="7" t="s">
        <v>1610</v>
      </c>
      <c r="D4321" t="str">
        <f t="shared" si="76"/>
        <v>YEM</v>
      </c>
    </row>
    <row r="4322" spans="1:4" ht="20.399999999999999" thickTop="1" thickBot="1">
      <c r="A4322" s="7"/>
      <c r="B4322" s="7" t="s">
        <v>30</v>
      </c>
      <c r="C4322" s="7" t="s">
        <v>1611</v>
      </c>
      <c r="D4322" t="str">
        <f t="shared" si="76"/>
        <v>YEM</v>
      </c>
    </row>
    <row r="4323" spans="1:4" ht="20.399999999999999" thickTop="1" thickBot="1">
      <c r="A4323" s="7"/>
      <c r="B4323" s="7" t="s">
        <v>32</v>
      </c>
      <c r="C4323" s="7" t="s">
        <v>33</v>
      </c>
      <c r="D4323" t="str">
        <f t="shared" si="76"/>
        <v>YEM</v>
      </c>
    </row>
    <row r="4324" spans="1:4" ht="49.2" thickTop="1" thickBot="1">
      <c r="A4324" s="7"/>
      <c r="B4324" s="7" t="s">
        <v>9</v>
      </c>
      <c r="C4324" s="7">
        <v>2017</v>
      </c>
      <c r="D4324" t="str">
        <f t="shared" si="76"/>
        <v>YEM</v>
      </c>
    </row>
    <row r="4325" spans="1:4" ht="39.6" thickTop="1" thickBot="1">
      <c r="A4325" s="7"/>
      <c r="B4325" s="7" t="s">
        <v>10</v>
      </c>
      <c r="C4325" s="7">
        <v>2018</v>
      </c>
      <c r="D4325" t="str">
        <f t="shared" si="76"/>
        <v>YEM</v>
      </c>
    </row>
    <row r="4326" spans="1:4" ht="30" thickTop="1" thickBot="1">
      <c r="A4326" s="7"/>
      <c r="B4326" s="7" t="s">
        <v>1</v>
      </c>
      <c r="C4326" s="7" t="s">
        <v>2</v>
      </c>
      <c r="D4326" t="str">
        <f t="shared" si="76"/>
        <v>YEM</v>
      </c>
    </row>
    <row r="4327" spans="1:4" ht="30" thickTop="1" thickBot="1">
      <c r="A4327" s="7"/>
      <c r="B4327" s="7" t="s">
        <v>3</v>
      </c>
      <c r="C4327" s="7" t="s">
        <v>4</v>
      </c>
      <c r="D4327" t="str">
        <f t="shared" si="76"/>
        <v>YEM</v>
      </c>
    </row>
    <row r="4328" spans="1:4" ht="20.399999999999999" thickTop="1" thickBot="1">
      <c r="A4328" s="7"/>
      <c r="B4328" s="7" t="s">
        <v>5</v>
      </c>
      <c r="C4328" s="7" t="s">
        <v>6</v>
      </c>
      <c r="D4328" t="str">
        <f t="shared" si="76"/>
        <v>YEM</v>
      </c>
    </row>
    <row r="4329" spans="1:4" ht="30" thickTop="1" thickBot="1">
      <c r="A4329" s="7"/>
      <c r="B4329" s="7" t="s">
        <v>7</v>
      </c>
      <c r="C4329" s="7" t="s">
        <v>8</v>
      </c>
      <c r="D4329" t="str">
        <f t="shared" si="76"/>
        <v>YEM</v>
      </c>
    </row>
    <row r="4330" spans="1:4" ht="15.6" thickTop="1" thickBot="1">
      <c r="A4330" s="7"/>
      <c r="B4330" s="7" t="s">
        <v>11</v>
      </c>
      <c r="C4330" s="7" t="s">
        <v>1612</v>
      </c>
      <c r="D4330" t="str">
        <f t="shared" si="76"/>
        <v>YEM</v>
      </c>
    </row>
    <row r="4331" spans="1:4" ht="15.6" thickTop="1" thickBot="1">
      <c r="A4331" s="7"/>
      <c r="B4331" s="7" t="s">
        <v>13</v>
      </c>
      <c r="C4331" s="7" t="s">
        <v>1613</v>
      </c>
      <c r="D4331" t="str">
        <f t="shared" si="76"/>
        <v>YEM</v>
      </c>
    </row>
    <row r="4332" spans="1:4" ht="15.6" thickTop="1" thickBot="1">
      <c r="A4332" s="7"/>
      <c r="B4332" s="7" t="s">
        <v>15</v>
      </c>
      <c r="C4332" s="7" t="s">
        <v>1614</v>
      </c>
      <c r="D4332" t="str">
        <f t="shared" si="76"/>
        <v>YEM</v>
      </c>
    </row>
    <row r="4333" spans="1:4" ht="15.6" thickTop="1" thickBot="1">
      <c r="A4333" s="7"/>
      <c r="B4333" s="7" t="s">
        <v>16</v>
      </c>
      <c r="C4333" s="7" t="s">
        <v>1615</v>
      </c>
      <c r="D4333" t="str">
        <f t="shared" si="76"/>
        <v>YEM</v>
      </c>
    </row>
    <row r="4334" spans="1:4" ht="15.6" thickTop="1" thickBot="1">
      <c r="A4334" s="7"/>
      <c r="B4334" s="7" t="s">
        <v>17</v>
      </c>
      <c r="C4334" s="7" t="s">
        <v>1614</v>
      </c>
      <c r="D4334" t="str">
        <f t="shared" si="76"/>
        <v>YEM</v>
      </c>
    </row>
    <row r="4335" spans="1:4" ht="15.6" thickTop="1" thickBot="1">
      <c r="A4335" s="7"/>
      <c r="B4335" s="7" t="s">
        <v>18</v>
      </c>
      <c r="C4335" s="7" t="s">
        <v>1614</v>
      </c>
      <c r="D4335" t="str">
        <f t="shared" si="76"/>
        <v>YEM</v>
      </c>
    </row>
    <row r="4336" spans="1:4" ht="15.6" thickTop="1" thickBot="1">
      <c r="A4336" s="7"/>
      <c r="B4336" s="7" t="s">
        <v>19</v>
      </c>
      <c r="C4336" s="7" t="s">
        <v>1616</v>
      </c>
      <c r="D4336" t="str">
        <f t="shared" si="76"/>
        <v>YEM</v>
      </c>
    </row>
    <row r="4337" spans="1:4" ht="15.6" thickTop="1" thickBot="1">
      <c r="A4337" s="7"/>
      <c r="B4337" s="7" t="s">
        <v>21</v>
      </c>
      <c r="C4337" s="7" t="s">
        <v>1614</v>
      </c>
      <c r="D4337" t="str">
        <f t="shared" si="76"/>
        <v>YEM</v>
      </c>
    </row>
    <row r="4338" spans="1:4" ht="15.6" thickTop="1" thickBot="1">
      <c r="A4338" s="7"/>
      <c r="B4338" s="7" t="s">
        <v>22</v>
      </c>
      <c r="C4338" s="7" t="s">
        <v>1615</v>
      </c>
      <c r="D4338" t="str">
        <f t="shared" si="76"/>
        <v>YEM</v>
      </c>
    </row>
    <row r="4339" spans="1:4" ht="15.6" thickTop="1" thickBot="1">
      <c r="A4339" s="7"/>
      <c r="B4339" s="7" t="s">
        <v>23</v>
      </c>
      <c r="C4339" s="7" t="s">
        <v>1614</v>
      </c>
      <c r="D4339" t="str">
        <f t="shared" si="76"/>
        <v>YEM</v>
      </c>
    </row>
    <row r="4340" spans="1:4" ht="15.6" thickTop="1" thickBot="1">
      <c r="A4340" s="7"/>
      <c r="B4340" s="7" t="s">
        <v>24</v>
      </c>
      <c r="C4340" s="7">
        <v>3420</v>
      </c>
      <c r="D4340" t="str">
        <f t="shared" si="76"/>
        <v>YEM</v>
      </c>
    </row>
    <row r="4341" spans="1:4" ht="15.6" thickTop="1" thickBot="1">
      <c r="A4341" s="9" t="s">
        <v>1617</v>
      </c>
      <c r="B4341" s="10"/>
      <c r="C4341" s="11"/>
      <c r="D4341" t="str">
        <f t="shared" si="76"/>
        <v>ZMB</v>
      </c>
    </row>
    <row r="4342" spans="1:4" ht="30" thickTop="1" thickBot="1">
      <c r="A4342" s="7"/>
      <c r="B4342" s="7" t="s">
        <v>25</v>
      </c>
      <c r="C4342" s="8">
        <v>743390</v>
      </c>
      <c r="D4342" t="str">
        <f t="shared" si="76"/>
        <v>ZMB</v>
      </c>
    </row>
    <row r="4343" spans="1:4" ht="78" thickTop="1" thickBot="1">
      <c r="A4343" s="7"/>
      <c r="B4343" s="7" t="s">
        <v>26</v>
      </c>
      <c r="C4343" s="7" t="s">
        <v>1618</v>
      </c>
      <c r="D4343" t="str">
        <f t="shared" si="76"/>
        <v>ZMB</v>
      </c>
    </row>
    <row r="4344" spans="1:4" ht="20.399999999999999" thickTop="1" thickBot="1">
      <c r="A4344" s="7"/>
      <c r="B4344" s="7" t="s">
        <v>28</v>
      </c>
      <c r="C4344" s="7" t="s">
        <v>1619</v>
      </c>
      <c r="D4344" t="str">
        <f t="shared" si="76"/>
        <v>ZMB</v>
      </c>
    </row>
    <row r="4345" spans="1:4" ht="20.399999999999999" thickTop="1" thickBot="1">
      <c r="A4345" s="7"/>
      <c r="B4345" s="7" t="s">
        <v>30</v>
      </c>
      <c r="C4345" s="7" t="s">
        <v>1620</v>
      </c>
      <c r="D4345" t="str">
        <f t="shared" si="76"/>
        <v>ZMB</v>
      </c>
    </row>
    <row r="4346" spans="1:4" ht="20.399999999999999" thickTop="1" thickBot="1">
      <c r="A4346" s="7"/>
      <c r="B4346" s="7" t="s">
        <v>32</v>
      </c>
      <c r="C4346" s="7" t="s">
        <v>33</v>
      </c>
      <c r="D4346" t="str">
        <f t="shared" si="76"/>
        <v>ZMB</v>
      </c>
    </row>
    <row r="4347" spans="1:4" ht="49.2" thickTop="1" thickBot="1">
      <c r="A4347" s="7"/>
      <c r="B4347" s="7" t="s">
        <v>9</v>
      </c>
      <c r="C4347" s="7">
        <v>2017</v>
      </c>
      <c r="D4347" t="str">
        <f t="shared" si="76"/>
        <v>ZMB</v>
      </c>
    </row>
    <row r="4348" spans="1:4" ht="39.6" thickTop="1" thickBot="1">
      <c r="A4348" s="7"/>
      <c r="B4348" s="7" t="s">
        <v>10</v>
      </c>
      <c r="C4348" s="7">
        <v>2018</v>
      </c>
      <c r="D4348" t="str">
        <f t="shared" si="76"/>
        <v>ZMB</v>
      </c>
    </row>
    <row r="4349" spans="1:4" ht="20.399999999999999" thickTop="1" thickBot="1">
      <c r="A4349" s="7"/>
      <c r="B4349" s="7" t="s">
        <v>1</v>
      </c>
      <c r="C4349" s="7" t="s">
        <v>50</v>
      </c>
      <c r="D4349" t="str">
        <f t="shared" si="76"/>
        <v>ZMB</v>
      </c>
    </row>
    <row r="4350" spans="1:4" ht="30" thickTop="1" thickBot="1">
      <c r="A4350" s="7"/>
      <c r="B4350" s="7" t="s">
        <v>3</v>
      </c>
      <c r="C4350" s="7" t="s">
        <v>69</v>
      </c>
      <c r="D4350" t="str">
        <f t="shared" si="76"/>
        <v>ZMB</v>
      </c>
    </row>
    <row r="4351" spans="1:4" ht="20.399999999999999" thickTop="1" thickBot="1">
      <c r="A4351" s="7"/>
      <c r="B4351" s="7" t="s">
        <v>5</v>
      </c>
      <c r="C4351" s="7" t="s">
        <v>51</v>
      </c>
      <c r="D4351" t="str">
        <f t="shared" si="76"/>
        <v>ZMB</v>
      </c>
    </row>
    <row r="4352" spans="1:4" ht="30" thickTop="1" thickBot="1">
      <c r="A4352" s="7"/>
      <c r="B4352" s="7" t="s">
        <v>7</v>
      </c>
      <c r="C4352" s="7" t="s">
        <v>70</v>
      </c>
      <c r="D4352" t="str">
        <f t="shared" si="76"/>
        <v>ZMB</v>
      </c>
    </row>
    <row r="4353" spans="1:4" ht="15.6" thickTop="1" thickBot="1">
      <c r="A4353" s="7"/>
      <c r="B4353" s="7" t="s">
        <v>11</v>
      </c>
      <c r="C4353" s="7" t="s">
        <v>1621</v>
      </c>
      <c r="D4353" t="str">
        <f t="shared" si="76"/>
        <v>ZMB</v>
      </c>
    </row>
    <row r="4354" spans="1:4" ht="15.6" thickTop="1" thickBot="1">
      <c r="A4354" s="7"/>
      <c r="B4354" s="7" t="s">
        <v>13</v>
      </c>
      <c r="C4354" s="7" t="s">
        <v>1367</v>
      </c>
      <c r="D4354" t="str">
        <f t="shared" ref="D4354:D4417" si="77">IF(ISNUMBER(FIND(":", A4354)), LEFT(A4354, FIND(":", A4354) - 1), D4353)</f>
        <v>ZMB</v>
      </c>
    </row>
    <row r="4355" spans="1:4" ht="15.6" thickTop="1" thickBot="1">
      <c r="A4355" s="7"/>
      <c r="B4355" s="7" t="s">
        <v>15</v>
      </c>
      <c r="C4355" s="7" t="s">
        <v>1622</v>
      </c>
      <c r="D4355" t="str">
        <f t="shared" si="77"/>
        <v>ZMB</v>
      </c>
    </row>
    <row r="4356" spans="1:4" ht="15.6" thickTop="1" thickBot="1">
      <c r="A4356" s="7"/>
      <c r="B4356" s="7" t="s">
        <v>16</v>
      </c>
      <c r="C4356" s="7" t="s">
        <v>1255</v>
      </c>
      <c r="D4356" t="str">
        <f t="shared" si="77"/>
        <v>ZMB</v>
      </c>
    </row>
    <row r="4357" spans="1:4" ht="15.6" thickTop="1" thickBot="1">
      <c r="A4357" s="7"/>
      <c r="B4357" s="7" t="s">
        <v>17</v>
      </c>
      <c r="C4357" s="7" t="s">
        <v>1623</v>
      </c>
      <c r="D4357" t="str">
        <f t="shared" si="77"/>
        <v>ZMB</v>
      </c>
    </row>
    <row r="4358" spans="1:4" ht="15.6" thickTop="1" thickBot="1">
      <c r="A4358" s="7"/>
      <c r="B4358" s="7" t="s">
        <v>18</v>
      </c>
      <c r="C4358" s="7" t="s">
        <v>1623</v>
      </c>
      <c r="D4358" t="str">
        <f t="shared" si="77"/>
        <v>ZMB</v>
      </c>
    </row>
    <row r="4359" spans="1:4" ht="15.6" thickTop="1" thickBot="1">
      <c r="A4359" s="7"/>
      <c r="B4359" s="7" t="s">
        <v>19</v>
      </c>
      <c r="C4359" s="7" t="s">
        <v>1624</v>
      </c>
      <c r="D4359" t="str">
        <f t="shared" si="77"/>
        <v>ZMB</v>
      </c>
    </row>
    <row r="4360" spans="1:4" ht="15.6" thickTop="1" thickBot="1">
      <c r="A4360" s="7"/>
      <c r="B4360" s="7" t="s">
        <v>21</v>
      </c>
      <c r="C4360" s="7" t="s">
        <v>1622</v>
      </c>
      <c r="D4360" t="str">
        <f t="shared" si="77"/>
        <v>ZMB</v>
      </c>
    </row>
    <row r="4361" spans="1:4" ht="15.6" thickTop="1" thickBot="1">
      <c r="A4361" s="7"/>
      <c r="B4361" s="7" t="s">
        <v>22</v>
      </c>
      <c r="C4361" s="7" t="s">
        <v>1625</v>
      </c>
      <c r="D4361" t="str">
        <f t="shared" si="77"/>
        <v>ZMB</v>
      </c>
    </row>
    <row r="4362" spans="1:4" ht="15.6" thickTop="1" thickBot="1">
      <c r="A4362" s="7"/>
      <c r="B4362" s="7" t="s">
        <v>23</v>
      </c>
      <c r="C4362" s="7" t="s">
        <v>1623</v>
      </c>
      <c r="D4362" t="str">
        <f t="shared" si="77"/>
        <v>ZMB</v>
      </c>
    </row>
    <row r="4363" spans="1:4" ht="15.6" thickTop="1" thickBot="1">
      <c r="A4363" s="7"/>
      <c r="B4363" s="7" t="s">
        <v>24</v>
      </c>
      <c r="C4363" s="7">
        <v>1560</v>
      </c>
      <c r="D4363" t="str">
        <f t="shared" si="77"/>
        <v>ZMB</v>
      </c>
    </row>
    <row r="4364" spans="1:4" ht="20.399999999999999" thickTop="1" thickBot="1">
      <c r="A4364" s="9" t="s">
        <v>1626</v>
      </c>
      <c r="B4364" s="10"/>
      <c r="C4364" s="11"/>
      <c r="D4364" t="str">
        <f t="shared" si="77"/>
        <v>ZWE</v>
      </c>
    </row>
    <row r="4365" spans="1:4" ht="30" thickTop="1" thickBot="1">
      <c r="A4365" s="7"/>
      <c r="B4365" s="7" t="s">
        <v>25</v>
      </c>
      <c r="C4365" s="8">
        <v>386850</v>
      </c>
      <c r="D4365" t="str">
        <f t="shared" si="77"/>
        <v>ZWE</v>
      </c>
    </row>
    <row r="4366" spans="1:4" ht="49.2" thickTop="1" thickBot="1">
      <c r="A4366" s="7"/>
      <c r="B4366" s="7" t="s">
        <v>26</v>
      </c>
      <c r="C4366" s="7" t="s">
        <v>1627</v>
      </c>
      <c r="D4366" t="str">
        <f t="shared" si="77"/>
        <v>ZWE</v>
      </c>
    </row>
    <row r="4367" spans="1:4" ht="20.399999999999999" thickTop="1" thickBot="1">
      <c r="A4367" s="7"/>
      <c r="B4367" s="7" t="s">
        <v>28</v>
      </c>
      <c r="C4367" s="7" t="s">
        <v>1628</v>
      </c>
      <c r="D4367" t="str">
        <f t="shared" si="77"/>
        <v>ZWE</v>
      </c>
    </row>
    <row r="4368" spans="1:4" ht="20.399999999999999" thickTop="1" thickBot="1">
      <c r="A4368" s="7"/>
      <c r="B4368" s="7" t="s">
        <v>30</v>
      </c>
      <c r="C4368" s="7" t="s">
        <v>1628</v>
      </c>
      <c r="D4368" t="str">
        <f t="shared" si="77"/>
        <v>ZWE</v>
      </c>
    </row>
    <row r="4369" spans="1:4" ht="20.399999999999999" thickTop="1" thickBot="1">
      <c r="A4369" s="7"/>
      <c r="B4369" s="7" t="s">
        <v>32</v>
      </c>
      <c r="C4369" s="7" t="s">
        <v>33</v>
      </c>
      <c r="D4369" t="str">
        <f t="shared" si="77"/>
        <v>ZWE</v>
      </c>
    </row>
    <row r="4370" spans="1:4" ht="49.2" thickTop="1" thickBot="1">
      <c r="A4370" s="7"/>
      <c r="B4370" s="7" t="s">
        <v>9</v>
      </c>
      <c r="C4370" s="7">
        <v>2017</v>
      </c>
      <c r="D4370" t="str">
        <f t="shared" si="77"/>
        <v>ZWE</v>
      </c>
    </row>
    <row r="4371" spans="1:4" ht="39.6" thickTop="1" thickBot="1">
      <c r="A4371" s="7"/>
      <c r="B4371" s="7" t="s">
        <v>10</v>
      </c>
      <c r="C4371" s="7">
        <v>2018</v>
      </c>
      <c r="D4371" t="str">
        <f t="shared" si="77"/>
        <v>ZWE</v>
      </c>
    </row>
    <row r="4372" spans="1:4" ht="20.399999999999999" thickTop="1" thickBot="1">
      <c r="A4372" s="7"/>
      <c r="B4372" s="7" t="s">
        <v>1</v>
      </c>
      <c r="C4372" s="7" t="s">
        <v>50</v>
      </c>
      <c r="D4372" t="str">
        <f t="shared" si="77"/>
        <v>ZWE</v>
      </c>
    </row>
    <row r="4373" spans="1:4" ht="30" thickTop="1" thickBot="1">
      <c r="A4373" s="7"/>
      <c r="B4373" s="7" t="s">
        <v>3</v>
      </c>
      <c r="C4373" s="7" t="s">
        <v>4</v>
      </c>
      <c r="D4373" t="str">
        <f t="shared" si="77"/>
        <v>ZWE</v>
      </c>
    </row>
    <row r="4374" spans="1:4" ht="20.399999999999999" thickTop="1" thickBot="1">
      <c r="A4374" s="7"/>
      <c r="B4374" s="7" t="s">
        <v>5</v>
      </c>
      <c r="C4374" s="7" t="s">
        <v>51</v>
      </c>
      <c r="D4374" t="str">
        <f t="shared" si="77"/>
        <v>ZWE</v>
      </c>
    </row>
    <row r="4375" spans="1:4" ht="30" thickTop="1" thickBot="1">
      <c r="A4375" s="7"/>
      <c r="B4375" s="7" t="s">
        <v>7</v>
      </c>
      <c r="C4375" s="7" t="s">
        <v>8</v>
      </c>
      <c r="D4375" t="str">
        <f t="shared" si="77"/>
        <v>ZWE</v>
      </c>
    </row>
    <row r="4376" spans="1:4" ht="15.6" thickTop="1" thickBot="1">
      <c r="A4376" s="7"/>
      <c r="B4376" s="7" t="s">
        <v>11</v>
      </c>
      <c r="C4376" s="7" t="s">
        <v>1629</v>
      </c>
      <c r="D4376" t="str">
        <f t="shared" si="77"/>
        <v>ZWE</v>
      </c>
    </row>
    <row r="4377" spans="1:4" ht="15.6" thickTop="1" thickBot="1">
      <c r="A4377" s="7"/>
      <c r="B4377" s="7" t="s">
        <v>13</v>
      </c>
      <c r="C4377" s="7" t="s">
        <v>1630</v>
      </c>
      <c r="D4377" t="str">
        <f t="shared" si="77"/>
        <v>ZWE</v>
      </c>
    </row>
    <row r="4378" spans="1:4" ht="15.6" thickTop="1" thickBot="1">
      <c r="A4378" s="7"/>
      <c r="B4378" s="7" t="s">
        <v>23</v>
      </c>
      <c r="C4378" s="7" t="s">
        <v>1631</v>
      </c>
      <c r="D4378" t="str">
        <f t="shared" si="77"/>
        <v>ZWE</v>
      </c>
    </row>
    <row r="4379" spans="1:4" ht="15.6" thickTop="1" thickBot="1">
      <c r="A4379" s="7"/>
      <c r="B4379" s="7" t="s">
        <v>24</v>
      </c>
      <c r="C4379" s="7">
        <v>1570</v>
      </c>
      <c r="D4379" t="str">
        <f t="shared" si="77"/>
        <v>ZWE</v>
      </c>
    </row>
    <row r="4380" spans="1:4" ht="15.6" thickTop="1" thickBot="1">
      <c r="A4380" s="7"/>
      <c r="B4380" s="7" t="s">
        <v>21</v>
      </c>
      <c r="C4380" s="7" t="s">
        <v>1632</v>
      </c>
      <c r="D4380" t="str">
        <f t="shared" si="77"/>
        <v>ZWE</v>
      </c>
    </row>
    <row r="4381" spans="1:4" ht="15.6" thickTop="1" thickBot="1">
      <c r="A4381" s="7"/>
      <c r="B4381" s="7" t="s">
        <v>22</v>
      </c>
      <c r="C4381" s="7" t="s">
        <v>1629</v>
      </c>
      <c r="D4381" t="str">
        <f t="shared" si="77"/>
        <v>ZWE</v>
      </c>
    </row>
    <row r="4382" spans="1:4" ht="15.6" thickTop="1" thickBot="1">
      <c r="A4382" s="7"/>
      <c r="B4382" s="7" t="s">
        <v>18</v>
      </c>
      <c r="C4382" s="7" t="s">
        <v>1631</v>
      </c>
      <c r="D4382" t="str">
        <f t="shared" si="77"/>
        <v>ZWE</v>
      </c>
    </row>
    <row r="4383" spans="1:4" ht="15.6" thickTop="1" thickBot="1">
      <c r="A4383" s="7"/>
      <c r="B4383" s="7" t="s">
        <v>19</v>
      </c>
      <c r="C4383" s="7" t="s">
        <v>1633</v>
      </c>
      <c r="D4383" t="str">
        <f t="shared" si="77"/>
        <v>ZWE</v>
      </c>
    </row>
    <row r="4384" spans="1:4" ht="15.6" thickTop="1" thickBot="1">
      <c r="A4384" s="7"/>
      <c r="B4384" s="7" t="s">
        <v>17</v>
      </c>
      <c r="C4384" s="7" t="s">
        <v>1631</v>
      </c>
      <c r="D4384" t="str">
        <f t="shared" si="77"/>
        <v>ZWE</v>
      </c>
    </row>
    <row r="4385" spans="1:4" ht="15.6" thickTop="1" thickBot="1">
      <c r="A4385" s="7"/>
      <c r="B4385" s="7" t="s">
        <v>15</v>
      </c>
      <c r="C4385" s="7" t="s">
        <v>1632</v>
      </c>
      <c r="D4385" t="str">
        <f t="shared" si="77"/>
        <v>ZWE</v>
      </c>
    </row>
    <row r="4386" spans="1:4" ht="15.6" thickTop="1" thickBot="1">
      <c r="A4386" s="7"/>
      <c r="B4386" s="7" t="s">
        <v>16</v>
      </c>
      <c r="C4386" s="7" t="s">
        <v>1629</v>
      </c>
      <c r="D4386" t="str">
        <f t="shared" si="77"/>
        <v>ZWE</v>
      </c>
    </row>
    <row r="4387" spans="1:4" ht="20.399999999999999" thickTop="1" thickBot="1">
      <c r="A4387" s="9" t="s">
        <v>1634</v>
      </c>
      <c r="B4387" s="10"/>
      <c r="C4387" s="11"/>
      <c r="D4387" t="str">
        <f t="shared" si="77"/>
        <v>MNE</v>
      </c>
    </row>
    <row r="4388" spans="1:4" ht="30" thickTop="1" thickBot="1">
      <c r="A4388" s="7"/>
      <c r="B4388" s="7" t="s">
        <v>25</v>
      </c>
      <c r="C4388" s="8">
        <v>13450</v>
      </c>
      <c r="D4388" t="str">
        <f t="shared" si="77"/>
        <v>MNE</v>
      </c>
    </row>
    <row r="4389" spans="1:4" ht="49.2" thickTop="1" thickBot="1">
      <c r="A4389" s="7"/>
      <c r="B4389" s="7" t="s">
        <v>26</v>
      </c>
      <c r="C4389" s="7" t="s">
        <v>1635</v>
      </c>
      <c r="D4389" t="str">
        <f t="shared" si="77"/>
        <v>MNE</v>
      </c>
    </row>
    <row r="4390" spans="1:4" ht="20.399999999999999" thickTop="1" thickBot="1">
      <c r="A4390" s="7"/>
      <c r="B4390" s="7" t="s">
        <v>28</v>
      </c>
      <c r="C4390" s="7" t="s">
        <v>1636</v>
      </c>
      <c r="D4390" t="str">
        <f t="shared" si="77"/>
        <v>MNE</v>
      </c>
    </row>
    <row r="4391" spans="1:4" ht="20.399999999999999" thickTop="1" thickBot="1">
      <c r="A4391" s="7"/>
      <c r="B4391" s="7" t="s">
        <v>30</v>
      </c>
      <c r="C4391" s="7" t="s">
        <v>1637</v>
      </c>
      <c r="D4391" t="str">
        <f t="shared" si="77"/>
        <v>MNE</v>
      </c>
    </row>
    <row r="4392" spans="1:4" ht="20.399999999999999" thickTop="1" thickBot="1">
      <c r="A4392" s="7"/>
      <c r="B4392" s="7" t="s">
        <v>32</v>
      </c>
      <c r="C4392" s="7" t="s">
        <v>33</v>
      </c>
      <c r="D4392" t="str">
        <f t="shared" si="77"/>
        <v>MNE</v>
      </c>
    </row>
    <row r="4393" spans="1:4" ht="49.2" thickTop="1" thickBot="1">
      <c r="A4393" s="7"/>
      <c r="B4393" s="7" t="s">
        <v>9</v>
      </c>
      <c r="C4393" s="7">
        <v>2017</v>
      </c>
      <c r="D4393" t="str">
        <f t="shared" si="77"/>
        <v>MNE</v>
      </c>
    </row>
    <row r="4394" spans="1:4" ht="39.6" thickTop="1" thickBot="1">
      <c r="A4394" s="7"/>
      <c r="B4394" s="7" t="s">
        <v>10</v>
      </c>
      <c r="C4394" s="7">
        <v>2018</v>
      </c>
      <c r="D4394" t="str">
        <f t="shared" si="77"/>
        <v>MNE</v>
      </c>
    </row>
    <row r="4395" spans="1:4" ht="20.399999999999999" thickTop="1" thickBot="1">
      <c r="A4395" s="7"/>
      <c r="B4395" s="7" t="s">
        <v>1</v>
      </c>
      <c r="C4395" s="7" t="s">
        <v>35</v>
      </c>
      <c r="D4395" t="str">
        <f t="shared" si="77"/>
        <v>MNE</v>
      </c>
    </row>
    <row r="4396" spans="1:4" ht="30" thickTop="1" thickBot="1">
      <c r="A4396" s="7"/>
      <c r="B4396" s="7" t="s">
        <v>3</v>
      </c>
      <c r="C4396" s="7" t="s">
        <v>36</v>
      </c>
      <c r="D4396" t="str">
        <f t="shared" si="77"/>
        <v>MNE</v>
      </c>
    </row>
    <row r="4397" spans="1:4" ht="20.399999999999999" thickTop="1" thickBot="1">
      <c r="A4397" s="7"/>
      <c r="B4397" s="7" t="s">
        <v>5</v>
      </c>
      <c r="C4397" s="7" t="s">
        <v>37</v>
      </c>
      <c r="D4397" t="str">
        <f t="shared" si="77"/>
        <v>MNE</v>
      </c>
    </row>
    <row r="4398" spans="1:4" ht="30" thickTop="1" thickBot="1">
      <c r="A4398" s="7"/>
      <c r="B4398" s="7" t="s">
        <v>7</v>
      </c>
      <c r="C4398" s="7" t="s">
        <v>38</v>
      </c>
      <c r="D4398" t="str">
        <f t="shared" si="77"/>
        <v>MNE</v>
      </c>
    </row>
    <row r="4399" spans="1:4" ht="15.6" thickTop="1" thickBot="1">
      <c r="A4399" s="7"/>
      <c r="B4399" s="7" t="s">
        <v>17</v>
      </c>
      <c r="C4399" s="7" t="s">
        <v>991</v>
      </c>
      <c r="D4399" t="str">
        <f t="shared" si="77"/>
        <v>MNE</v>
      </c>
    </row>
    <row r="4400" spans="1:4" ht="15.6" thickTop="1" thickBot="1">
      <c r="A4400" s="7"/>
      <c r="B4400" s="7" t="s">
        <v>23</v>
      </c>
      <c r="C4400" s="7" t="s">
        <v>991</v>
      </c>
      <c r="D4400" t="str">
        <f t="shared" si="77"/>
        <v>MNE</v>
      </c>
    </row>
    <row r="4401" spans="1:4" ht="15.6" thickTop="1" thickBot="1">
      <c r="A4401" s="7"/>
      <c r="B4401" s="7" t="s">
        <v>24</v>
      </c>
      <c r="C4401" s="7">
        <v>4207</v>
      </c>
      <c r="D4401" t="str">
        <f t="shared" si="77"/>
        <v>MNE</v>
      </c>
    </row>
    <row r="4402" spans="1:4" ht="20.399999999999999" thickTop="1" thickBot="1">
      <c r="A4402" s="9" t="s">
        <v>1638</v>
      </c>
      <c r="B4402" s="10"/>
      <c r="C4402" s="11"/>
      <c r="D4402" t="str">
        <f t="shared" si="77"/>
        <v>REU</v>
      </c>
    </row>
    <row r="4403" spans="1:4" ht="15.6" thickTop="1" thickBot="1">
      <c r="A4403" s="7"/>
      <c r="B4403" s="7" t="s">
        <v>23</v>
      </c>
      <c r="C4403" s="7" t="s">
        <v>1639</v>
      </c>
      <c r="D4403" t="str">
        <f t="shared" si="77"/>
        <v>REU</v>
      </c>
    </row>
    <row r="4404" spans="1:4" ht="15.6" thickTop="1" thickBot="1">
      <c r="A4404" s="7"/>
      <c r="B4404" s="7" t="s">
        <v>24</v>
      </c>
      <c r="C4404" s="7">
        <v>1360</v>
      </c>
      <c r="D4404" t="str">
        <f t="shared" si="77"/>
        <v>REU</v>
      </c>
    </row>
    <row r="4405" spans="1:4" ht="15.6" thickTop="1" thickBot="1">
      <c r="A4405" s="7"/>
      <c r="B4405" s="7" t="s">
        <v>17</v>
      </c>
      <c r="C4405" s="7" t="s">
        <v>1639</v>
      </c>
      <c r="D4405" t="str">
        <f t="shared" si="77"/>
        <v>REU</v>
      </c>
    </row>
    <row r="4406" spans="1:4" ht="49.2" thickTop="1" thickBot="1">
      <c r="A4406" s="7"/>
      <c r="B4406" s="7" t="s">
        <v>9</v>
      </c>
      <c r="C4406" s="7">
        <v>2017</v>
      </c>
      <c r="D4406" t="str">
        <f t="shared" si="77"/>
        <v>REU</v>
      </c>
    </row>
    <row r="4407" spans="1:4" ht="39.6" thickTop="1" thickBot="1">
      <c r="A4407" s="7"/>
      <c r="B4407" s="7" t="s">
        <v>10</v>
      </c>
      <c r="C4407" s="7">
        <v>2018</v>
      </c>
      <c r="D4407" t="str">
        <f t="shared" si="77"/>
        <v>REU</v>
      </c>
    </row>
    <row r="4408" spans="1:4" ht="20.399999999999999" thickTop="1" thickBot="1">
      <c r="A4408" s="9" t="s">
        <v>1640</v>
      </c>
      <c r="B4408" s="10"/>
      <c r="C4408" s="11"/>
      <c r="D4408" t="str">
        <f t="shared" si="77"/>
        <v>XOD</v>
      </c>
    </row>
    <row r="4409" spans="1:4" ht="15.6" thickTop="1" thickBot="1">
      <c r="A4409" s="7"/>
      <c r="B4409" s="7" t="s">
        <v>17</v>
      </c>
      <c r="C4409" s="7" t="s">
        <v>1641</v>
      </c>
      <c r="D4409" t="str">
        <f t="shared" si="77"/>
        <v>XOD</v>
      </c>
    </row>
    <row r="4410" spans="1:4" ht="15.6" thickTop="1" thickBot="1">
      <c r="A4410" s="7"/>
      <c r="B4410" s="7" t="s">
        <v>23</v>
      </c>
      <c r="C4410" s="7" t="s">
        <v>1641</v>
      </c>
      <c r="D4410" t="str">
        <f t="shared" si="77"/>
        <v>XOD</v>
      </c>
    </row>
    <row r="4411" spans="1:4" ht="15.6" thickTop="1" thickBot="1">
      <c r="A4411" s="7"/>
      <c r="B4411" s="7" t="s">
        <v>24</v>
      </c>
      <c r="C4411" s="7">
        <v>1365</v>
      </c>
      <c r="D4411" t="str">
        <f t="shared" si="77"/>
        <v>XOD</v>
      </c>
    </row>
    <row r="4412" spans="1:4" ht="49.2" thickTop="1" thickBot="1">
      <c r="A4412" s="7"/>
      <c r="B4412" s="7" t="s">
        <v>9</v>
      </c>
      <c r="C4412" s="7">
        <v>2017</v>
      </c>
      <c r="D4412" t="str">
        <f t="shared" si="77"/>
        <v>XOD</v>
      </c>
    </row>
    <row r="4413" spans="1:4" ht="39.6" thickTop="1" thickBot="1">
      <c r="A4413" s="7"/>
      <c r="B4413" s="7" t="s">
        <v>10</v>
      </c>
      <c r="C4413" s="7">
        <v>2018</v>
      </c>
      <c r="D4413" t="str">
        <f t="shared" si="77"/>
        <v>XOD</v>
      </c>
    </row>
    <row r="4414" spans="1:4" ht="15.6" thickTop="1" thickBot="1">
      <c r="A4414" s="9" t="s">
        <v>1642</v>
      </c>
      <c r="B4414" s="10"/>
      <c r="C4414" s="11"/>
      <c r="D4414" t="str">
        <f t="shared" si="77"/>
        <v>AIA</v>
      </c>
    </row>
    <row r="4415" spans="1:4" ht="20.399999999999999" thickTop="1" thickBot="1">
      <c r="A4415" s="7"/>
      <c r="B4415" s="7" t="s">
        <v>1</v>
      </c>
      <c r="C4415" s="7" t="s">
        <v>79</v>
      </c>
      <c r="D4415" t="str">
        <f t="shared" si="77"/>
        <v>AIA</v>
      </c>
    </row>
    <row r="4416" spans="1:4" ht="30" thickTop="1" thickBot="1">
      <c r="A4416" s="7"/>
      <c r="B4416" s="7" t="s">
        <v>3</v>
      </c>
      <c r="C4416" s="7" t="s">
        <v>987</v>
      </c>
      <c r="D4416" t="str">
        <f t="shared" si="77"/>
        <v>AIA</v>
      </c>
    </row>
    <row r="4417" spans="1:4" ht="20.399999999999999" thickTop="1" thickBot="1">
      <c r="A4417" s="7"/>
      <c r="B4417" s="7" t="s">
        <v>5</v>
      </c>
      <c r="C4417" s="7" t="s">
        <v>80</v>
      </c>
      <c r="D4417" t="str">
        <f t="shared" si="77"/>
        <v>AIA</v>
      </c>
    </row>
    <row r="4418" spans="1:4" ht="30" thickTop="1" thickBot="1">
      <c r="A4418" s="7"/>
      <c r="B4418" s="7" t="s">
        <v>7</v>
      </c>
      <c r="C4418" s="7" t="s">
        <v>70</v>
      </c>
      <c r="D4418" t="str">
        <f t="shared" ref="D4418:D4481" si="78">IF(ISNUMBER(FIND(":", A4418)), LEFT(A4418, FIND(":", A4418) - 1), D4417)</f>
        <v>AIA</v>
      </c>
    </row>
    <row r="4419" spans="1:4" ht="15.6" thickTop="1" thickBot="1">
      <c r="A4419" s="7"/>
      <c r="B4419" s="7" t="s">
        <v>23</v>
      </c>
      <c r="C4419" s="7" t="s">
        <v>1643</v>
      </c>
      <c r="D4419" t="str">
        <f t="shared" si="78"/>
        <v>AIA</v>
      </c>
    </row>
    <row r="4420" spans="1:4" ht="15.6" thickTop="1" thickBot="1">
      <c r="A4420" s="7"/>
      <c r="B4420" s="7" t="s">
        <v>24</v>
      </c>
      <c r="C4420" s="7">
        <v>2005</v>
      </c>
      <c r="D4420" t="str">
        <f t="shared" si="78"/>
        <v>AIA</v>
      </c>
    </row>
    <row r="4421" spans="1:4" ht="15.6" thickTop="1" thickBot="1">
      <c r="A4421" s="7"/>
      <c r="B4421" s="7" t="s">
        <v>17</v>
      </c>
      <c r="C4421" s="7" t="s">
        <v>1643</v>
      </c>
      <c r="D4421" t="str">
        <f t="shared" si="78"/>
        <v>AIA</v>
      </c>
    </row>
    <row r="4422" spans="1:4" ht="49.2" thickTop="1" thickBot="1">
      <c r="A4422" s="7"/>
      <c r="B4422" s="7" t="s">
        <v>9</v>
      </c>
      <c r="C4422" s="7">
        <v>2017</v>
      </c>
      <c r="D4422" t="str">
        <f t="shared" si="78"/>
        <v>AIA</v>
      </c>
    </row>
    <row r="4423" spans="1:4" ht="39.6" thickTop="1" thickBot="1">
      <c r="A4423" s="7"/>
      <c r="B4423" s="7" t="s">
        <v>10</v>
      </c>
      <c r="C4423" s="7">
        <v>2018</v>
      </c>
      <c r="D4423" t="str">
        <f t="shared" si="78"/>
        <v>AIA</v>
      </c>
    </row>
    <row r="4424" spans="1:4" ht="15.6" thickTop="1" thickBot="1">
      <c r="A4424" s="9" t="s">
        <v>1644</v>
      </c>
      <c r="B4424" s="10"/>
      <c r="C4424" s="11"/>
      <c r="D4424" t="str">
        <f t="shared" si="78"/>
        <v>ABW</v>
      </c>
    </row>
    <row r="4425" spans="1:4" ht="49.2" thickTop="1" thickBot="1">
      <c r="A4425" s="7"/>
      <c r="B4425" s="7" t="s">
        <v>9</v>
      </c>
      <c r="C4425" s="7">
        <v>2017</v>
      </c>
      <c r="D4425" t="str">
        <f t="shared" si="78"/>
        <v>ABW</v>
      </c>
    </row>
    <row r="4426" spans="1:4" ht="39.6" thickTop="1" thickBot="1">
      <c r="A4426" s="7"/>
      <c r="B4426" s="7" t="s">
        <v>10</v>
      </c>
      <c r="C4426" s="7">
        <v>2018</v>
      </c>
      <c r="D4426" t="str">
        <f t="shared" si="78"/>
        <v>ABW</v>
      </c>
    </row>
    <row r="4427" spans="1:4" ht="30" thickTop="1" thickBot="1">
      <c r="A4427" s="7"/>
      <c r="B4427" s="7" t="s">
        <v>7</v>
      </c>
      <c r="C4427" s="7" t="s">
        <v>60</v>
      </c>
      <c r="D4427" t="str">
        <f t="shared" si="78"/>
        <v>ABW</v>
      </c>
    </row>
    <row r="4428" spans="1:4" ht="15.6" thickTop="1" thickBot="1">
      <c r="A4428" s="7"/>
      <c r="B4428" s="7" t="s">
        <v>23</v>
      </c>
      <c r="C4428" s="7" t="s">
        <v>1645</v>
      </c>
      <c r="D4428" t="str">
        <f t="shared" si="78"/>
        <v>ABW</v>
      </c>
    </row>
    <row r="4429" spans="1:4" ht="15.6" thickTop="1" thickBot="1">
      <c r="A4429" s="7"/>
      <c r="B4429" s="7" t="s">
        <v>24</v>
      </c>
      <c r="C4429" s="7">
        <v>2025</v>
      </c>
      <c r="D4429" t="str">
        <f t="shared" si="78"/>
        <v>ABW</v>
      </c>
    </row>
    <row r="4430" spans="1:4" ht="15.6" thickTop="1" thickBot="1">
      <c r="A4430" s="7"/>
      <c r="B4430" s="7" t="s">
        <v>17</v>
      </c>
      <c r="C4430" s="7" t="s">
        <v>1645</v>
      </c>
      <c r="D4430" t="str">
        <f t="shared" si="78"/>
        <v>ABW</v>
      </c>
    </row>
    <row r="4431" spans="1:4" ht="30" thickTop="1" thickBot="1">
      <c r="A4431" s="7"/>
      <c r="B4431" s="7" t="s">
        <v>3</v>
      </c>
      <c r="C4431" s="7" t="s">
        <v>59</v>
      </c>
      <c r="D4431" t="str">
        <f t="shared" si="78"/>
        <v>ABW</v>
      </c>
    </row>
    <row r="4432" spans="1:4" ht="20.399999999999999" thickTop="1" thickBot="1">
      <c r="A4432" s="9" t="s">
        <v>1646</v>
      </c>
      <c r="B4432" s="10"/>
      <c r="C4432" s="11"/>
      <c r="D4432" t="str">
        <f t="shared" si="78"/>
        <v>BMU</v>
      </c>
    </row>
    <row r="4433" spans="1:4" ht="49.2" thickTop="1" thickBot="1">
      <c r="A4433" s="7"/>
      <c r="B4433" s="7" t="s">
        <v>9</v>
      </c>
      <c r="C4433" s="7">
        <v>2017</v>
      </c>
      <c r="D4433" t="str">
        <f t="shared" si="78"/>
        <v>BMU</v>
      </c>
    </row>
    <row r="4434" spans="1:4" ht="39.6" thickTop="1" thickBot="1">
      <c r="A4434" s="7"/>
      <c r="B4434" s="7" t="s">
        <v>10</v>
      </c>
      <c r="C4434" s="7">
        <v>2018</v>
      </c>
      <c r="D4434" t="str">
        <f t="shared" si="78"/>
        <v>BMU</v>
      </c>
    </row>
    <row r="4435" spans="1:4" ht="30" thickTop="1" thickBot="1">
      <c r="A4435" s="7"/>
      <c r="B4435" s="7" t="s">
        <v>3</v>
      </c>
      <c r="C4435" s="7" t="s">
        <v>59</v>
      </c>
      <c r="D4435" t="str">
        <f t="shared" si="78"/>
        <v>BMU</v>
      </c>
    </row>
    <row r="4436" spans="1:4" ht="30" thickTop="1" thickBot="1">
      <c r="A4436" s="7"/>
      <c r="B4436" s="7" t="s">
        <v>7</v>
      </c>
      <c r="C4436" s="7" t="s">
        <v>60</v>
      </c>
      <c r="D4436" t="str">
        <f t="shared" si="78"/>
        <v>BMU</v>
      </c>
    </row>
    <row r="4437" spans="1:4" ht="15.6" thickTop="1" thickBot="1">
      <c r="A4437" s="7"/>
      <c r="B4437" s="7" t="s">
        <v>23</v>
      </c>
      <c r="C4437" s="7" t="s">
        <v>1647</v>
      </c>
      <c r="D4437" t="str">
        <f t="shared" si="78"/>
        <v>BMU</v>
      </c>
    </row>
    <row r="4438" spans="1:4" ht="15.6" thickTop="1" thickBot="1">
      <c r="A4438" s="7"/>
      <c r="B4438" s="7" t="s">
        <v>24</v>
      </c>
      <c r="C4438" s="7">
        <v>2050</v>
      </c>
      <c r="D4438" t="str">
        <f t="shared" si="78"/>
        <v>BMU</v>
      </c>
    </row>
    <row r="4439" spans="1:4" ht="15.6" thickTop="1" thickBot="1">
      <c r="A4439" s="7"/>
      <c r="B4439" s="7" t="s">
        <v>17</v>
      </c>
      <c r="C4439" s="7" t="s">
        <v>1647</v>
      </c>
      <c r="D4439" t="str">
        <f t="shared" si="78"/>
        <v>BMU</v>
      </c>
    </row>
    <row r="4440" spans="1:4" ht="30" thickTop="1" thickBot="1">
      <c r="A4440" s="9" t="s">
        <v>1648</v>
      </c>
      <c r="B4440" s="10"/>
      <c r="C4440" s="11"/>
      <c r="D4440" t="str">
        <f t="shared" si="78"/>
        <v>VGB</v>
      </c>
    </row>
    <row r="4441" spans="1:4" ht="15.6" thickTop="1" thickBot="1">
      <c r="A4441" s="7"/>
      <c r="B4441" s="7" t="s">
        <v>17</v>
      </c>
      <c r="C4441" s="7" t="s">
        <v>1649</v>
      </c>
      <c r="D4441" t="str">
        <f t="shared" si="78"/>
        <v>VGB</v>
      </c>
    </row>
    <row r="4442" spans="1:4" ht="15.6" thickTop="1" thickBot="1">
      <c r="A4442" s="7"/>
      <c r="B4442" s="7" t="s">
        <v>23</v>
      </c>
      <c r="C4442" s="7" t="s">
        <v>1649</v>
      </c>
      <c r="D4442" t="str">
        <f t="shared" si="78"/>
        <v>VGB</v>
      </c>
    </row>
    <row r="4443" spans="1:4" ht="15.6" thickTop="1" thickBot="1">
      <c r="A4443" s="7"/>
      <c r="B4443" s="7" t="s">
        <v>24</v>
      </c>
      <c r="C4443" s="7">
        <v>2085</v>
      </c>
      <c r="D4443" t="str">
        <f t="shared" si="78"/>
        <v>VGB</v>
      </c>
    </row>
    <row r="4444" spans="1:4" ht="49.2" thickTop="1" thickBot="1">
      <c r="A4444" s="7"/>
      <c r="B4444" s="7" t="s">
        <v>9</v>
      </c>
      <c r="C4444" s="7">
        <v>2017</v>
      </c>
      <c r="D4444" t="str">
        <f t="shared" si="78"/>
        <v>VGB</v>
      </c>
    </row>
    <row r="4445" spans="1:4" ht="39.6" thickTop="1" thickBot="1">
      <c r="A4445" s="7"/>
      <c r="B4445" s="7" t="s">
        <v>10</v>
      </c>
      <c r="C4445" s="7">
        <v>2018</v>
      </c>
      <c r="D4445" t="str">
        <f t="shared" si="78"/>
        <v>VGB</v>
      </c>
    </row>
    <row r="4446" spans="1:4" ht="30" thickTop="1" thickBot="1">
      <c r="A4446" s="7"/>
      <c r="B4446" s="7" t="s">
        <v>3</v>
      </c>
      <c r="C4446" s="7" t="s">
        <v>59</v>
      </c>
      <c r="D4446" t="str">
        <f t="shared" si="78"/>
        <v>VGB</v>
      </c>
    </row>
    <row r="4447" spans="1:4" ht="30" thickTop="1" thickBot="1">
      <c r="A4447" s="7"/>
      <c r="B4447" s="7" t="s">
        <v>7</v>
      </c>
      <c r="C4447" s="7" t="s">
        <v>60</v>
      </c>
      <c r="D4447" t="str">
        <f t="shared" si="78"/>
        <v>VGB</v>
      </c>
    </row>
    <row r="4448" spans="1:4" ht="30" thickTop="1" thickBot="1">
      <c r="A4448" s="9" t="s">
        <v>1650</v>
      </c>
      <c r="B4448" s="10"/>
      <c r="C4448" s="11"/>
      <c r="D4448" t="str">
        <f t="shared" si="78"/>
        <v>CYM</v>
      </c>
    </row>
    <row r="4449" spans="1:4" ht="49.2" thickTop="1" thickBot="1">
      <c r="A4449" s="7"/>
      <c r="B4449" s="7" t="s">
        <v>9</v>
      </c>
      <c r="C4449" s="7">
        <v>2017</v>
      </c>
      <c r="D4449" t="str">
        <f t="shared" si="78"/>
        <v>CYM</v>
      </c>
    </row>
    <row r="4450" spans="1:4" ht="39.6" thickTop="1" thickBot="1">
      <c r="A4450" s="7"/>
      <c r="B4450" s="7" t="s">
        <v>10</v>
      </c>
      <c r="C4450" s="7">
        <v>2018</v>
      </c>
      <c r="D4450" t="str">
        <f t="shared" si="78"/>
        <v>CYM</v>
      </c>
    </row>
    <row r="4451" spans="1:4" ht="30" thickTop="1" thickBot="1">
      <c r="A4451" s="7"/>
      <c r="B4451" s="7" t="s">
        <v>3</v>
      </c>
      <c r="C4451" s="7" t="s">
        <v>59</v>
      </c>
      <c r="D4451" t="str">
        <f t="shared" si="78"/>
        <v>CYM</v>
      </c>
    </row>
    <row r="4452" spans="1:4" ht="30" thickTop="1" thickBot="1">
      <c r="A4452" s="7"/>
      <c r="B4452" s="7" t="s">
        <v>7</v>
      </c>
      <c r="C4452" s="7" t="s">
        <v>60</v>
      </c>
      <c r="D4452" t="str">
        <f t="shared" si="78"/>
        <v>CYM</v>
      </c>
    </row>
    <row r="4453" spans="1:4" ht="15.6" thickTop="1" thickBot="1">
      <c r="A4453" s="7"/>
      <c r="B4453" s="7" t="s">
        <v>23</v>
      </c>
      <c r="C4453" s="7" t="s">
        <v>1651</v>
      </c>
      <c r="D4453" t="str">
        <f t="shared" si="78"/>
        <v>CYM</v>
      </c>
    </row>
    <row r="4454" spans="1:4" ht="15.6" thickTop="1" thickBot="1">
      <c r="A4454" s="7"/>
      <c r="B4454" s="7" t="s">
        <v>24</v>
      </c>
      <c r="C4454" s="7">
        <v>2110</v>
      </c>
      <c r="D4454" t="str">
        <f t="shared" si="78"/>
        <v>CYM</v>
      </c>
    </row>
    <row r="4455" spans="1:4" ht="15.6" thickTop="1" thickBot="1">
      <c r="A4455" s="7"/>
      <c r="B4455" s="7" t="s">
        <v>17</v>
      </c>
      <c r="C4455" s="7" t="s">
        <v>1651</v>
      </c>
      <c r="D4455" t="str">
        <f t="shared" si="78"/>
        <v>CYM</v>
      </c>
    </row>
    <row r="4456" spans="1:4" ht="39.6" thickTop="1" thickBot="1">
      <c r="A4456" s="9" t="s">
        <v>1652</v>
      </c>
      <c r="B4456" s="10"/>
      <c r="C4456" s="11"/>
      <c r="D4456" t="str">
        <f t="shared" si="78"/>
        <v>FLK</v>
      </c>
    </row>
    <row r="4457" spans="1:4" ht="15.6" thickTop="1" thickBot="1">
      <c r="A4457" s="7"/>
      <c r="B4457" s="7" t="s">
        <v>23</v>
      </c>
      <c r="C4457" s="7" t="s">
        <v>1653</v>
      </c>
      <c r="D4457" t="str">
        <f t="shared" si="78"/>
        <v>FLK</v>
      </c>
    </row>
    <row r="4458" spans="1:4" ht="15.6" thickTop="1" thickBot="1">
      <c r="A4458" s="7"/>
      <c r="B4458" s="7" t="s">
        <v>24</v>
      </c>
      <c r="C4458" s="7">
        <v>2200</v>
      </c>
      <c r="D4458" t="str">
        <f t="shared" si="78"/>
        <v>FLK</v>
      </c>
    </row>
    <row r="4459" spans="1:4" ht="15.6" thickTop="1" thickBot="1">
      <c r="A4459" s="7"/>
      <c r="B4459" s="7" t="s">
        <v>17</v>
      </c>
      <c r="C4459" s="7" t="s">
        <v>1653</v>
      </c>
      <c r="D4459" t="str">
        <f t="shared" si="78"/>
        <v>FLK</v>
      </c>
    </row>
    <row r="4460" spans="1:4" ht="49.2" thickTop="1" thickBot="1">
      <c r="A4460" s="7"/>
      <c r="B4460" s="7" t="s">
        <v>9</v>
      </c>
      <c r="C4460" s="7">
        <v>2017</v>
      </c>
      <c r="D4460" t="str">
        <f t="shared" si="78"/>
        <v>FLK</v>
      </c>
    </row>
    <row r="4461" spans="1:4" ht="39.6" thickTop="1" thickBot="1">
      <c r="A4461" s="7"/>
      <c r="B4461" s="7" t="s">
        <v>10</v>
      </c>
      <c r="C4461" s="7">
        <v>2018</v>
      </c>
      <c r="D4461" t="str">
        <f t="shared" si="78"/>
        <v>FLK</v>
      </c>
    </row>
    <row r="4462" spans="1:4" ht="20.399999999999999" thickTop="1" thickBot="1">
      <c r="A4462" s="9" t="s">
        <v>1654</v>
      </c>
      <c r="B4462" s="10"/>
      <c r="C4462" s="11"/>
      <c r="D4462" t="str">
        <f t="shared" si="78"/>
        <v>GLP</v>
      </c>
    </row>
    <row r="4463" spans="1:4" ht="15.6" thickTop="1" thickBot="1">
      <c r="A4463" s="7"/>
      <c r="B4463" s="7" t="s">
        <v>17</v>
      </c>
      <c r="C4463" s="7" t="s">
        <v>1655</v>
      </c>
      <c r="D4463" t="str">
        <f t="shared" si="78"/>
        <v>GLP</v>
      </c>
    </row>
    <row r="4464" spans="1:4" ht="15.6" thickTop="1" thickBot="1">
      <c r="A4464" s="7"/>
      <c r="B4464" s="7" t="s">
        <v>23</v>
      </c>
      <c r="C4464" s="7" t="s">
        <v>1655</v>
      </c>
      <c r="D4464" t="str">
        <f t="shared" si="78"/>
        <v>GLP</v>
      </c>
    </row>
    <row r="4465" spans="1:4" ht="15.6" thickTop="1" thickBot="1">
      <c r="A4465" s="7"/>
      <c r="B4465" s="7" t="s">
        <v>24</v>
      </c>
      <c r="C4465" s="7">
        <v>2240</v>
      </c>
      <c r="D4465" t="str">
        <f t="shared" si="78"/>
        <v>GLP</v>
      </c>
    </row>
    <row r="4466" spans="1:4" ht="49.2" thickTop="1" thickBot="1">
      <c r="A4466" s="7"/>
      <c r="B4466" s="7" t="s">
        <v>9</v>
      </c>
      <c r="C4466" s="7">
        <v>2017</v>
      </c>
      <c r="D4466" t="str">
        <f t="shared" si="78"/>
        <v>GLP</v>
      </c>
    </row>
    <row r="4467" spans="1:4" ht="39.6" thickTop="1" thickBot="1">
      <c r="A4467" s="7"/>
      <c r="B4467" s="7" t="s">
        <v>10</v>
      </c>
      <c r="C4467" s="7">
        <v>2018</v>
      </c>
      <c r="D4467" t="str">
        <f t="shared" si="78"/>
        <v>GLP</v>
      </c>
    </row>
    <row r="4468" spans="1:4" ht="20.399999999999999" thickTop="1" thickBot="1">
      <c r="A4468" s="9" t="s">
        <v>1656</v>
      </c>
      <c r="B4468" s="10"/>
      <c r="C4468" s="11"/>
      <c r="D4468" t="str">
        <f t="shared" si="78"/>
        <v>MTQ</v>
      </c>
    </row>
    <row r="4469" spans="1:4" ht="15.6" thickTop="1" thickBot="1">
      <c r="A4469" s="7"/>
      <c r="B4469" s="7" t="s">
        <v>17</v>
      </c>
      <c r="C4469" s="7" t="s">
        <v>1657</v>
      </c>
      <c r="D4469" t="str">
        <f t="shared" si="78"/>
        <v>MTQ</v>
      </c>
    </row>
    <row r="4470" spans="1:4" ht="15.6" thickTop="1" thickBot="1">
      <c r="A4470" s="7"/>
      <c r="B4470" s="7" t="s">
        <v>23</v>
      </c>
      <c r="C4470" s="7" t="s">
        <v>1657</v>
      </c>
      <c r="D4470" t="str">
        <f t="shared" si="78"/>
        <v>MTQ</v>
      </c>
    </row>
    <row r="4471" spans="1:4" ht="15.6" thickTop="1" thickBot="1">
      <c r="A4471" s="7"/>
      <c r="B4471" s="7" t="s">
        <v>24</v>
      </c>
      <c r="C4471" s="7">
        <v>2300</v>
      </c>
      <c r="D4471" t="str">
        <f t="shared" si="78"/>
        <v>MTQ</v>
      </c>
    </row>
    <row r="4472" spans="1:4" ht="49.2" thickTop="1" thickBot="1">
      <c r="A4472" s="7"/>
      <c r="B4472" s="7" t="s">
        <v>9</v>
      </c>
      <c r="C4472" s="7">
        <v>2017</v>
      </c>
      <c r="D4472" t="str">
        <f t="shared" si="78"/>
        <v>MTQ</v>
      </c>
    </row>
    <row r="4473" spans="1:4" ht="39.6" thickTop="1" thickBot="1">
      <c r="A4473" s="7"/>
      <c r="B4473" s="7" t="s">
        <v>10</v>
      </c>
      <c r="C4473" s="7">
        <v>2018</v>
      </c>
      <c r="D4473" t="str">
        <f t="shared" si="78"/>
        <v>MTQ</v>
      </c>
    </row>
    <row r="4474" spans="1:4" ht="20.399999999999999" thickTop="1" thickBot="1">
      <c r="A4474" s="9" t="s">
        <v>1658</v>
      </c>
      <c r="B4474" s="10"/>
      <c r="C4474" s="11"/>
      <c r="D4474" t="str">
        <f t="shared" si="78"/>
        <v>MSR</v>
      </c>
    </row>
    <row r="4475" spans="1:4" ht="15.6" thickTop="1" thickBot="1">
      <c r="A4475" s="7"/>
      <c r="B4475" s="7" t="s">
        <v>23</v>
      </c>
      <c r="C4475" s="7" t="s">
        <v>1659</v>
      </c>
      <c r="D4475" t="str">
        <f t="shared" si="78"/>
        <v>MSR</v>
      </c>
    </row>
    <row r="4476" spans="1:4" ht="15.6" thickTop="1" thickBot="1">
      <c r="A4476" s="7"/>
      <c r="B4476" s="7" t="s">
        <v>24</v>
      </c>
      <c r="C4476" s="7">
        <v>2320</v>
      </c>
      <c r="D4476" t="str">
        <f t="shared" si="78"/>
        <v>MSR</v>
      </c>
    </row>
    <row r="4477" spans="1:4" ht="15.6" thickTop="1" thickBot="1">
      <c r="A4477" s="7"/>
      <c r="B4477" s="7" t="s">
        <v>17</v>
      </c>
      <c r="C4477" s="7" t="s">
        <v>1659</v>
      </c>
      <c r="D4477" t="str">
        <f t="shared" si="78"/>
        <v>MSR</v>
      </c>
    </row>
    <row r="4478" spans="1:4" ht="49.2" thickTop="1" thickBot="1">
      <c r="A4478" s="7"/>
      <c r="B4478" s="7" t="s">
        <v>9</v>
      </c>
      <c r="C4478" s="7">
        <v>2017</v>
      </c>
      <c r="D4478" t="str">
        <f t="shared" si="78"/>
        <v>MSR</v>
      </c>
    </row>
    <row r="4479" spans="1:4" ht="39.6" thickTop="1" thickBot="1">
      <c r="A4479" s="7"/>
      <c r="B4479" s="7" t="s">
        <v>10</v>
      </c>
      <c r="C4479" s="7">
        <v>2018</v>
      </c>
      <c r="D4479" t="str">
        <f t="shared" si="78"/>
        <v>MSR</v>
      </c>
    </row>
    <row r="4480" spans="1:4" ht="30" thickTop="1" thickBot="1">
      <c r="A4480" s="9" t="s">
        <v>1660</v>
      </c>
      <c r="B4480" s="10"/>
      <c r="C4480" s="11"/>
      <c r="D4480" t="str">
        <f t="shared" si="78"/>
        <v>ANT</v>
      </c>
    </row>
    <row r="4481" spans="1:4" ht="15.6" thickTop="1" thickBot="1">
      <c r="A4481" s="7"/>
      <c r="B4481" s="7" t="s">
        <v>17</v>
      </c>
      <c r="C4481" s="7" t="s">
        <v>82</v>
      </c>
      <c r="D4481" t="str">
        <f t="shared" si="78"/>
        <v>ANT</v>
      </c>
    </row>
    <row r="4482" spans="1:4" ht="15.6" thickTop="1" thickBot="1">
      <c r="A4482" s="7"/>
      <c r="B4482" s="7" t="s">
        <v>23</v>
      </c>
      <c r="C4482" s="7" t="s">
        <v>82</v>
      </c>
      <c r="D4482" t="str">
        <f t="shared" ref="D4482:D4545" si="79">IF(ISNUMBER(FIND(":", A4482)), LEFT(A4482, FIND(":", A4482) - 1), D4481)</f>
        <v>ANT</v>
      </c>
    </row>
    <row r="4483" spans="1:4" ht="15.6" thickTop="1" thickBot="1">
      <c r="A4483" s="7"/>
      <c r="B4483" s="7" t="s">
        <v>24</v>
      </c>
      <c r="C4483" s="7">
        <v>2330</v>
      </c>
      <c r="D4483" t="str">
        <f t="shared" si="79"/>
        <v>ANT</v>
      </c>
    </row>
    <row r="4484" spans="1:4" ht="49.2" thickTop="1" thickBot="1">
      <c r="A4484" s="7"/>
      <c r="B4484" s="7" t="s">
        <v>9</v>
      </c>
      <c r="C4484" s="7">
        <v>2017</v>
      </c>
      <c r="D4484" t="str">
        <f t="shared" si="79"/>
        <v>ANT</v>
      </c>
    </row>
    <row r="4485" spans="1:4" ht="39.6" thickTop="1" thickBot="1">
      <c r="A4485" s="7"/>
      <c r="B4485" s="7" t="s">
        <v>10</v>
      </c>
      <c r="C4485" s="7">
        <v>2018</v>
      </c>
      <c r="D4485" t="str">
        <f t="shared" si="79"/>
        <v>ANT</v>
      </c>
    </row>
    <row r="4486" spans="1:4" ht="20.399999999999999" thickTop="1" thickBot="1">
      <c r="A4486" s="9" t="s">
        <v>1661</v>
      </c>
      <c r="B4486" s="10"/>
      <c r="C4486" s="11"/>
      <c r="D4486" t="str">
        <f t="shared" si="79"/>
        <v>PRI</v>
      </c>
    </row>
    <row r="4487" spans="1:4" ht="20.399999999999999" thickTop="1" thickBot="1">
      <c r="A4487" s="7"/>
      <c r="B4487" s="7" t="s">
        <v>32</v>
      </c>
      <c r="C4487" s="7" t="s">
        <v>117</v>
      </c>
      <c r="D4487" t="str">
        <f t="shared" si="79"/>
        <v>PRI</v>
      </c>
    </row>
    <row r="4488" spans="1:4" ht="30" thickTop="1" thickBot="1">
      <c r="A4488" s="7"/>
      <c r="B4488" s="7" t="s">
        <v>3</v>
      </c>
      <c r="C4488" s="7" t="s">
        <v>59</v>
      </c>
      <c r="D4488" t="str">
        <f t="shared" si="79"/>
        <v>PRI</v>
      </c>
    </row>
    <row r="4489" spans="1:4" ht="30" thickTop="1" thickBot="1">
      <c r="A4489" s="7"/>
      <c r="B4489" s="7" t="s">
        <v>7</v>
      </c>
      <c r="C4489" s="7" t="s">
        <v>60</v>
      </c>
      <c r="D4489" t="str">
        <f t="shared" si="79"/>
        <v>PRI</v>
      </c>
    </row>
    <row r="4490" spans="1:4" ht="15.6" thickTop="1" thickBot="1">
      <c r="A4490" s="7"/>
      <c r="B4490" s="7" t="s">
        <v>24</v>
      </c>
      <c r="C4490" s="7">
        <v>2380</v>
      </c>
      <c r="D4490" t="str">
        <f t="shared" si="79"/>
        <v>PRI</v>
      </c>
    </row>
    <row r="4491" spans="1:4" ht="15.6" thickTop="1" thickBot="1">
      <c r="A4491" s="7"/>
      <c r="B4491" s="7" t="s">
        <v>23</v>
      </c>
      <c r="C4491" s="7" t="s">
        <v>1662</v>
      </c>
      <c r="D4491" t="str">
        <f t="shared" si="79"/>
        <v>PRI</v>
      </c>
    </row>
    <row r="4492" spans="1:4" ht="15.6" thickTop="1" thickBot="1">
      <c r="A4492" s="7"/>
      <c r="B4492" s="7" t="s">
        <v>17</v>
      </c>
      <c r="C4492" s="7" t="s">
        <v>1662</v>
      </c>
      <c r="D4492" t="str">
        <f t="shared" si="79"/>
        <v>PRI</v>
      </c>
    </row>
    <row r="4493" spans="1:4" ht="49.2" thickTop="1" thickBot="1">
      <c r="A4493" s="7"/>
      <c r="B4493" s="7" t="s">
        <v>9</v>
      </c>
      <c r="C4493" s="7">
        <v>2017</v>
      </c>
      <c r="D4493" t="str">
        <f t="shared" si="79"/>
        <v>PRI</v>
      </c>
    </row>
    <row r="4494" spans="1:4" ht="39.6" thickTop="1" thickBot="1">
      <c r="A4494" s="7"/>
      <c r="B4494" s="7" t="s">
        <v>10</v>
      </c>
      <c r="C4494" s="7">
        <v>2018</v>
      </c>
      <c r="D4494" t="str">
        <f t="shared" si="79"/>
        <v>PRI</v>
      </c>
    </row>
    <row r="4495" spans="1:4" ht="30" thickTop="1" thickBot="1">
      <c r="A4495" s="9" t="s">
        <v>1663</v>
      </c>
      <c r="B4495" s="10"/>
      <c r="C4495" s="11"/>
      <c r="D4495" t="str">
        <f t="shared" si="79"/>
        <v>SPM</v>
      </c>
    </row>
    <row r="4496" spans="1:4" ht="15.6" thickTop="1" thickBot="1">
      <c r="A4496" s="7"/>
      <c r="B4496" s="7" t="s">
        <v>23</v>
      </c>
      <c r="C4496" s="7" t="s">
        <v>1664</v>
      </c>
      <c r="D4496" t="str">
        <f t="shared" si="79"/>
        <v>SPM</v>
      </c>
    </row>
    <row r="4497" spans="1:4" ht="15.6" thickTop="1" thickBot="1">
      <c r="A4497" s="7"/>
      <c r="B4497" s="7" t="s">
        <v>24</v>
      </c>
      <c r="C4497" s="7">
        <v>2410</v>
      </c>
      <c r="D4497" t="str">
        <f t="shared" si="79"/>
        <v>SPM</v>
      </c>
    </row>
    <row r="4498" spans="1:4" ht="15.6" thickTop="1" thickBot="1">
      <c r="A4498" s="7"/>
      <c r="B4498" s="7" t="s">
        <v>17</v>
      </c>
      <c r="C4498" s="7" t="s">
        <v>1664</v>
      </c>
      <c r="D4498" t="str">
        <f t="shared" si="79"/>
        <v>SPM</v>
      </c>
    </row>
    <row r="4499" spans="1:4" ht="49.2" thickTop="1" thickBot="1">
      <c r="A4499" s="7"/>
      <c r="B4499" s="7" t="s">
        <v>9</v>
      </c>
      <c r="C4499" s="7">
        <v>2017</v>
      </c>
      <c r="D4499" t="str">
        <f t="shared" si="79"/>
        <v>SPM</v>
      </c>
    </row>
    <row r="4500" spans="1:4" ht="39.6" thickTop="1" thickBot="1">
      <c r="A4500" s="7"/>
      <c r="B4500" s="7" t="s">
        <v>10</v>
      </c>
      <c r="C4500" s="7">
        <v>2018</v>
      </c>
      <c r="D4500" t="str">
        <f t="shared" si="79"/>
        <v>SPM</v>
      </c>
    </row>
    <row r="4501" spans="1:4" ht="30" thickTop="1" thickBot="1">
      <c r="A4501" s="9" t="s">
        <v>1665</v>
      </c>
      <c r="B4501" s="10"/>
      <c r="C4501" s="11"/>
      <c r="D4501" t="str">
        <f t="shared" si="79"/>
        <v>TCA</v>
      </c>
    </row>
    <row r="4502" spans="1:4" ht="39.6" thickTop="1" thickBot="1">
      <c r="A4502" s="7"/>
      <c r="B4502" s="7" t="s">
        <v>10</v>
      </c>
      <c r="C4502" s="7">
        <v>2018</v>
      </c>
      <c r="D4502" t="str">
        <f t="shared" si="79"/>
        <v>TCA</v>
      </c>
    </row>
    <row r="4503" spans="1:4" ht="30" thickTop="1" thickBot="1">
      <c r="A4503" s="7"/>
      <c r="B4503" s="7" t="s">
        <v>3</v>
      </c>
      <c r="C4503" s="7" t="s">
        <v>59</v>
      </c>
      <c r="D4503" t="str">
        <f t="shared" si="79"/>
        <v>TCA</v>
      </c>
    </row>
    <row r="4504" spans="1:4" ht="30" thickTop="1" thickBot="1">
      <c r="A4504" s="7"/>
      <c r="B4504" s="7" t="s">
        <v>7</v>
      </c>
      <c r="C4504" s="7" t="s">
        <v>60</v>
      </c>
      <c r="D4504" t="str">
        <f t="shared" si="79"/>
        <v>TCA</v>
      </c>
    </row>
    <row r="4505" spans="1:4" ht="15.6" thickTop="1" thickBot="1">
      <c r="A4505" s="7"/>
      <c r="B4505" s="7" t="s">
        <v>23</v>
      </c>
      <c r="C4505" s="7" t="s">
        <v>1666</v>
      </c>
      <c r="D4505" t="str">
        <f t="shared" si="79"/>
        <v>TCA</v>
      </c>
    </row>
    <row r="4506" spans="1:4" ht="15.6" thickTop="1" thickBot="1">
      <c r="A4506" s="7"/>
      <c r="B4506" s="7" t="s">
        <v>24</v>
      </c>
      <c r="C4506" s="7">
        <v>2445</v>
      </c>
      <c r="D4506" t="str">
        <f t="shared" si="79"/>
        <v>TCA</v>
      </c>
    </row>
    <row r="4507" spans="1:4" ht="15.6" thickTop="1" thickBot="1">
      <c r="A4507" s="7"/>
      <c r="B4507" s="7" t="s">
        <v>17</v>
      </c>
      <c r="C4507" s="7" t="s">
        <v>1666</v>
      </c>
      <c r="D4507" t="str">
        <f t="shared" si="79"/>
        <v>TCA</v>
      </c>
    </row>
    <row r="4508" spans="1:4" ht="49.2" thickTop="1" thickBot="1">
      <c r="A4508" s="7"/>
      <c r="B4508" s="7" t="s">
        <v>9</v>
      </c>
      <c r="C4508" s="7">
        <v>2017</v>
      </c>
      <c r="D4508" t="str">
        <f t="shared" si="79"/>
        <v>TCA</v>
      </c>
    </row>
    <row r="4509" spans="1:4" ht="30" thickTop="1" thickBot="1">
      <c r="A4509" s="9" t="s">
        <v>1667</v>
      </c>
      <c r="B4509" s="10"/>
      <c r="C4509" s="11"/>
      <c r="D4509" t="str">
        <f t="shared" si="79"/>
        <v>VIR</v>
      </c>
    </row>
    <row r="4510" spans="1:4" ht="49.2" thickTop="1" thickBot="1">
      <c r="A4510" s="7"/>
      <c r="B4510" s="7" t="s">
        <v>9</v>
      </c>
      <c r="C4510" s="7">
        <v>2017</v>
      </c>
      <c r="D4510" t="str">
        <f t="shared" si="79"/>
        <v>VIR</v>
      </c>
    </row>
    <row r="4511" spans="1:4" ht="39.6" thickTop="1" thickBot="1">
      <c r="A4511" s="7"/>
      <c r="B4511" s="7" t="s">
        <v>10</v>
      </c>
      <c r="C4511" s="7">
        <v>2018</v>
      </c>
      <c r="D4511" t="str">
        <f t="shared" si="79"/>
        <v>VIR</v>
      </c>
    </row>
    <row r="4512" spans="1:4" ht="30" thickTop="1" thickBot="1">
      <c r="A4512" s="7"/>
      <c r="B4512" s="7" t="s">
        <v>3</v>
      </c>
      <c r="C4512" s="7" t="s">
        <v>59</v>
      </c>
      <c r="D4512" t="str">
        <f t="shared" si="79"/>
        <v>VIR</v>
      </c>
    </row>
    <row r="4513" spans="1:4" ht="30" thickTop="1" thickBot="1">
      <c r="A4513" s="7"/>
      <c r="B4513" s="7" t="s">
        <v>7</v>
      </c>
      <c r="C4513" s="7" t="s">
        <v>60</v>
      </c>
      <c r="D4513" t="str">
        <f t="shared" si="79"/>
        <v>VIR</v>
      </c>
    </row>
    <row r="4514" spans="1:4" ht="15.6" thickTop="1" thickBot="1">
      <c r="A4514" s="7"/>
      <c r="B4514" s="7" t="s">
        <v>17</v>
      </c>
      <c r="C4514" s="7" t="s">
        <v>1668</v>
      </c>
      <c r="D4514" t="str">
        <f t="shared" si="79"/>
        <v>VIR</v>
      </c>
    </row>
    <row r="4515" spans="1:4" ht="15.6" thickTop="1" thickBot="1">
      <c r="A4515" s="7"/>
      <c r="B4515" s="7" t="s">
        <v>23</v>
      </c>
      <c r="C4515" s="7" t="s">
        <v>1668</v>
      </c>
      <c r="D4515" t="str">
        <f t="shared" si="79"/>
        <v>VIR</v>
      </c>
    </row>
    <row r="4516" spans="1:4" ht="15.6" thickTop="1" thickBot="1">
      <c r="A4516" s="7"/>
      <c r="B4516" s="7" t="s">
        <v>24</v>
      </c>
      <c r="C4516" s="7">
        <v>2455</v>
      </c>
      <c r="D4516" t="str">
        <f t="shared" si="79"/>
        <v>VIR</v>
      </c>
    </row>
    <row r="4517" spans="1:4" ht="30" thickTop="1" thickBot="1">
      <c r="A4517" s="9" t="s">
        <v>1669</v>
      </c>
      <c r="B4517" s="10"/>
      <c r="C4517" s="11"/>
      <c r="D4517" t="str">
        <f t="shared" si="79"/>
        <v>XX1</v>
      </c>
    </row>
    <row r="4518" spans="1:4" ht="15.6" thickTop="1" thickBot="1">
      <c r="A4518" s="7"/>
      <c r="B4518" s="7" t="s">
        <v>17</v>
      </c>
      <c r="C4518" s="7" t="s">
        <v>1670</v>
      </c>
      <c r="D4518" t="str">
        <f t="shared" si="79"/>
        <v>XX1</v>
      </c>
    </row>
    <row r="4519" spans="1:4" ht="15.6" thickTop="1" thickBot="1">
      <c r="A4519" s="7"/>
      <c r="B4519" s="7" t="s">
        <v>23</v>
      </c>
      <c r="C4519" s="7" t="s">
        <v>1670</v>
      </c>
      <c r="D4519" t="str">
        <f t="shared" si="79"/>
        <v>XX1</v>
      </c>
    </row>
    <row r="4520" spans="1:4" ht="15.6" thickTop="1" thickBot="1">
      <c r="A4520" s="7"/>
      <c r="B4520" s="7" t="s">
        <v>24</v>
      </c>
      <c r="C4520" s="7">
        <v>3070</v>
      </c>
      <c r="D4520" t="str">
        <f t="shared" si="79"/>
        <v>XX1</v>
      </c>
    </row>
    <row r="4521" spans="1:4" ht="49.2" thickTop="1" thickBot="1">
      <c r="A4521" s="7"/>
      <c r="B4521" s="7" t="s">
        <v>9</v>
      </c>
      <c r="C4521" s="7">
        <v>2017</v>
      </c>
      <c r="D4521" t="str">
        <f t="shared" si="79"/>
        <v>XX1</v>
      </c>
    </row>
    <row r="4522" spans="1:4" ht="18" customHeight="1" thickTop="1" thickBot="1">
      <c r="A4522" s="7"/>
      <c r="B4522" s="7" t="s">
        <v>10</v>
      </c>
      <c r="C4522" s="7">
        <v>2018</v>
      </c>
      <c r="D4522" t="str">
        <f t="shared" si="79"/>
        <v>XX1</v>
      </c>
    </row>
    <row r="4523" spans="1:4" ht="49.2" thickTop="1" thickBot="1">
      <c r="A4523" s="9" t="s">
        <v>1671</v>
      </c>
      <c r="B4523" s="10"/>
      <c r="C4523" s="11"/>
      <c r="D4523" t="str">
        <f t="shared" si="79"/>
        <v>HKG</v>
      </c>
    </row>
    <row r="4524" spans="1:4" ht="49.2" thickTop="1" thickBot="1">
      <c r="A4524" s="7"/>
      <c r="B4524" s="7" t="s">
        <v>9</v>
      </c>
      <c r="C4524" s="7">
        <v>2017</v>
      </c>
      <c r="D4524" t="str">
        <f t="shared" si="79"/>
        <v>HKG</v>
      </c>
    </row>
    <row r="4525" spans="1:4" ht="39.6" thickTop="1" thickBot="1">
      <c r="A4525" s="7"/>
      <c r="B4525" s="7" t="s">
        <v>10</v>
      </c>
      <c r="C4525" s="7">
        <v>2018</v>
      </c>
      <c r="D4525" t="str">
        <f t="shared" si="79"/>
        <v>HKG</v>
      </c>
    </row>
    <row r="4526" spans="1:4" ht="30" thickTop="1" thickBot="1">
      <c r="A4526" s="7"/>
      <c r="B4526" s="7" t="s">
        <v>3</v>
      </c>
      <c r="C4526" s="7" t="s">
        <v>59</v>
      </c>
      <c r="D4526" t="str">
        <f t="shared" si="79"/>
        <v>HKG</v>
      </c>
    </row>
    <row r="4527" spans="1:4" ht="30" thickTop="1" thickBot="1">
      <c r="A4527" s="7"/>
      <c r="B4527" s="7" t="s">
        <v>7</v>
      </c>
      <c r="C4527" s="7" t="s">
        <v>60</v>
      </c>
      <c r="D4527" t="str">
        <f t="shared" si="79"/>
        <v>HKG</v>
      </c>
    </row>
    <row r="4528" spans="1:4" ht="15.6" thickTop="1" thickBot="1">
      <c r="A4528" s="7"/>
      <c r="B4528" s="7" t="s">
        <v>17</v>
      </c>
      <c r="C4528" s="7" t="s">
        <v>1672</v>
      </c>
      <c r="D4528" t="str">
        <f t="shared" si="79"/>
        <v>HKG</v>
      </c>
    </row>
    <row r="4529" spans="1:4" ht="15.6" thickTop="1" thickBot="1">
      <c r="A4529" s="7"/>
      <c r="B4529" s="7" t="s">
        <v>23</v>
      </c>
      <c r="C4529" s="7" t="s">
        <v>1672</v>
      </c>
      <c r="D4529" t="str">
        <f t="shared" si="79"/>
        <v>HKG</v>
      </c>
    </row>
    <row r="4530" spans="1:4" ht="18" customHeight="1" thickTop="1" thickBot="1">
      <c r="A4530" s="7"/>
      <c r="B4530" s="7" t="s">
        <v>24</v>
      </c>
      <c r="C4530" s="7">
        <v>3090</v>
      </c>
      <c r="D4530" t="str">
        <f t="shared" si="79"/>
        <v>HKG</v>
      </c>
    </row>
    <row r="4531" spans="1:4" ht="49.2" thickTop="1" thickBot="1">
      <c r="A4531" s="9" t="s">
        <v>1673</v>
      </c>
      <c r="B4531" s="10"/>
      <c r="C4531" s="11"/>
      <c r="D4531" t="str">
        <f t="shared" si="79"/>
        <v>MAC</v>
      </c>
    </row>
    <row r="4532" spans="1:4" ht="49.2" thickTop="1" thickBot="1">
      <c r="A4532" s="7"/>
      <c r="B4532" s="7" t="s">
        <v>9</v>
      </c>
      <c r="C4532" s="7">
        <v>2017</v>
      </c>
      <c r="D4532" t="str">
        <f t="shared" si="79"/>
        <v>MAC</v>
      </c>
    </row>
    <row r="4533" spans="1:4" ht="39.6" thickTop="1" thickBot="1">
      <c r="A4533" s="7"/>
      <c r="B4533" s="7" t="s">
        <v>10</v>
      </c>
      <c r="C4533" s="7">
        <v>2018</v>
      </c>
      <c r="D4533" t="str">
        <f t="shared" si="79"/>
        <v>MAC</v>
      </c>
    </row>
    <row r="4534" spans="1:4" ht="30" thickTop="1" thickBot="1">
      <c r="A4534" s="7"/>
      <c r="B4534" s="7" t="s">
        <v>3</v>
      </c>
      <c r="C4534" s="7" t="s">
        <v>59</v>
      </c>
      <c r="D4534" t="str">
        <f t="shared" si="79"/>
        <v>MAC</v>
      </c>
    </row>
    <row r="4535" spans="1:4" ht="30" thickTop="1" thickBot="1">
      <c r="A4535" s="7"/>
      <c r="B4535" s="7" t="s">
        <v>7</v>
      </c>
      <c r="C4535" s="7" t="s">
        <v>60</v>
      </c>
      <c r="D4535" t="str">
        <f t="shared" si="79"/>
        <v>MAC</v>
      </c>
    </row>
    <row r="4536" spans="1:4" ht="15.6" thickTop="1" thickBot="1">
      <c r="A4536" s="7"/>
      <c r="B4536" s="7" t="s">
        <v>17</v>
      </c>
      <c r="C4536" s="7" t="s">
        <v>1674</v>
      </c>
      <c r="D4536" t="str">
        <f t="shared" si="79"/>
        <v>MAC</v>
      </c>
    </row>
    <row r="4537" spans="1:4" ht="15.6" thickTop="1" thickBot="1">
      <c r="A4537" s="7"/>
      <c r="B4537" s="7" t="s">
        <v>23</v>
      </c>
      <c r="C4537" s="7" t="s">
        <v>1674</v>
      </c>
      <c r="D4537" t="str">
        <f t="shared" si="79"/>
        <v>MAC</v>
      </c>
    </row>
    <row r="4538" spans="1:4" ht="15.6" thickTop="1" thickBot="1">
      <c r="A4538" s="7"/>
      <c r="B4538" s="7" t="s">
        <v>24</v>
      </c>
      <c r="C4538" s="7">
        <v>3220</v>
      </c>
      <c r="D4538" t="str">
        <f t="shared" si="79"/>
        <v>MAC</v>
      </c>
    </row>
    <row r="4539" spans="1:4" ht="20.399999999999999" thickTop="1" thickBot="1">
      <c r="A4539" s="9" t="s">
        <v>1675</v>
      </c>
      <c r="B4539" s="10"/>
      <c r="C4539" s="11"/>
      <c r="D4539" t="str">
        <f t="shared" si="79"/>
        <v>XX4</v>
      </c>
    </row>
    <row r="4540" spans="1:4" ht="15.6" thickTop="1" thickBot="1">
      <c r="A4540" s="7"/>
      <c r="B4540" s="7" t="s">
        <v>17</v>
      </c>
      <c r="C4540" s="7" t="s">
        <v>1676</v>
      </c>
      <c r="D4540" t="str">
        <f t="shared" si="79"/>
        <v>XX4</v>
      </c>
    </row>
    <row r="4541" spans="1:4" ht="15.6" thickTop="1" thickBot="1">
      <c r="A4541" s="7"/>
      <c r="B4541" s="7" t="s">
        <v>23</v>
      </c>
      <c r="C4541" s="7" t="s">
        <v>1676</v>
      </c>
      <c r="D4541" t="str">
        <f t="shared" si="79"/>
        <v>XX4</v>
      </c>
    </row>
    <row r="4542" spans="1:4" ht="15.6" thickTop="1" thickBot="1">
      <c r="A4542" s="7"/>
      <c r="B4542" s="7" t="s">
        <v>24</v>
      </c>
      <c r="C4542" s="7">
        <v>3330</v>
      </c>
      <c r="D4542" t="str">
        <f t="shared" si="79"/>
        <v>XX4</v>
      </c>
    </row>
    <row r="4543" spans="1:4" ht="49.2" thickTop="1" thickBot="1">
      <c r="A4543" s="7"/>
      <c r="B4543" s="7" t="s">
        <v>9</v>
      </c>
      <c r="C4543" s="7">
        <v>2017</v>
      </c>
      <c r="D4543" t="str">
        <f t="shared" si="79"/>
        <v>XX4</v>
      </c>
    </row>
    <row r="4544" spans="1:4" ht="39.6" thickTop="1" thickBot="1">
      <c r="A4544" s="7"/>
      <c r="B4544" s="7" t="s">
        <v>10</v>
      </c>
      <c r="C4544" s="7">
        <v>2018</v>
      </c>
      <c r="D4544" t="str">
        <f t="shared" si="79"/>
        <v>XX4</v>
      </c>
    </row>
    <row r="4545" spans="1:4" ht="30" thickTop="1" thickBot="1">
      <c r="A4545" s="9" t="s">
        <v>1677</v>
      </c>
      <c r="B4545" s="10"/>
      <c r="C4545" s="11"/>
      <c r="D4545" t="str">
        <f t="shared" si="79"/>
        <v>XX5</v>
      </c>
    </row>
    <row r="4546" spans="1:4" ht="15.6" thickTop="1" thickBot="1">
      <c r="A4546" s="7"/>
      <c r="B4546" s="7" t="s">
        <v>17</v>
      </c>
      <c r="C4546" s="7" t="s">
        <v>1678</v>
      </c>
      <c r="D4546" t="str">
        <f t="shared" ref="D4546:D4609" si="80">IF(ISNUMBER(FIND(":", A4546)), LEFT(A4546, FIND(":", A4546) - 1), D4545)</f>
        <v>XX5</v>
      </c>
    </row>
    <row r="4547" spans="1:4" ht="15.6" thickTop="1" thickBot="1">
      <c r="A4547" s="7"/>
      <c r="B4547" s="7" t="s">
        <v>23</v>
      </c>
      <c r="C4547" s="7" t="s">
        <v>1678</v>
      </c>
      <c r="D4547" t="str">
        <f t="shared" si="80"/>
        <v>XX5</v>
      </c>
    </row>
    <row r="4548" spans="1:4" ht="15.6" thickTop="1" thickBot="1">
      <c r="A4548" s="7"/>
      <c r="B4548" s="7" t="s">
        <v>24</v>
      </c>
      <c r="C4548" s="7">
        <v>4040</v>
      </c>
      <c r="D4548" t="str">
        <f t="shared" si="80"/>
        <v>XX5</v>
      </c>
    </row>
    <row r="4549" spans="1:4" ht="49.2" thickTop="1" thickBot="1">
      <c r="A4549" s="7"/>
      <c r="B4549" s="7" t="s">
        <v>9</v>
      </c>
      <c r="C4549" s="7">
        <v>2017</v>
      </c>
      <c r="D4549" t="str">
        <f t="shared" si="80"/>
        <v>XX5</v>
      </c>
    </row>
    <row r="4550" spans="1:4" ht="18" customHeight="1" thickTop="1" thickBot="1">
      <c r="A4550" s="7"/>
      <c r="B4550" s="7" t="s">
        <v>10</v>
      </c>
      <c r="C4550" s="7">
        <v>2018</v>
      </c>
      <c r="D4550" t="str">
        <f t="shared" si="80"/>
        <v>XX5</v>
      </c>
    </row>
    <row r="4551" spans="1:4" ht="49.2" thickTop="1" thickBot="1">
      <c r="A4551" s="9" t="s">
        <v>1679</v>
      </c>
      <c r="B4551" s="10"/>
      <c r="C4551" s="11"/>
      <c r="D4551" t="str">
        <f t="shared" si="80"/>
        <v>XX6</v>
      </c>
    </row>
    <row r="4552" spans="1:4" ht="15.6" thickTop="1" thickBot="1">
      <c r="A4552" s="7"/>
      <c r="B4552" s="7" t="s">
        <v>23</v>
      </c>
      <c r="C4552" s="7" t="s">
        <v>1680</v>
      </c>
      <c r="D4552" t="str">
        <f t="shared" si="80"/>
        <v>XX6</v>
      </c>
    </row>
    <row r="4553" spans="1:4" ht="15.6" thickTop="1" thickBot="1">
      <c r="A4553" s="7"/>
      <c r="B4553" s="7" t="s">
        <v>24</v>
      </c>
      <c r="C4553" s="7">
        <v>4090</v>
      </c>
      <c r="D4553" t="str">
        <f t="shared" si="80"/>
        <v>XX6</v>
      </c>
    </row>
    <row r="4554" spans="1:4" ht="15.6" thickTop="1" thickBot="1">
      <c r="A4554" s="7"/>
      <c r="B4554" s="7" t="s">
        <v>17</v>
      </c>
      <c r="C4554" s="7" t="s">
        <v>1680</v>
      </c>
      <c r="D4554" t="str">
        <f t="shared" si="80"/>
        <v>XX6</v>
      </c>
    </row>
    <row r="4555" spans="1:4" ht="49.2" thickTop="1" thickBot="1">
      <c r="A4555" s="7"/>
      <c r="B4555" s="7" t="s">
        <v>9</v>
      </c>
      <c r="C4555" s="7">
        <v>2017</v>
      </c>
      <c r="D4555" t="str">
        <f t="shared" si="80"/>
        <v>XX6</v>
      </c>
    </row>
    <row r="4556" spans="1:4" ht="39.6" thickTop="1" thickBot="1">
      <c r="A4556" s="7"/>
      <c r="B4556" s="7" t="s">
        <v>10</v>
      </c>
      <c r="C4556" s="7">
        <v>2018</v>
      </c>
      <c r="D4556" t="str">
        <f t="shared" si="80"/>
        <v>XX6</v>
      </c>
    </row>
    <row r="4557" spans="1:4" ht="49.2" thickTop="1" thickBot="1">
      <c r="A4557" s="9" t="s">
        <v>1681</v>
      </c>
      <c r="B4557" s="10"/>
      <c r="C4557" s="11"/>
      <c r="D4557" t="str">
        <f t="shared" si="80"/>
        <v>XX7</v>
      </c>
    </row>
    <row r="4558" spans="1:4" ht="15.6" thickTop="1" thickBot="1">
      <c r="A4558" s="7"/>
      <c r="B4558" s="7" t="s">
        <v>17</v>
      </c>
      <c r="C4558" s="7" t="s">
        <v>1682</v>
      </c>
      <c r="D4558" t="str">
        <f t="shared" si="80"/>
        <v>XX7</v>
      </c>
    </row>
    <row r="4559" spans="1:4" ht="15.6" thickTop="1" thickBot="1">
      <c r="A4559" s="7"/>
      <c r="B4559" s="7" t="s">
        <v>23</v>
      </c>
      <c r="C4559" s="7" t="s">
        <v>1682</v>
      </c>
      <c r="D4559" t="str">
        <f t="shared" si="80"/>
        <v>XX7</v>
      </c>
    </row>
    <row r="4560" spans="1:4" ht="15.6" thickTop="1" thickBot="1">
      <c r="A4560" s="7"/>
      <c r="B4560" s="7" t="s">
        <v>24</v>
      </c>
      <c r="C4560" s="7">
        <v>4100</v>
      </c>
      <c r="D4560" t="str">
        <f t="shared" si="80"/>
        <v>XX7</v>
      </c>
    </row>
    <row r="4561" spans="1:4" ht="49.2" thickTop="1" thickBot="1">
      <c r="A4561" s="7"/>
      <c r="B4561" s="7" t="s">
        <v>9</v>
      </c>
      <c r="C4561" s="7">
        <v>2017</v>
      </c>
      <c r="D4561" t="str">
        <f t="shared" si="80"/>
        <v>XX7</v>
      </c>
    </row>
    <row r="4562" spans="1:4" ht="39.6" thickTop="1" thickBot="1">
      <c r="A4562" s="7"/>
      <c r="B4562" s="7" t="s">
        <v>10</v>
      </c>
      <c r="C4562" s="7">
        <v>2018</v>
      </c>
      <c r="D4562" t="str">
        <f t="shared" si="80"/>
        <v>XX7</v>
      </c>
    </row>
    <row r="4563" spans="1:4" ht="30" thickTop="1" thickBot="1">
      <c r="A4563" s="9" t="s">
        <v>1683</v>
      </c>
      <c r="B4563" s="10"/>
      <c r="C4563" s="11"/>
      <c r="D4563" t="str">
        <f t="shared" si="80"/>
        <v>XX8</v>
      </c>
    </row>
    <row r="4564" spans="1:4" ht="15.6" thickTop="1" thickBot="1">
      <c r="A4564" s="7"/>
      <c r="B4564" s="7" t="s">
        <v>23</v>
      </c>
      <c r="C4564" s="7" t="s">
        <v>1684</v>
      </c>
      <c r="D4564" t="str">
        <f t="shared" si="80"/>
        <v>XX8</v>
      </c>
    </row>
    <row r="4565" spans="1:4" ht="15.6" thickTop="1" thickBot="1">
      <c r="A4565" s="7"/>
      <c r="B4565" s="7" t="s">
        <v>24</v>
      </c>
      <c r="C4565" s="7">
        <v>4120</v>
      </c>
      <c r="D4565" t="str">
        <f t="shared" si="80"/>
        <v>XX8</v>
      </c>
    </row>
    <row r="4566" spans="1:4" ht="15.6" thickTop="1" thickBot="1">
      <c r="A4566" s="7"/>
      <c r="B4566" s="7" t="s">
        <v>17</v>
      </c>
      <c r="C4566" s="7" t="s">
        <v>1684</v>
      </c>
      <c r="D4566" t="str">
        <f t="shared" si="80"/>
        <v>XX8</v>
      </c>
    </row>
    <row r="4567" spans="1:4" ht="49.2" thickTop="1" thickBot="1">
      <c r="A4567" s="7"/>
      <c r="B4567" s="7" t="s">
        <v>9</v>
      </c>
      <c r="C4567" s="7">
        <v>2017</v>
      </c>
      <c r="D4567" t="str">
        <f t="shared" si="80"/>
        <v>XX8</v>
      </c>
    </row>
    <row r="4568" spans="1:4" ht="39.6" thickTop="1" thickBot="1">
      <c r="A4568" s="7"/>
      <c r="B4568" s="7" t="s">
        <v>10</v>
      </c>
      <c r="C4568" s="7">
        <v>2018</v>
      </c>
      <c r="D4568" t="str">
        <f t="shared" si="80"/>
        <v>XX8</v>
      </c>
    </row>
    <row r="4569" spans="1:4" ht="20.399999999999999" thickTop="1" thickBot="1">
      <c r="A4569" s="9" t="s">
        <v>1685</v>
      </c>
      <c r="B4569" s="10"/>
      <c r="C4569" s="11"/>
      <c r="D4569" t="str">
        <f t="shared" si="80"/>
        <v>XX9</v>
      </c>
    </row>
    <row r="4570" spans="1:4" ht="15.6" thickTop="1" thickBot="1">
      <c r="A4570" s="7"/>
      <c r="B4570" s="7" t="s">
        <v>17</v>
      </c>
      <c r="C4570" s="7" t="s">
        <v>1686</v>
      </c>
      <c r="D4570" t="str">
        <f t="shared" si="80"/>
        <v>XX9</v>
      </c>
    </row>
    <row r="4571" spans="1:4" ht="15.6" thickTop="1" thickBot="1">
      <c r="A4571" s="7"/>
      <c r="B4571" s="7" t="s">
        <v>23</v>
      </c>
      <c r="C4571" s="7" t="s">
        <v>1686</v>
      </c>
      <c r="D4571" t="str">
        <f t="shared" si="80"/>
        <v>XX9</v>
      </c>
    </row>
    <row r="4572" spans="1:4" ht="15.6" thickTop="1" thickBot="1">
      <c r="A4572" s="7"/>
      <c r="B4572" s="7" t="s">
        <v>24</v>
      </c>
      <c r="C4572" s="7">
        <v>4304</v>
      </c>
      <c r="D4572" t="str">
        <f t="shared" si="80"/>
        <v>XX9</v>
      </c>
    </row>
    <row r="4573" spans="1:4" ht="49.2" thickTop="1" thickBot="1">
      <c r="A4573" s="7"/>
      <c r="B4573" s="7" t="s">
        <v>9</v>
      </c>
      <c r="C4573" s="7">
        <v>2017</v>
      </c>
      <c r="D4573" t="str">
        <f t="shared" si="80"/>
        <v>XX9</v>
      </c>
    </row>
    <row r="4574" spans="1:4" ht="39.6" thickTop="1" thickBot="1">
      <c r="A4574" s="7"/>
      <c r="B4574" s="7" t="s">
        <v>10</v>
      </c>
      <c r="C4574" s="7">
        <v>2018</v>
      </c>
      <c r="D4574" t="str">
        <f t="shared" si="80"/>
        <v>XX9</v>
      </c>
    </row>
    <row r="4575" spans="1:4" ht="20.399999999999999" thickTop="1" thickBot="1">
      <c r="A4575" s="9" t="s">
        <v>1687</v>
      </c>
      <c r="B4575" s="10"/>
      <c r="C4575" s="11"/>
      <c r="D4575" t="str">
        <f t="shared" si="80"/>
        <v>GUF</v>
      </c>
    </row>
    <row r="4576" spans="1:4" ht="15.6" thickTop="1" thickBot="1">
      <c r="A4576" s="7"/>
      <c r="B4576" s="7" t="s">
        <v>23</v>
      </c>
      <c r="C4576" s="7" t="s">
        <v>1688</v>
      </c>
      <c r="D4576" t="str">
        <f t="shared" si="80"/>
        <v>GUF</v>
      </c>
    </row>
    <row r="4577" spans="1:4" ht="15.6" thickTop="1" thickBot="1">
      <c r="A4577" s="7"/>
      <c r="B4577" s="7" t="s">
        <v>24</v>
      </c>
      <c r="C4577" s="7">
        <v>2210</v>
      </c>
      <c r="D4577" t="str">
        <f t="shared" si="80"/>
        <v>GUF</v>
      </c>
    </row>
    <row r="4578" spans="1:4" ht="15.6" thickTop="1" thickBot="1">
      <c r="A4578" s="7"/>
      <c r="B4578" s="7" t="s">
        <v>17</v>
      </c>
      <c r="C4578" s="7" t="s">
        <v>1688</v>
      </c>
      <c r="D4578" t="str">
        <f t="shared" si="80"/>
        <v>GUF</v>
      </c>
    </row>
    <row r="4579" spans="1:4" ht="49.2" thickTop="1" thickBot="1">
      <c r="A4579" s="7"/>
      <c r="B4579" s="7" t="s">
        <v>9</v>
      </c>
      <c r="C4579" s="7">
        <v>2017</v>
      </c>
      <c r="D4579" t="str">
        <f t="shared" si="80"/>
        <v>GUF</v>
      </c>
    </row>
    <row r="4580" spans="1:4" ht="18" customHeight="1" thickTop="1" thickBot="1">
      <c r="A4580" s="7"/>
      <c r="B4580" s="7" t="s">
        <v>10</v>
      </c>
      <c r="C4580" s="7">
        <v>2018</v>
      </c>
      <c r="D4580" t="str">
        <f t="shared" si="80"/>
        <v>GUF</v>
      </c>
    </row>
    <row r="4581" spans="1:4" ht="39.6" thickTop="1" thickBot="1">
      <c r="A4581" s="9" t="s">
        <v>1689</v>
      </c>
      <c r="B4581" s="10"/>
      <c r="C4581" s="11"/>
      <c r="D4581" t="str">
        <f t="shared" si="80"/>
        <v>X10</v>
      </c>
    </row>
    <row r="4582" spans="1:4" ht="15.6" thickTop="1" thickBot="1">
      <c r="A4582" s="7"/>
      <c r="B4582" s="7" t="s">
        <v>17</v>
      </c>
      <c r="C4582" s="7" t="s">
        <v>1690</v>
      </c>
      <c r="D4582" t="str">
        <f t="shared" si="80"/>
        <v>X10</v>
      </c>
    </row>
    <row r="4583" spans="1:4" ht="15.6" thickTop="1" thickBot="1">
      <c r="A4583" s="7"/>
      <c r="B4583" s="7" t="s">
        <v>23</v>
      </c>
      <c r="C4583" s="7" t="s">
        <v>1690</v>
      </c>
      <c r="D4583" t="str">
        <f t="shared" si="80"/>
        <v>X10</v>
      </c>
    </row>
    <row r="4584" spans="1:4" ht="15.6" thickTop="1" thickBot="1">
      <c r="A4584" s="7"/>
      <c r="B4584" s="7" t="s">
        <v>24</v>
      </c>
      <c r="C4584" s="7">
        <v>4310</v>
      </c>
      <c r="D4584" t="str">
        <f t="shared" si="80"/>
        <v>X10</v>
      </c>
    </row>
    <row r="4585" spans="1:4" ht="49.2" thickTop="1" thickBot="1">
      <c r="A4585" s="7"/>
      <c r="B4585" s="7" t="s">
        <v>9</v>
      </c>
      <c r="C4585" s="7">
        <v>2017</v>
      </c>
      <c r="D4585" t="str">
        <f t="shared" si="80"/>
        <v>X10</v>
      </c>
    </row>
    <row r="4586" spans="1:4" ht="39.6" thickTop="1" thickBot="1">
      <c r="A4586" s="7"/>
      <c r="B4586" s="7" t="s">
        <v>10</v>
      </c>
      <c r="C4586" s="7">
        <v>2018</v>
      </c>
      <c r="D4586" t="str">
        <f t="shared" si="80"/>
        <v>X10</v>
      </c>
    </row>
    <row r="4587" spans="1:4" ht="39.6" thickTop="1" thickBot="1">
      <c r="A4587" s="9" t="s">
        <v>1691</v>
      </c>
      <c r="B4587" s="10"/>
      <c r="C4587" s="11"/>
      <c r="D4587" t="str">
        <f t="shared" si="80"/>
        <v>X11</v>
      </c>
    </row>
    <row r="4588" spans="1:4" ht="15.6" thickTop="1" thickBot="1">
      <c r="A4588" s="7"/>
      <c r="B4588" s="7" t="s">
        <v>23</v>
      </c>
      <c r="C4588" s="7" t="s">
        <v>1692</v>
      </c>
      <c r="D4588" t="str">
        <f t="shared" si="80"/>
        <v>X11</v>
      </c>
    </row>
    <row r="4589" spans="1:4" ht="15.6" thickTop="1" thickBot="1">
      <c r="A4589" s="7"/>
      <c r="B4589" s="7" t="s">
        <v>24</v>
      </c>
      <c r="C4589" s="7">
        <v>4320</v>
      </c>
      <c r="D4589" t="str">
        <f t="shared" si="80"/>
        <v>X11</v>
      </c>
    </row>
    <row r="4590" spans="1:4" ht="15.6" thickTop="1" thickBot="1">
      <c r="A4590" s="7"/>
      <c r="B4590" s="7" t="s">
        <v>17</v>
      </c>
      <c r="C4590" s="7" t="s">
        <v>1692</v>
      </c>
      <c r="D4590" t="str">
        <f t="shared" si="80"/>
        <v>X11</v>
      </c>
    </row>
    <row r="4591" spans="1:4" ht="49.2" thickTop="1" thickBot="1">
      <c r="A4591" s="7"/>
      <c r="B4591" s="7" t="s">
        <v>9</v>
      </c>
      <c r="C4591" s="7">
        <v>2017</v>
      </c>
      <c r="D4591" t="str">
        <f t="shared" si="80"/>
        <v>X11</v>
      </c>
    </row>
    <row r="4592" spans="1:4" ht="39.6" thickTop="1" thickBot="1">
      <c r="A4592" s="7"/>
      <c r="B4592" s="7" t="s">
        <v>10</v>
      </c>
      <c r="C4592" s="7">
        <v>2018</v>
      </c>
      <c r="D4592" t="str">
        <f t="shared" si="80"/>
        <v>X11</v>
      </c>
    </row>
    <row r="4593" spans="1:4" ht="30" thickTop="1" thickBot="1">
      <c r="A4593" s="9" t="s">
        <v>1693</v>
      </c>
      <c r="B4593" s="10"/>
      <c r="C4593" s="11"/>
      <c r="D4593" t="str">
        <f t="shared" si="80"/>
        <v>X12</v>
      </c>
    </row>
    <row r="4594" spans="1:4" ht="15.6" thickTop="1" thickBot="1">
      <c r="A4594" s="7"/>
      <c r="B4594" s="7" t="s">
        <v>17</v>
      </c>
      <c r="C4594" s="7" t="s">
        <v>1694</v>
      </c>
      <c r="D4594" t="str">
        <f t="shared" si="80"/>
        <v>X12</v>
      </c>
    </row>
    <row r="4595" spans="1:4" ht="15.6" thickTop="1" thickBot="1">
      <c r="A4595" s="7"/>
      <c r="B4595" s="7" t="s">
        <v>23</v>
      </c>
      <c r="C4595" s="7" t="s">
        <v>1694</v>
      </c>
      <c r="D4595" t="str">
        <f t="shared" si="80"/>
        <v>X12</v>
      </c>
    </row>
    <row r="4596" spans="1:4" ht="15.6" thickTop="1" thickBot="1">
      <c r="A4596" s="7"/>
      <c r="B4596" s="7" t="s">
        <v>24</v>
      </c>
      <c r="C4596" s="7">
        <v>4330</v>
      </c>
      <c r="D4596" t="str">
        <f t="shared" si="80"/>
        <v>X12</v>
      </c>
    </row>
    <row r="4597" spans="1:4" ht="49.2" thickTop="1" thickBot="1">
      <c r="A4597" s="7"/>
      <c r="B4597" s="7" t="s">
        <v>9</v>
      </c>
      <c r="C4597" s="7">
        <v>2017</v>
      </c>
      <c r="D4597" t="str">
        <f t="shared" si="80"/>
        <v>X12</v>
      </c>
    </row>
    <row r="4598" spans="1:4" ht="39.6" thickTop="1" thickBot="1">
      <c r="A4598" s="7"/>
      <c r="B4598" s="7" t="s">
        <v>10</v>
      </c>
      <c r="C4598" s="7">
        <v>2018</v>
      </c>
      <c r="D4598" t="str">
        <f t="shared" si="80"/>
        <v>X12</v>
      </c>
    </row>
    <row r="4599" spans="1:4" ht="30" thickTop="1" thickBot="1">
      <c r="A4599" s="9" t="s">
        <v>1695</v>
      </c>
      <c r="B4599" s="10"/>
      <c r="C4599" s="11"/>
      <c r="D4599" t="str">
        <f t="shared" si="80"/>
        <v>X13</v>
      </c>
    </row>
    <row r="4600" spans="1:4" ht="15.6" thickTop="1" thickBot="1">
      <c r="A4600" s="7"/>
      <c r="B4600" s="7" t="s">
        <v>17</v>
      </c>
      <c r="C4600" s="7" t="s">
        <v>1696</v>
      </c>
      <c r="D4600" t="str">
        <f t="shared" si="80"/>
        <v>X13</v>
      </c>
    </row>
    <row r="4601" spans="1:4" ht="15.6" thickTop="1" thickBot="1">
      <c r="A4601" s="7"/>
      <c r="B4601" s="7" t="s">
        <v>23</v>
      </c>
      <c r="C4601" s="7" t="s">
        <v>1696</v>
      </c>
      <c r="D4601" t="str">
        <f t="shared" si="80"/>
        <v>X13</v>
      </c>
    </row>
    <row r="4602" spans="1:4" ht="15.6" thickTop="1" thickBot="1">
      <c r="A4602" s="7"/>
      <c r="B4602" s="7" t="s">
        <v>24</v>
      </c>
      <c r="C4602" s="7">
        <v>4340</v>
      </c>
      <c r="D4602" t="str">
        <f t="shared" si="80"/>
        <v>X13</v>
      </c>
    </row>
    <row r="4603" spans="1:4" ht="49.2" thickTop="1" thickBot="1">
      <c r="A4603" s="7"/>
      <c r="B4603" s="7" t="s">
        <v>9</v>
      </c>
      <c r="C4603" s="7">
        <v>2017</v>
      </c>
      <c r="D4603" t="str">
        <f t="shared" si="80"/>
        <v>X13</v>
      </c>
    </row>
    <row r="4604" spans="1:4" ht="39.6" thickTop="1" thickBot="1">
      <c r="A4604" s="7"/>
      <c r="B4604" s="7" t="s">
        <v>10</v>
      </c>
      <c r="C4604" s="7">
        <v>2018</v>
      </c>
      <c r="D4604" t="str">
        <f t="shared" si="80"/>
        <v>X13</v>
      </c>
    </row>
    <row r="4605" spans="1:4" ht="39.6" thickTop="1" thickBot="1">
      <c r="A4605" s="9" t="s">
        <v>1697</v>
      </c>
      <c r="B4605" s="10"/>
      <c r="C4605" s="11"/>
      <c r="D4605" t="str">
        <f t="shared" si="80"/>
        <v>SCG</v>
      </c>
    </row>
    <row r="4606" spans="1:4" ht="15.6" thickTop="1" thickBot="1">
      <c r="A4606" s="7"/>
      <c r="B4606" s="7" t="s">
        <v>23</v>
      </c>
      <c r="C4606" s="7" t="s">
        <v>1295</v>
      </c>
      <c r="D4606" t="str">
        <f t="shared" si="80"/>
        <v>SCG</v>
      </c>
    </row>
    <row r="4607" spans="1:4" ht="15.6" thickTop="1" thickBot="1">
      <c r="A4607" s="7"/>
      <c r="B4607" s="7" t="s">
        <v>24</v>
      </c>
      <c r="C4607" s="7">
        <v>4350</v>
      </c>
      <c r="D4607" t="str">
        <f t="shared" si="80"/>
        <v>SCG</v>
      </c>
    </row>
    <row r="4608" spans="1:4" ht="15.6" thickTop="1" thickBot="1">
      <c r="A4608" s="7"/>
      <c r="B4608" s="7" t="s">
        <v>16</v>
      </c>
      <c r="C4608" s="7" t="s">
        <v>381</v>
      </c>
      <c r="D4608" t="str">
        <f t="shared" si="80"/>
        <v>SCG</v>
      </c>
    </row>
    <row r="4609" spans="1:4" ht="15.6" thickTop="1" thickBot="1">
      <c r="A4609" s="7"/>
      <c r="B4609" s="7" t="s">
        <v>17</v>
      </c>
      <c r="C4609" s="7" t="s">
        <v>1295</v>
      </c>
      <c r="D4609" t="str">
        <f t="shared" si="80"/>
        <v>SCG</v>
      </c>
    </row>
    <row r="4610" spans="1:4" ht="49.2" thickTop="1" thickBot="1">
      <c r="A4610" s="7"/>
      <c r="B4610" s="7" t="s">
        <v>9</v>
      </c>
      <c r="C4610" s="7">
        <v>2017</v>
      </c>
      <c r="D4610" t="str">
        <f t="shared" ref="D4610:D4673" si="81">IF(ISNUMBER(FIND(":", A4610)), LEFT(A4610, FIND(":", A4610) - 1), D4609)</f>
        <v>SCG</v>
      </c>
    </row>
    <row r="4611" spans="1:4" ht="18" customHeight="1" thickTop="1" thickBot="1">
      <c r="A4611" s="7"/>
      <c r="B4611" s="7" t="s">
        <v>10</v>
      </c>
      <c r="C4611" s="7">
        <v>2018</v>
      </c>
      <c r="D4611" t="str">
        <f t="shared" si="81"/>
        <v>SCG</v>
      </c>
    </row>
    <row r="4612" spans="1:4" ht="68.400000000000006" thickTop="1" thickBot="1">
      <c r="A4612" s="9" t="s">
        <v>1698</v>
      </c>
      <c r="B4612" s="10"/>
      <c r="C4612" s="11"/>
      <c r="D4612" t="str">
        <f t="shared" si="81"/>
        <v>PSE</v>
      </c>
    </row>
    <row r="4613" spans="1:4" ht="15.6" thickTop="1" thickBot="1">
      <c r="A4613" s="7"/>
      <c r="B4613" s="7" t="s">
        <v>17</v>
      </c>
      <c r="C4613" s="7" t="s">
        <v>1699</v>
      </c>
      <c r="D4613" t="str">
        <f t="shared" si="81"/>
        <v>PSE</v>
      </c>
    </row>
    <row r="4614" spans="1:4" ht="15.6" thickTop="1" thickBot="1">
      <c r="A4614" s="7"/>
      <c r="B4614" s="7" t="s">
        <v>23</v>
      </c>
      <c r="C4614" s="7" t="s">
        <v>1699</v>
      </c>
      <c r="D4614" t="str">
        <f t="shared" si="81"/>
        <v>PSE</v>
      </c>
    </row>
    <row r="4615" spans="1:4" ht="30" thickTop="1" thickBot="1">
      <c r="A4615" s="7"/>
      <c r="B4615" s="7" t="s">
        <v>3</v>
      </c>
      <c r="C4615" s="7" t="s">
        <v>69</v>
      </c>
      <c r="D4615" t="str">
        <f t="shared" si="81"/>
        <v>PSE</v>
      </c>
    </row>
    <row r="4616" spans="1:4" ht="30" thickTop="1" thickBot="1">
      <c r="A4616" s="7"/>
      <c r="B4616" s="7" t="s">
        <v>7</v>
      </c>
      <c r="C4616" s="7" t="s">
        <v>70</v>
      </c>
      <c r="D4616" t="str">
        <f t="shared" si="81"/>
        <v>PSE</v>
      </c>
    </row>
    <row r="4617" spans="1:4" ht="49.2" thickTop="1" thickBot="1">
      <c r="A4617" s="7"/>
      <c r="B4617" s="7" t="s">
        <v>9</v>
      </c>
      <c r="C4617" s="7">
        <v>2017</v>
      </c>
      <c r="D4617" t="str">
        <f t="shared" si="81"/>
        <v>PSE</v>
      </c>
    </row>
    <row r="4618" spans="1:4" ht="39.6" thickTop="1" thickBot="1">
      <c r="A4618" s="7"/>
      <c r="B4618" s="7" t="s">
        <v>10</v>
      </c>
      <c r="C4618" s="7">
        <v>2018</v>
      </c>
      <c r="D4618" t="str">
        <f t="shared" si="81"/>
        <v>PSE</v>
      </c>
    </row>
    <row r="4619" spans="1:4" ht="15.6" thickTop="1" thickBot="1">
      <c r="A4619" s="7"/>
      <c r="B4619" s="7" t="s">
        <v>11</v>
      </c>
      <c r="C4619" s="7" t="s">
        <v>1699</v>
      </c>
      <c r="D4619" t="str">
        <f t="shared" si="81"/>
        <v>PSE</v>
      </c>
    </row>
    <row r="4620" spans="1:4" ht="15.6" thickTop="1" thickBot="1">
      <c r="A4620" s="7"/>
      <c r="B4620" s="7" t="s">
        <v>15</v>
      </c>
      <c r="C4620" s="7" t="s">
        <v>1699</v>
      </c>
      <c r="D4620" t="str">
        <f t="shared" si="81"/>
        <v>PSE</v>
      </c>
    </row>
    <row r="4621" spans="1:4" ht="15.6" thickTop="1" thickBot="1">
      <c r="A4621" s="7"/>
      <c r="B4621" s="7" t="s">
        <v>18</v>
      </c>
      <c r="C4621" s="7" t="s">
        <v>1699</v>
      </c>
      <c r="D4621" t="str">
        <f t="shared" si="81"/>
        <v>PSE</v>
      </c>
    </row>
    <row r="4622" spans="1:4" ht="20.399999999999999" thickTop="1" thickBot="1">
      <c r="A4622" s="7"/>
      <c r="B4622" s="7" t="s">
        <v>26</v>
      </c>
      <c r="C4622" s="7" t="s">
        <v>486</v>
      </c>
      <c r="D4622" t="str">
        <f t="shared" si="81"/>
        <v>PSE</v>
      </c>
    </row>
    <row r="4623" spans="1:4" ht="30" thickTop="1" thickBot="1">
      <c r="A4623" s="7"/>
      <c r="B4623" s="7" t="s">
        <v>28</v>
      </c>
      <c r="C4623" s="7" t="s">
        <v>1700</v>
      </c>
      <c r="D4623" t="str">
        <f t="shared" si="81"/>
        <v>PSE</v>
      </c>
    </row>
    <row r="4624" spans="1:4" ht="30" thickTop="1" thickBot="1">
      <c r="A4624" s="7"/>
      <c r="B4624" s="7" t="s">
        <v>30</v>
      </c>
      <c r="C4624" s="7" t="s">
        <v>1700</v>
      </c>
      <c r="D4624" t="str">
        <f t="shared" si="81"/>
        <v>PSE</v>
      </c>
    </row>
    <row r="4625" spans="1:4" ht="15.6" thickTop="1" thickBot="1">
      <c r="A4625" s="7"/>
      <c r="B4625" s="7" t="s">
        <v>21</v>
      </c>
      <c r="C4625" s="7" t="s">
        <v>1699</v>
      </c>
      <c r="D4625" t="str">
        <f t="shared" si="81"/>
        <v>PSE</v>
      </c>
    </row>
    <row r="4626" spans="1:4" ht="30" thickTop="1" thickBot="1">
      <c r="A4626" s="7"/>
      <c r="B4626" s="7" t="s">
        <v>1</v>
      </c>
      <c r="C4626" s="7" t="s">
        <v>2</v>
      </c>
      <c r="D4626" t="str">
        <f t="shared" si="81"/>
        <v>PSE</v>
      </c>
    </row>
    <row r="4627" spans="1:4" ht="20.399999999999999" thickTop="1" thickBot="1">
      <c r="A4627" s="7"/>
      <c r="B4627" s="7" t="s">
        <v>5</v>
      </c>
      <c r="C4627" s="7" t="s">
        <v>6</v>
      </c>
      <c r="D4627" t="str">
        <f t="shared" si="81"/>
        <v>PSE</v>
      </c>
    </row>
    <row r="4628" spans="1:4" ht="15.6" thickTop="1" thickBot="1">
      <c r="A4628" s="9" t="s">
        <v>1701</v>
      </c>
      <c r="B4628" s="10"/>
      <c r="C4628" s="11"/>
      <c r="D4628" t="str">
        <f t="shared" si="81"/>
        <v>NA</v>
      </c>
    </row>
    <row r="4629" spans="1:4" ht="15.6" thickTop="1" thickBot="1">
      <c r="A4629" s="7"/>
      <c r="B4629" s="7" t="s">
        <v>23</v>
      </c>
      <c r="C4629" s="7" t="s">
        <v>1027</v>
      </c>
      <c r="D4629" t="str">
        <f t="shared" si="81"/>
        <v>NA</v>
      </c>
    </row>
    <row r="4630" spans="1:4" ht="15.6" thickTop="1" thickBot="1">
      <c r="A4630" s="7"/>
      <c r="B4630" s="7" t="s">
        <v>17</v>
      </c>
      <c r="C4630" s="7" t="s">
        <v>1027</v>
      </c>
      <c r="D4630" t="str">
        <f t="shared" si="81"/>
        <v>NA</v>
      </c>
    </row>
    <row r="4631" spans="1:4" ht="49.2" thickTop="1" thickBot="1">
      <c r="A4631" s="7"/>
      <c r="B4631" s="7" t="s">
        <v>9</v>
      </c>
      <c r="C4631" s="7">
        <v>2017</v>
      </c>
      <c r="D4631" t="str">
        <f t="shared" si="81"/>
        <v>NA</v>
      </c>
    </row>
    <row r="4632" spans="1:4" ht="39.6" thickTop="1" thickBot="1">
      <c r="A4632" s="7"/>
      <c r="B4632" s="7" t="s">
        <v>10</v>
      </c>
      <c r="C4632" s="7">
        <v>2018</v>
      </c>
      <c r="D4632" t="str">
        <f t="shared" si="81"/>
        <v>NA</v>
      </c>
    </row>
    <row r="4633" spans="1:4" ht="15.6" thickTop="1" thickBot="1">
      <c r="A4633" s="9" t="s">
        <v>1702</v>
      </c>
      <c r="B4633" s="10"/>
      <c r="C4633" s="11"/>
      <c r="D4633" t="str">
        <f t="shared" si="81"/>
        <v>GUM</v>
      </c>
    </row>
    <row r="4634" spans="1:4" ht="49.2" thickTop="1" thickBot="1">
      <c r="A4634" s="7"/>
      <c r="B4634" s="7" t="s">
        <v>9</v>
      </c>
      <c r="C4634" s="7">
        <v>2017</v>
      </c>
      <c r="D4634" t="str">
        <f t="shared" si="81"/>
        <v>GUM</v>
      </c>
    </row>
    <row r="4635" spans="1:4" ht="39.6" thickTop="1" thickBot="1">
      <c r="A4635" s="7"/>
      <c r="B4635" s="7" t="s">
        <v>10</v>
      </c>
      <c r="C4635" s="7">
        <v>2018</v>
      </c>
      <c r="D4635" t="str">
        <f t="shared" si="81"/>
        <v>GUM</v>
      </c>
    </row>
    <row r="4636" spans="1:4" ht="30" thickTop="1" thickBot="1">
      <c r="A4636" s="7"/>
      <c r="B4636" s="7" t="s">
        <v>3</v>
      </c>
      <c r="C4636" s="7" t="s">
        <v>59</v>
      </c>
      <c r="D4636" t="str">
        <f t="shared" si="81"/>
        <v>GUM</v>
      </c>
    </row>
    <row r="4637" spans="1:4" ht="30" thickTop="1" thickBot="1">
      <c r="A4637" s="7"/>
      <c r="B4637" s="7" t="s">
        <v>7</v>
      </c>
      <c r="C4637" s="7" t="s">
        <v>60</v>
      </c>
      <c r="D4637" t="str">
        <f t="shared" si="81"/>
        <v>GUM</v>
      </c>
    </row>
    <row r="4638" spans="1:4" ht="15.6" thickTop="1" thickBot="1">
      <c r="A4638" s="7"/>
      <c r="B4638" s="7" t="s">
        <v>17</v>
      </c>
      <c r="C4638" s="7" t="s">
        <v>1703</v>
      </c>
      <c r="D4638" t="str">
        <f t="shared" si="81"/>
        <v>GUM</v>
      </c>
    </row>
    <row r="4639" spans="1:4" ht="15.6" thickTop="1" thickBot="1">
      <c r="A4639" s="7"/>
      <c r="B4639" s="7" t="s">
        <v>23</v>
      </c>
      <c r="C4639" s="7" t="s">
        <v>1703</v>
      </c>
      <c r="D4639" t="str">
        <f t="shared" si="81"/>
        <v>GUM</v>
      </c>
    </row>
    <row r="4640" spans="1:4" ht="20.399999999999999" thickTop="1" thickBot="1">
      <c r="A4640" s="9" t="s">
        <v>1704</v>
      </c>
      <c r="B4640" s="10"/>
      <c r="C4640" s="11"/>
      <c r="D4640" t="str">
        <f t="shared" si="81"/>
        <v>MYT</v>
      </c>
    </row>
    <row r="4641" spans="1:4" ht="15.6" thickTop="1" thickBot="1">
      <c r="A4641" s="7"/>
      <c r="B4641" s="7" t="s">
        <v>17</v>
      </c>
      <c r="C4641" s="7" t="s">
        <v>1705</v>
      </c>
      <c r="D4641" t="str">
        <f t="shared" si="81"/>
        <v>MYT</v>
      </c>
    </row>
    <row r="4642" spans="1:4" ht="15.6" thickTop="1" thickBot="1">
      <c r="A4642" s="7"/>
      <c r="B4642" s="7" t="s">
        <v>23</v>
      </c>
      <c r="C4642" s="7" t="s">
        <v>1705</v>
      </c>
      <c r="D4642" t="str">
        <f t="shared" si="81"/>
        <v>MYT</v>
      </c>
    </row>
    <row r="4643" spans="1:4" ht="49.2" thickTop="1" thickBot="1">
      <c r="A4643" s="7"/>
      <c r="B4643" s="7" t="s">
        <v>9</v>
      </c>
      <c r="C4643" s="7">
        <v>2017</v>
      </c>
      <c r="D4643" t="str">
        <f t="shared" si="81"/>
        <v>MYT</v>
      </c>
    </row>
    <row r="4644" spans="1:4" ht="39.6" thickTop="1" thickBot="1">
      <c r="A4644" s="7"/>
      <c r="B4644" s="7" t="s">
        <v>10</v>
      </c>
      <c r="C4644" s="7">
        <v>2018</v>
      </c>
      <c r="D4644" t="str">
        <f t="shared" si="81"/>
        <v>MYT</v>
      </c>
    </row>
    <row r="4645" spans="1:4" ht="20.399999999999999" thickTop="1" thickBot="1">
      <c r="A4645" s="9" t="s">
        <v>1706</v>
      </c>
      <c r="B4645" s="10"/>
      <c r="C4645" s="11"/>
      <c r="D4645" t="str">
        <f t="shared" si="81"/>
        <v>PYF</v>
      </c>
    </row>
    <row r="4646" spans="1:4" ht="49.2" thickTop="1" thickBot="1">
      <c r="A4646" s="7"/>
      <c r="B4646" s="7" t="s">
        <v>9</v>
      </c>
      <c r="C4646" s="7">
        <v>2017</v>
      </c>
      <c r="D4646" t="str">
        <f t="shared" si="81"/>
        <v>PYF</v>
      </c>
    </row>
    <row r="4647" spans="1:4" ht="39.6" thickTop="1" thickBot="1">
      <c r="A4647" s="7"/>
      <c r="B4647" s="7" t="s">
        <v>10</v>
      </c>
      <c r="C4647" s="7">
        <v>2018</v>
      </c>
      <c r="D4647" t="str">
        <f t="shared" si="81"/>
        <v>PYF</v>
      </c>
    </row>
    <row r="4648" spans="1:4" ht="30" thickTop="1" thickBot="1">
      <c r="A4648" s="7"/>
      <c r="B4648" s="7" t="s">
        <v>3</v>
      </c>
      <c r="C4648" s="7" t="s">
        <v>59</v>
      </c>
      <c r="D4648" t="str">
        <f t="shared" si="81"/>
        <v>PYF</v>
      </c>
    </row>
    <row r="4649" spans="1:4" ht="30" thickTop="1" thickBot="1">
      <c r="A4649" s="7"/>
      <c r="B4649" s="7" t="s">
        <v>7</v>
      </c>
      <c r="C4649" s="7" t="s">
        <v>60</v>
      </c>
      <c r="D4649" t="str">
        <f t="shared" si="81"/>
        <v>PYF</v>
      </c>
    </row>
    <row r="4650" spans="1:4" ht="15.6" thickTop="1" thickBot="1">
      <c r="A4650" s="7"/>
      <c r="B4650" s="7" t="s">
        <v>23</v>
      </c>
      <c r="C4650" s="7" t="s">
        <v>1707</v>
      </c>
      <c r="D4650" t="str">
        <f t="shared" si="81"/>
        <v>PYF</v>
      </c>
    </row>
    <row r="4651" spans="1:4" ht="15.6" thickTop="1" thickBot="1">
      <c r="A4651" s="7"/>
      <c r="B4651" s="7" t="s">
        <v>17</v>
      </c>
      <c r="C4651" s="7" t="s">
        <v>1707</v>
      </c>
      <c r="D4651" t="str">
        <f t="shared" si="81"/>
        <v>PYF</v>
      </c>
    </row>
    <row r="4652" spans="1:4" ht="20.399999999999999" thickTop="1" thickBot="1">
      <c r="A4652" s="9" t="s">
        <v>1708</v>
      </c>
      <c r="B4652" s="10"/>
      <c r="C4652" s="11"/>
      <c r="D4652" t="str">
        <f t="shared" si="81"/>
        <v>FRO</v>
      </c>
    </row>
    <row r="4653" spans="1:4" ht="49.2" thickTop="1" thickBot="1">
      <c r="A4653" s="7"/>
      <c r="B4653" s="7" t="s">
        <v>9</v>
      </c>
      <c r="C4653" s="7">
        <v>2017</v>
      </c>
      <c r="D4653" t="str">
        <f t="shared" si="81"/>
        <v>FRO</v>
      </c>
    </row>
    <row r="4654" spans="1:4" ht="39.6" thickTop="1" thickBot="1">
      <c r="A4654" s="7"/>
      <c r="B4654" s="7" t="s">
        <v>10</v>
      </c>
      <c r="C4654" s="7">
        <v>2018</v>
      </c>
      <c r="D4654" t="str">
        <f t="shared" si="81"/>
        <v>FRO</v>
      </c>
    </row>
    <row r="4655" spans="1:4" ht="30" thickTop="1" thickBot="1">
      <c r="A4655" s="7"/>
      <c r="B4655" s="7" t="s">
        <v>3</v>
      </c>
      <c r="C4655" s="7" t="s">
        <v>59</v>
      </c>
      <c r="D4655" t="str">
        <f t="shared" si="81"/>
        <v>FRO</v>
      </c>
    </row>
    <row r="4656" spans="1:4" ht="30" thickTop="1" thickBot="1">
      <c r="A4656" s="7"/>
      <c r="B4656" s="7" t="s">
        <v>7</v>
      </c>
      <c r="C4656" s="7" t="s">
        <v>60</v>
      </c>
      <c r="D4656" t="str">
        <f t="shared" si="81"/>
        <v>FRO</v>
      </c>
    </row>
    <row r="4657" spans="1:4" ht="15.6" thickTop="1" thickBot="1">
      <c r="A4657" s="7"/>
      <c r="B4657" s="7" t="s">
        <v>17</v>
      </c>
      <c r="C4657" s="7" t="s">
        <v>1709</v>
      </c>
      <c r="D4657" t="str">
        <f t="shared" si="81"/>
        <v>FRO</v>
      </c>
    </row>
    <row r="4658" spans="1:4" ht="15.6" thickTop="1" thickBot="1">
      <c r="A4658" s="7"/>
      <c r="B4658" s="7" t="s">
        <v>23</v>
      </c>
      <c r="C4658" s="7" t="s">
        <v>1709</v>
      </c>
      <c r="D4658" t="str">
        <f t="shared" si="81"/>
        <v>FRO</v>
      </c>
    </row>
    <row r="4659" spans="1:4" ht="20.399999999999999" thickTop="1" thickBot="1">
      <c r="A4659" s="9" t="s">
        <v>1710</v>
      </c>
      <c r="B4659" s="10"/>
      <c r="C4659" s="11"/>
      <c r="D4659" t="str">
        <f t="shared" si="81"/>
        <v>GRL</v>
      </c>
    </row>
    <row r="4660" spans="1:4" ht="49.2" thickTop="1" thickBot="1">
      <c r="A4660" s="7"/>
      <c r="B4660" s="7" t="s">
        <v>9</v>
      </c>
      <c r="C4660" s="7">
        <v>2017</v>
      </c>
      <c r="D4660" t="str">
        <f t="shared" si="81"/>
        <v>GRL</v>
      </c>
    </row>
    <row r="4661" spans="1:4" ht="39.6" thickTop="1" thickBot="1">
      <c r="A4661" s="7"/>
      <c r="B4661" s="7" t="s">
        <v>10</v>
      </c>
      <c r="C4661" s="7">
        <v>2018</v>
      </c>
      <c r="D4661" t="str">
        <f t="shared" si="81"/>
        <v>GRL</v>
      </c>
    </row>
    <row r="4662" spans="1:4" ht="30" thickTop="1" thickBot="1">
      <c r="A4662" s="7"/>
      <c r="B4662" s="7" t="s">
        <v>3</v>
      </c>
      <c r="C4662" s="7" t="s">
        <v>59</v>
      </c>
      <c r="D4662" t="str">
        <f t="shared" si="81"/>
        <v>GRL</v>
      </c>
    </row>
    <row r="4663" spans="1:4" ht="30" thickTop="1" thickBot="1">
      <c r="A4663" s="7"/>
      <c r="B4663" s="7" t="s">
        <v>7</v>
      </c>
      <c r="C4663" s="7" t="s">
        <v>60</v>
      </c>
      <c r="D4663" t="str">
        <f t="shared" si="81"/>
        <v>GRL</v>
      </c>
    </row>
    <row r="4664" spans="1:4" ht="15.6" thickTop="1" thickBot="1">
      <c r="A4664" s="7"/>
      <c r="B4664" s="7" t="s">
        <v>17</v>
      </c>
      <c r="C4664" s="7" t="s">
        <v>1711</v>
      </c>
      <c r="D4664" t="str">
        <f t="shared" si="81"/>
        <v>GRL</v>
      </c>
    </row>
    <row r="4665" spans="1:4" ht="15.6" thickTop="1" thickBot="1">
      <c r="A4665" s="7"/>
      <c r="B4665" s="7" t="s">
        <v>23</v>
      </c>
      <c r="C4665" s="7" t="s">
        <v>1711</v>
      </c>
      <c r="D4665" t="str">
        <f t="shared" si="81"/>
        <v>GRL</v>
      </c>
    </row>
    <row r="4666" spans="1:4" ht="20.399999999999999" thickTop="1" thickBot="1">
      <c r="A4666" s="9" t="s">
        <v>1712</v>
      </c>
      <c r="B4666" s="10"/>
      <c r="C4666" s="11"/>
      <c r="D4666" t="str">
        <f t="shared" si="81"/>
        <v>SHN</v>
      </c>
    </row>
    <row r="4667" spans="1:4" ht="15.6" thickTop="1" thickBot="1">
      <c r="A4667" s="7"/>
      <c r="B4667" s="7" t="s">
        <v>23</v>
      </c>
      <c r="C4667" s="7" t="s">
        <v>1713</v>
      </c>
      <c r="D4667" t="str">
        <f t="shared" si="81"/>
        <v>SHN</v>
      </c>
    </row>
    <row r="4668" spans="1:4" ht="15.6" thickTop="1" thickBot="1">
      <c r="A4668" s="7"/>
      <c r="B4668" s="7" t="s">
        <v>17</v>
      </c>
      <c r="C4668" s="7" t="s">
        <v>1713</v>
      </c>
      <c r="D4668" t="str">
        <f t="shared" si="81"/>
        <v>SHN</v>
      </c>
    </row>
    <row r="4669" spans="1:4" ht="49.2" thickTop="1" thickBot="1">
      <c r="A4669" s="7"/>
      <c r="B4669" s="7" t="s">
        <v>9</v>
      </c>
      <c r="C4669" s="7">
        <v>2017</v>
      </c>
      <c r="D4669" t="str">
        <f t="shared" si="81"/>
        <v>SHN</v>
      </c>
    </row>
    <row r="4670" spans="1:4" ht="39.6" thickTop="1" thickBot="1">
      <c r="A4670" s="7"/>
      <c r="B4670" s="7" t="s">
        <v>10</v>
      </c>
      <c r="C4670" s="7">
        <v>2018</v>
      </c>
      <c r="D4670" t="str">
        <f t="shared" si="81"/>
        <v>SHN</v>
      </c>
    </row>
    <row r="4671" spans="1:4" ht="20.399999999999999" thickTop="1" thickBot="1">
      <c r="A4671" s="9" t="s">
        <v>1714</v>
      </c>
      <c r="B4671" s="10"/>
      <c r="C4671" s="11"/>
      <c r="D4671" t="str">
        <f t="shared" si="81"/>
        <v>NCL</v>
      </c>
    </row>
    <row r="4672" spans="1:4" ht="49.2" thickTop="1" thickBot="1">
      <c r="A4672" s="7"/>
      <c r="B4672" s="7" t="s">
        <v>9</v>
      </c>
      <c r="C4672" s="7">
        <v>2017</v>
      </c>
      <c r="D4672" t="str">
        <f t="shared" si="81"/>
        <v>NCL</v>
      </c>
    </row>
    <row r="4673" spans="1:4" ht="39.6" thickTop="1" thickBot="1">
      <c r="A4673" s="7"/>
      <c r="B4673" s="7" t="s">
        <v>10</v>
      </c>
      <c r="C4673" s="7">
        <v>2018</v>
      </c>
      <c r="D4673" t="str">
        <f t="shared" si="81"/>
        <v>NCL</v>
      </c>
    </row>
    <row r="4674" spans="1:4" ht="30" thickTop="1" thickBot="1">
      <c r="A4674" s="7"/>
      <c r="B4674" s="7" t="s">
        <v>3</v>
      </c>
      <c r="C4674" s="7" t="s">
        <v>59</v>
      </c>
      <c r="D4674" t="str">
        <f t="shared" ref="D4674:D4737" si="82">IF(ISNUMBER(FIND(":", A4674)), LEFT(A4674, FIND(":", A4674) - 1), D4673)</f>
        <v>NCL</v>
      </c>
    </row>
    <row r="4675" spans="1:4" ht="30" thickTop="1" thickBot="1">
      <c r="A4675" s="7"/>
      <c r="B4675" s="7" t="s">
        <v>7</v>
      </c>
      <c r="C4675" s="7" t="s">
        <v>60</v>
      </c>
      <c r="D4675" t="str">
        <f t="shared" si="82"/>
        <v>NCL</v>
      </c>
    </row>
    <row r="4676" spans="1:4" ht="15.6" thickTop="1" thickBot="1">
      <c r="A4676" s="7"/>
      <c r="B4676" s="7" t="s">
        <v>17</v>
      </c>
      <c r="C4676" s="7" t="s">
        <v>1715</v>
      </c>
      <c r="D4676" t="str">
        <f t="shared" si="82"/>
        <v>NCL</v>
      </c>
    </row>
    <row r="4677" spans="1:4" ht="15.6" thickTop="1" thickBot="1">
      <c r="A4677" s="7"/>
      <c r="B4677" s="7" t="s">
        <v>23</v>
      </c>
      <c r="C4677" s="7" t="s">
        <v>1715</v>
      </c>
      <c r="D4677" t="str">
        <f t="shared" si="82"/>
        <v>NCL</v>
      </c>
    </row>
    <row r="4678" spans="1:4" ht="30" thickTop="1" thickBot="1">
      <c r="A4678" s="9" t="s">
        <v>1716</v>
      </c>
      <c r="B4678" s="10"/>
      <c r="C4678" s="11"/>
      <c r="D4678" t="str">
        <f t="shared" si="82"/>
        <v>ASM</v>
      </c>
    </row>
    <row r="4679" spans="1:4" ht="49.2" thickTop="1" thickBot="1">
      <c r="A4679" s="7"/>
      <c r="B4679" s="7" t="s">
        <v>9</v>
      </c>
      <c r="C4679" s="7">
        <v>2017</v>
      </c>
      <c r="D4679" t="str">
        <f t="shared" si="82"/>
        <v>ASM</v>
      </c>
    </row>
    <row r="4680" spans="1:4" ht="39.6" thickTop="1" thickBot="1">
      <c r="A4680" s="7"/>
      <c r="B4680" s="7" t="s">
        <v>10</v>
      </c>
      <c r="C4680" s="7">
        <v>2018</v>
      </c>
      <c r="D4680" t="str">
        <f t="shared" si="82"/>
        <v>ASM</v>
      </c>
    </row>
    <row r="4681" spans="1:4" ht="30" thickTop="1" thickBot="1">
      <c r="A4681" s="7"/>
      <c r="B4681" s="7" t="s">
        <v>3</v>
      </c>
      <c r="C4681" s="7" t="s">
        <v>36</v>
      </c>
      <c r="D4681" t="str">
        <f t="shared" si="82"/>
        <v>ASM</v>
      </c>
    </row>
    <row r="4682" spans="1:4" ht="30" thickTop="1" thickBot="1">
      <c r="A4682" s="7"/>
      <c r="B4682" s="7" t="s">
        <v>7</v>
      </c>
      <c r="C4682" s="7" t="s">
        <v>38</v>
      </c>
      <c r="D4682" t="str">
        <f t="shared" si="82"/>
        <v>ASM</v>
      </c>
    </row>
    <row r="4683" spans="1:4" ht="15.6" thickTop="1" thickBot="1">
      <c r="A4683" s="7"/>
      <c r="B4683" s="7" t="s">
        <v>17</v>
      </c>
      <c r="C4683" s="7" t="s">
        <v>1717</v>
      </c>
      <c r="D4683" t="str">
        <f t="shared" si="82"/>
        <v>ASM</v>
      </c>
    </row>
    <row r="4684" spans="1:4" ht="15.6" thickTop="1" thickBot="1">
      <c r="A4684" s="7"/>
      <c r="B4684" s="7" t="s">
        <v>23</v>
      </c>
      <c r="C4684" s="7" t="s">
        <v>1717</v>
      </c>
      <c r="D4684" t="str">
        <f t="shared" si="82"/>
        <v>ASM</v>
      </c>
    </row>
    <row r="4685" spans="1:4" ht="15.6" thickTop="1" thickBot="1">
      <c r="A4685" s="9" t="s">
        <v>1718</v>
      </c>
      <c r="B4685" s="10"/>
      <c r="C4685" s="11"/>
      <c r="D4685" t="str">
        <f t="shared" si="82"/>
        <v>TKL</v>
      </c>
    </row>
    <row r="4686" spans="1:4" ht="20.399999999999999" thickTop="1" thickBot="1">
      <c r="A4686" s="7"/>
      <c r="B4686" s="7" t="s">
        <v>32</v>
      </c>
      <c r="C4686" s="7" t="s">
        <v>117</v>
      </c>
      <c r="D4686" t="str">
        <f t="shared" si="82"/>
        <v>TKL</v>
      </c>
    </row>
    <row r="4687" spans="1:4" ht="15.6" thickTop="1" thickBot="1">
      <c r="A4687" s="7"/>
      <c r="B4687" s="7" t="s">
        <v>23</v>
      </c>
      <c r="C4687" s="7" t="s">
        <v>1719</v>
      </c>
      <c r="D4687" t="str">
        <f t="shared" si="82"/>
        <v>TKL</v>
      </c>
    </row>
    <row r="4688" spans="1:4" ht="15.6" thickTop="1" thickBot="1">
      <c r="A4688" s="7"/>
      <c r="B4688" s="7" t="s">
        <v>17</v>
      </c>
      <c r="C4688" s="7" t="s">
        <v>1719</v>
      </c>
      <c r="D4688" t="str">
        <f t="shared" si="82"/>
        <v>TKL</v>
      </c>
    </row>
    <row r="4689" spans="1:4" ht="49.2" thickTop="1" thickBot="1">
      <c r="A4689" s="7"/>
      <c r="B4689" s="7" t="s">
        <v>9</v>
      </c>
      <c r="C4689" s="7">
        <v>2017</v>
      </c>
      <c r="D4689" t="str">
        <f t="shared" si="82"/>
        <v>TKL</v>
      </c>
    </row>
    <row r="4690" spans="1:4" ht="39.6" thickTop="1" thickBot="1">
      <c r="A4690" s="7"/>
      <c r="B4690" s="7" t="s">
        <v>10</v>
      </c>
      <c r="C4690" s="7">
        <v>2018</v>
      </c>
      <c r="D4690" t="str">
        <f t="shared" si="82"/>
        <v>TKL</v>
      </c>
    </row>
    <row r="4691" spans="1:4" ht="39.6" thickTop="1" thickBot="1">
      <c r="A4691" s="9" t="s">
        <v>1720</v>
      </c>
      <c r="B4691" s="10"/>
      <c r="C4691" s="11"/>
      <c r="D4691" t="str">
        <f t="shared" si="82"/>
        <v>MNP</v>
      </c>
    </row>
    <row r="4692" spans="1:4" ht="49.2" thickTop="1" thickBot="1">
      <c r="A4692" s="7"/>
      <c r="B4692" s="7" t="s">
        <v>9</v>
      </c>
      <c r="C4692" s="7">
        <v>2017</v>
      </c>
      <c r="D4692" t="str">
        <f t="shared" si="82"/>
        <v>MNP</v>
      </c>
    </row>
    <row r="4693" spans="1:4" ht="39.6" thickTop="1" thickBot="1">
      <c r="A4693" s="7"/>
      <c r="B4693" s="7" t="s">
        <v>10</v>
      </c>
      <c r="C4693" s="7">
        <v>2018</v>
      </c>
      <c r="D4693" t="str">
        <f t="shared" si="82"/>
        <v>MNP</v>
      </c>
    </row>
    <row r="4694" spans="1:4" ht="30" thickTop="1" thickBot="1">
      <c r="A4694" s="7"/>
      <c r="B4694" s="7" t="s">
        <v>3</v>
      </c>
      <c r="C4694" s="7" t="s">
        <v>59</v>
      </c>
      <c r="D4694" t="str">
        <f t="shared" si="82"/>
        <v>MNP</v>
      </c>
    </row>
    <row r="4695" spans="1:4" ht="30" thickTop="1" thickBot="1">
      <c r="A4695" s="7"/>
      <c r="B4695" s="7" t="s">
        <v>7</v>
      </c>
      <c r="C4695" s="7" t="s">
        <v>60</v>
      </c>
      <c r="D4695" t="str">
        <f t="shared" si="82"/>
        <v>MNP</v>
      </c>
    </row>
    <row r="4696" spans="1:4" ht="15.6" thickTop="1" thickBot="1">
      <c r="A4696" s="7"/>
      <c r="B4696" s="7" t="s">
        <v>17</v>
      </c>
      <c r="C4696" s="7" t="s">
        <v>1721</v>
      </c>
      <c r="D4696" t="str">
        <f t="shared" si="82"/>
        <v>MNP</v>
      </c>
    </row>
    <row r="4697" spans="1:4" ht="15.6" thickTop="1" thickBot="1">
      <c r="A4697" s="7"/>
      <c r="B4697" s="7" t="s">
        <v>23</v>
      </c>
      <c r="C4697" s="7" t="s">
        <v>1721</v>
      </c>
      <c r="D4697" t="str">
        <f t="shared" si="82"/>
        <v>MNP</v>
      </c>
    </row>
    <row r="4698" spans="1:4" ht="20.399999999999999" thickTop="1" thickBot="1">
      <c r="A4698" s="9" t="s">
        <v>1722</v>
      </c>
      <c r="B4698" s="10"/>
      <c r="C4698" s="11"/>
      <c r="D4698" t="str">
        <f t="shared" si="82"/>
        <v>GIB</v>
      </c>
    </row>
    <row r="4699" spans="1:4" ht="49.2" thickTop="1" thickBot="1">
      <c r="A4699" s="7"/>
      <c r="B4699" s="7" t="s">
        <v>9</v>
      </c>
      <c r="C4699" s="7">
        <v>2017</v>
      </c>
      <c r="D4699" t="str">
        <f t="shared" si="82"/>
        <v>GIB</v>
      </c>
    </row>
    <row r="4700" spans="1:4" ht="39.6" thickTop="1" thickBot="1">
      <c r="A4700" s="7"/>
      <c r="B4700" s="7" t="s">
        <v>10</v>
      </c>
      <c r="C4700" s="7">
        <v>2018</v>
      </c>
      <c r="D4700" t="str">
        <f t="shared" si="82"/>
        <v>GIB</v>
      </c>
    </row>
    <row r="4701" spans="1:4" ht="30" thickTop="1" thickBot="1">
      <c r="A4701" s="7"/>
      <c r="B4701" s="7" t="s">
        <v>3</v>
      </c>
      <c r="C4701" s="7" t="s">
        <v>59</v>
      </c>
      <c r="D4701" t="str">
        <f t="shared" si="82"/>
        <v>GIB</v>
      </c>
    </row>
    <row r="4702" spans="1:4" ht="15.6" thickTop="1" thickBot="1">
      <c r="A4702" s="7"/>
      <c r="B4702" s="7" t="s">
        <v>23</v>
      </c>
      <c r="C4702" s="7" t="s">
        <v>1723</v>
      </c>
      <c r="D4702" t="str">
        <f t="shared" si="82"/>
        <v>GIB</v>
      </c>
    </row>
    <row r="4703" spans="1:4" ht="15.6" thickTop="1" thickBot="1">
      <c r="A4703" s="7"/>
      <c r="B4703" s="7" t="s">
        <v>17</v>
      </c>
      <c r="C4703" s="7" t="s">
        <v>1723</v>
      </c>
      <c r="D4703" t="str">
        <f t="shared" si="82"/>
        <v>GIB</v>
      </c>
    </row>
    <row r="4704" spans="1:4" ht="30" thickTop="1" thickBot="1">
      <c r="A4704" s="7"/>
      <c r="B4704" s="7" t="s">
        <v>7</v>
      </c>
      <c r="C4704" s="7" t="s">
        <v>60</v>
      </c>
      <c r="D4704" t="str">
        <f t="shared" si="82"/>
        <v>GIB</v>
      </c>
    </row>
    <row r="4705" spans="1:4" ht="30" thickTop="1" thickBot="1">
      <c r="A4705" s="9" t="s">
        <v>1724</v>
      </c>
      <c r="B4705" s="10"/>
      <c r="C4705" s="11"/>
      <c r="D4705" t="str">
        <f t="shared" si="82"/>
        <v>LIE</v>
      </c>
    </row>
    <row r="4706" spans="1:4" ht="49.2" thickTop="1" thickBot="1">
      <c r="A4706" s="7"/>
      <c r="B4706" s="7" t="s">
        <v>9</v>
      </c>
      <c r="C4706" s="7">
        <v>2017</v>
      </c>
      <c r="D4706" t="str">
        <f t="shared" si="82"/>
        <v>LIE</v>
      </c>
    </row>
    <row r="4707" spans="1:4" ht="39.6" thickTop="1" thickBot="1">
      <c r="A4707" s="7"/>
      <c r="B4707" s="7" t="s">
        <v>10</v>
      </c>
      <c r="C4707" s="7">
        <v>2018</v>
      </c>
      <c r="D4707" t="str">
        <f t="shared" si="82"/>
        <v>LIE</v>
      </c>
    </row>
    <row r="4708" spans="1:4" ht="30" thickTop="1" thickBot="1">
      <c r="A4708" s="7"/>
      <c r="B4708" s="7" t="s">
        <v>3</v>
      </c>
      <c r="C4708" s="7" t="s">
        <v>59</v>
      </c>
      <c r="D4708" t="str">
        <f t="shared" si="82"/>
        <v>LIE</v>
      </c>
    </row>
    <row r="4709" spans="1:4" ht="30" thickTop="1" thickBot="1">
      <c r="A4709" s="7"/>
      <c r="B4709" s="7" t="s">
        <v>7</v>
      </c>
      <c r="C4709" s="7" t="s">
        <v>60</v>
      </c>
      <c r="D4709" t="str">
        <f t="shared" si="82"/>
        <v>LIE</v>
      </c>
    </row>
    <row r="4710" spans="1:4" ht="15.6" thickTop="1" thickBot="1">
      <c r="A4710" s="7"/>
      <c r="B4710" s="7" t="s">
        <v>23</v>
      </c>
      <c r="C4710" s="7" t="s">
        <v>1725</v>
      </c>
      <c r="D4710" t="str">
        <f t="shared" si="82"/>
        <v>LIE</v>
      </c>
    </row>
    <row r="4711" spans="1:4" ht="15.6" thickTop="1" thickBot="1">
      <c r="A4711" s="7"/>
      <c r="B4711" s="7" t="s">
        <v>17</v>
      </c>
      <c r="C4711" s="7" t="s">
        <v>1725</v>
      </c>
      <c r="D4711" t="str">
        <f t="shared" si="82"/>
        <v>LIE</v>
      </c>
    </row>
    <row r="4712" spans="1:4" ht="30" thickTop="1" thickBot="1">
      <c r="A4712" s="9" t="s">
        <v>1726</v>
      </c>
      <c r="B4712" s="10"/>
      <c r="C4712" s="11"/>
      <c r="D4712" t="str">
        <f t="shared" si="82"/>
        <v>PCN</v>
      </c>
    </row>
    <row r="4713" spans="1:4" ht="15.6" thickTop="1" thickBot="1">
      <c r="A4713" s="7"/>
      <c r="B4713" s="7" t="s">
        <v>23</v>
      </c>
      <c r="C4713" s="7" t="s">
        <v>1727</v>
      </c>
      <c r="D4713" t="str">
        <f t="shared" si="82"/>
        <v>PCN</v>
      </c>
    </row>
    <row r="4714" spans="1:4" ht="15.6" thickTop="1" thickBot="1">
      <c r="A4714" s="7"/>
      <c r="B4714" s="7" t="s">
        <v>17</v>
      </c>
      <c r="C4714" s="7" t="s">
        <v>1727</v>
      </c>
      <c r="D4714" t="str">
        <f t="shared" si="82"/>
        <v>PCN</v>
      </c>
    </row>
    <row r="4715" spans="1:4" ht="49.2" thickTop="1" thickBot="1">
      <c r="A4715" s="7"/>
      <c r="B4715" s="7" t="s">
        <v>9</v>
      </c>
      <c r="C4715" s="7">
        <v>2017</v>
      </c>
      <c r="D4715" t="str">
        <f t="shared" si="82"/>
        <v>PCN</v>
      </c>
    </row>
    <row r="4716" spans="1:4" ht="39.6" thickTop="1" thickBot="1">
      <c r="A4716" s="7"/>
      <c r="B4716" s="7" t="s">
        <v>10</v>
      </c>
      <c r="C4716" s="7">
        <v>2018</v>
      </c>
      <c r="D4716" t="str">
        <f t="shared" si="82"/>
        <v>PCN</v>
      </c>
    </row>
    <row r="4717" spans="1:4" ht="30" thickTop="1" thickBot="1">
      <c r="A4717" s="9" t="s">
        <v>1728</v>
      </c>
      <c r="B4717" s="10"/>
      <c r="C4717" s="11"/>
      <c r="D4717" t="str">
        <f t="shared" si="82"/>
        <v>WLF</v>
      </c>
    </row>
    <row r="4718" spans="1:4" ht="15.6" thickTop="1" thickBot="1">
      <c r="A4718" s="7"/>
      <c r="B4718" s="7" t="s">
        <v>17</v>
      </c>
      <c r="C4718" s="7" t="s">
        <v>1729</v>
      </c>
      <c r="D4718" t="str">
        <f t="shared" si="82"/>
        <v>WLF</v>
      </c>
    </row>
    <row r="4719" spans="1:4" ht="15.6" thickTop="1" thickBot="1">
      <c r="A4719" s="7"/>
      <c r="B4719" s="7" t="s">
        <v>23</v>
      </c>
      <c r="C4719" s="7" t="s">
        <v>1729</v>
      </c>
      <c r="D4719" t="str">
        <f t="shared" si="82"/>
        <v>WLF</v>
      </c>
    </row>
    <row r="4720" spans="1:4" ht="39.6" thickTop="1" thickBot="1">
      <c r="A4720" s="7"/>
      <c r="B4720" s="7" t="s">
        <v>10</v>
      </c>
      <c r="C4720" s="7">
        <v>2018</v>
      </c>
      <c r="D4720" t="str">
        <f t="shared" si="82"/>
        <v>WLF</v>
      </c>
    </row>
    <row r="4721" spans="1:4" ht="49.2" thickTop="1" thickBot="1">
      <c r="A4721" s="7"/>
      <c r="B4721" s="7" t="s">
        <v>9</v>
      </c>
      <c r="C4721" s="7">
        <v>2017</v>
      </c>
      <c r="D4721" t="str">
        <f t="shared" si="82"/>
        <v>WLF</v>
      </c>
    </row>
    <row r="4722" spans="1:4" ht="20.399999999999999" thickTop="1" thickBot="1">
      <c r="A4722" s="9" t="s">
        <v>1730</v>
      </c>
      <c r="B4722" s="10"/>
      <c r="C4722" s="11"/>
      <c r="D4722" t="str">
        <f t="shared" si="82"/>
        <v>NFK</v>
      </c>
    </row>
    <row r="4723" spans="1:4" ht="15.6" thickTop="1" thickBot="1">
      <c r="A4723" s="7"/>
      <c r="B4723" s="7" t="s">
        <v>23</v>
      </c>
      <c r="C4723" s="7" t="s">
        <v>1731</v>
      </c>
      <c r="D4723" t="str">
        <f t="shared" si="82"/>
        <v>NFK</v>
      </c>
    </row>
    <row r="4724" spans="1:4" ht="15.6" thickTop="1" thickBot="1">
      <c r="A4724" s="7"/>
      <c r="B4724" s="7" t="s">
        <v>17</v>
      </c>
      <c r="C4724" s="7" t="s">
        <v>1731</v>
      </c>
      <c r="D4724" t="str">
        <f t="shared" si="82"/>
        <v>NFK</v>
      </c>
    </row>
    <row r="4725" spans="1:4" ht="49.2" thickTop="1" thickBot="1">
      <c r="A4725" s="7"/>
      <c r="B4725" s="7" t="s">
        <v>9</v>
      </c>
      <c r="C4725" s="7">
        <v>2017</v>
      </c>
      <c r="D4725" t="str">
        <f t="shared" si="82"/>
        <v>NFK</v>
      </c>
    </row>
    <row r="4726" spans="1:4" ht="39.6" thickTop="1" thickBot="1">
      <c r="A4726" s="7"/>
      <c r="B4726" s="7" t="s">
        <v>10</v>
      </c>
      <c r="C4726" s="7">
        <v>2018</v>
      </c>
      <c r="D4726" t="str">
        <f t="shared" si="82"/>
        <v>NFK</v>
      </c>
    </row>
    <row r="4727" spans="1:4" ht="49.2" thickTop="1" thickBot="1">
      <c r="A4727" s="9" t="s">
        <v>1732</v>
      </c>
      <c r="B4727" s="10"/>
      <c r="C4727" s="11"/>
      <c r="D4727" t="str">
        <f t="shared" si="82"/>
        <v>BES</v>
      </c>
    </row>
    <row r="4728" spans="1:4" ht="15.6" thickTop="1" thickBot="1">
      <c r="A4728" s="7"/>
      <c r="B4728" s="7" t="s">
        <v>17</v>
      </c>
      <c r="C4728" s="7" t="s">
        <v>1733</v>
      </c>
      <c r="D4728" t="str">
        <f t="shared" si="82"/>
        <v>BES</v>
      </c>
    </row>
    <row r="4729" spans="1:4" ht="15.6" thickTop="1" thickBot="1">
      <c r="A4729" s="7"/>
      <c r="B4729" s="7" t="s">
        <v>23</v>
      </c>
      <c r="C4729" s="7" t="s">
        <v>1733</v>
      </c>
      <c r="D4729" t="str">
        <f t="shared" si="82"/>
        <v>BES</v>
      </c>
    </row>
    <row r="4730" spans="1:4" ht="49.2" thickTop="1" thickBot="1">
      <c r="A4730" s="7"/>
      <c r="B4730" s="7" t="s">
        <v>9</v>
      </c>
      <c r="C4730" s="7">
        <v>2017</v>
      </c>
      <c r="D4730" t="str">
        <f t="shared" si="82"/>
        <v>BES</v>
      </c>
    </row>
    <row r="4731" spans="1:4" ht="39.6" thickTop="1" thickBot="1">
      <c r="A4731" s="7"/>
      <c r="B4731" s="7" t="s">
        <v>10</v>
      </c>
      <c r="C4731" s="7">
        <v>2018</v>
      </c>
      <c r="D4731" t="str">
        <f t="shared" si="82"/>
        <v>BES</v>
      </c>
    </row>
    <row r="4732" spans="1:4" ht="20.399999999999999" thickTop="1" thickBot="1">
      <c r="A4732" s="9" t="s">
        <v>1734</v>
      </c>
      <c r="B4732" s="10"/>
      <c r="C4732" s="11"/>
      <c r="D4732" t="str">
        <f t="shared" si="82"/>
        <v>CUW</v>
      </c>
    </row>
    <row r="4733" spans="1:4" ht="49.2" thickTop="1" thickBot="1">
      <c r="A4733" s="7"/>
      <c r="B4733" s="7" t="s">
        <v>9</v>
      </c>
      <c r="C4733" s="7">
        <v>2017</v>
      </c>
      <c r="D4733" t="str">
        <f t="shared" si="82"/>
        <v>CUW</v>
      </c>
    </row>
    <row r="4734" spans="1:4" ht="39.6" thickTop="1" thickBot="1">
      <c r="A4734" s="7"/>
      <c r="B4734" s="7" t="s">
        <v>10</v>
      </c>
      <c r="C4734" s="7">
        <v>2018</v>
      </c>
      <c r="D4734" t="str">
        <f t="shared" si="82"/>
        <v>CUW</v>
      </c>
    </row>
    <row r="4735" spans="1:4" ht="30" thickTop="1" thickBot="1">
      <c r="A4735" s="7"/>
      <c r="B4735" s="7" t="s">
        <v>3</v>
      </c>
      <c r="C4735" s="7" t="s">
        <v>59</v>
      </c>
      <c r="D4735" t="str">
        <f t="shared" si="82"/>
        <v>CUW</v>
      </c>
    </row>
    <row r="4736" spans="1:4" ht="30" thickTop="1" thickBot="1">
      <c r="A4736" s="7"/>
      <c r="B4736" s="7" t="s">
        <v>7</v>
      </c>
      <c r="C4736" s="7" t="s">
        <v>60</v>
      </c>
      <c r="D4736" t="str">
        <f t="shared" si="82"/>
        <v>CUW</v>
      </c>
    </row>
    <row r="4737" spans="1:4" ht="15.6" thickTop="1" thickBot="1">
      <c r="A4737" s="7"/>
      <c r="B4737" s="7" t="s">
        <v>17</v>
      </c>
      <c r="C4737" s="7" t="s">
        <v>1735</v>
      </c>
      <c r="D4737" t="str">
        <f t="shared" si="82"/>
        <v>CUW</v>
      </c>
    </row>
    <row r="4738" spans="1:4" ht="15.6" thickTop="1" thickBot="1">
      <c r="A4738" s="7"/>
      <c r="B4738" s="7" t="s">
        <v>23</v>
      </c>
      <c r="C4738" s="7" t="s">
        <v>1735</v>
      </c>
      <c r="D4738" t="str">
        <f t="shared" ref="D4738:D4766" si="83">IF(ISNUMBER(FIND(":", A4738)), LEFT(A4738, FIND(":", A4738) - 1), D4737)</f>
        <v>CUW</v>
      </c>
    </row>
    <row r="4739" spans="1:4" ht="30" thickTop="1" thickBot="1">
      <c r="A4739" s="9" t="s">
        <v>1736</v>
      </c>
      <c r="B4739" s="10"/>
      <c r="C4739" s="11"/>
      <c r="D4739" t="str">
        <f t="shared" si="83"/>
        <v>SXM</v>
      </c>
    </row>
    <row r="4740" spans="1:4" ht="49.2" thickTop="1" thickBot="1">
      <c r="A4740" s="7"/>
      <c r="B4740" s="7" t="s">
        <v>9</v>
      </c>
      <c r="C4740" s="7">
        <v>2017</v>
      </c>
      <c r="D4740" t="str">
        <f t="shared" si="83"/>
        <v>SXM</v>
      </c>
    </row>
    <row r="4741" spans="1:4" ht="39.6" thickTop="1" thickBot="1">
      <c r="A4741" s="7"/>
      <c r="B4741" s="7" t="s">
        <v>10</v>
      </c>
      <c r="C4741" s="7">
        <v>2018</v>
      </c>
      <c r="D4741" t="str">
        <f t="shared" si="83"/>
        <v>SXM</v>
      </c>
    </row>
    <row r="4742" spans="1:4" ht="30" thickTop="1" thickBot="1">
      <c r="A4742" s="7"/>
      <c r="B4742" s="7" t="s">
        <v>3</v>
      </c>
      <c r="C4742" s="7" t="s">
        <v>59</v>
      </c>
      <c r="D4742" t="str">
        <f t="shared" si="83"/>
        <v>SXM</v>
      </c>
    </row>
    <row r="4743" spans="1:4" ht="30" thickTop="1" thickBot="1">
      <c r="A4743" s="7"/>
      <c r="B4743" s="7" t="s">
        <v>7</v>
      </c>
      <c r="C4743" s="7" t="s">
        <v>60</v>
      </c>
      <c r="D4743" t="str">
        <f t="shared" si="83"/>
        <v>SXM</v>
      </c>
    </row>
    <row r="4744" spans="1:4" ht="15.6" thickTop="1" thickBot="1">
      <c r="A4744" s="7"/>
      <c r="B4744" s="7" t="s">
        <v>17</v>
      </c>
      <c r="C4744" s="7" t="s">
        <v>1737</v>
      </c>
      <c r="D4744" t="str">
        <f t="shared" si="83"/>
        <v>SXM</v>
      </c>
    </row>
    <row r="4745" spans="1:4" ht="15.6" thickTop="1" thickBot="1">
      <c r="A4745" s="7"/>
      <c r="B4745" s="7" t="s">
        <v>23</v>
      </c>
      <c r="C4745" s="7" t="s">
        <v>1737</v>
      </c>
      <c r="D4745" t="str">
        <f t="shared" si="83"/>
        <v>SXM</v>
      </c>
    </row>
    <row r="4746" spans="1:4" ht="20.399999999999999" thickTop="1" thickBot="1">
      <c r="A4746" s="9" t="s">
        <v>1738</v>
      </c>
      <c r="B4746" s="10"/>
      <c r="C4746" s="11"/>
      <c r="D4746" t="str">
        <f t="shared" si="83"/>
        <v>SSD</v>
      </c>
    </row>
    <row r="4747" spans="1:4" ht="20.399999999999999" thickTop="1" thickBot="1">
      <c r="A4747" s="7"/>
      <c r="B4747" s="7" t="s">
        <v>28</v>
      </c>
      <c r="C4747" s="7" t="s">
        <v>1739</v>
      </c>
      <c r="D4747" t="str">
        <f t="shared" si="83"/>
        <v>SSD</v>
      </c>
    </row>
    <row r="4748" spans="1:4" ht="20.399999999999999" thickTop="1" thickBot="1">
      <c r="A4748" s="7"/>
      <c r="B4748" s="7" t="s">
        <v>30</v>
      </c>
      <c r="C4748" s="7" t="s">
        <v>1740</v>
      </c>
      <c r="D4748" t="str">
        <f t="shared" si="83"/>
        <v>SSD</v>
      </c>
    </row>
    <row r="4749" spans="1:4" ht="20.399999999999999" thickTop="1" thickBot="1">
      <c r="A4749" s="7"/>
      <c r="B4749" s="7" t="s">
        <v>32</v>
      </c>
      <c r="C4749" s="7" t="s">
        <v>33</v>
      </c>
      <c r="D4749" t="str">
        <f t="shared" si="83"/>
        <v>SSD</v>
      </c>
    </row>
    <row r="4750" spans="1:4" ht="49.2" thickTop="1" thickBot="1">
      <c r="A4750" s="7"/>
      <c r="B4750" s="7" t="s">
        <v>9</v>
      </c>
      <c r="C4750" s="7">
        <v>2017</v>
      </c>
      <c r="D4750" t="str">
        <f t="shared" si="83"/>
        <v>SSD</v>
      </c>
    </row>
    <row r="4751" spans="1:4" ht="39.6" thickTop="1" thickBot="1">
      <c r="A4751" s="7"/>
      <c r="B4751" s="7" t="s">
        <v>10</v>
      </c>
      <c r="C4751" s="7">
        <v>2018</v>
      </c>
      <c r="D4751" t="str">
        <f t="shared" si="83"/>
        <v>SSD</v>
      </c>
    </row>
    <row r="4752" spans="1:4" ht="20.399999999999999" thickTop="1" thickBot="1">
      <c r="A4752" s="7"/>
      <c r="B4752" s="7" t="s">
        <v>1</v>
      </c>
      <c r="C4752" s="7" t="s">
        <v>50</v>
      </c>
      <c r="D4752" t="str">
        <f t="shared" si="83"/>
        <v>SSD</v>
      </c>
    </row>
    <row r="4753" spans="1:4" ht="30" thickTop="1" thickBot="1">
      <c r="A4753" s="7"/>
      <c r="B4753" s="7" t="s">
        <v>3</v>
      </c>
      <c r="C4753" s="7" t="s">
        <v>4</v>
      </c>
      <c r="D4753" t="str">
        <f t="shared" si="83"/>
        <v>SSD</v>
      </c>
    </row>
    <row r="4754" spans="1:4" ht="20.399999999999999" thickTop="1" thickBot="1">
      <c r="A4754" s="7"/>
      <c r="B4754" s="7" t="s">
        <v>5</v>
      </c>
      <c r="C4754" s="7" t="s">
        <v>51</v>
      </c>
      <c r="D4754" t="str">
        <f t="shared" si="83"/>
        <v>SSD</v>
      </c>
    </row>
    <row r="4755" spans="1:4" ht="30" thickTop="1" thickBot="1">
      <c r="A4755" s="7"/>
      <c r="B4755" s="7" t="s">
        <v>7</v>
      </c>
      <c r="C4755" s="7" t="s">
        <v>8</v>
      </c>
      <c r="D4755" t="str">
        <f t="shared" si="83"/>
        <v>SSD</v>
      </c>
    </row>
    <row r="4756" spans="1:4" ht="15.6" thickTop="1" thickBot="1">
      <c r="A4756" s="7"/>
      <c r="B4756" s="7" t="s">
        <v>23</v>
      </c>
      <c r="C4756" s="7" t="s">
        <v>1741</v>
      </c>
      <c r="D4756" t="str">
        <f t="shared" si="83"/>
        <v>SSD</v>
      </c>
    </row>
    <row r="4757" spans="1:4" ht="15.6" thickTop="1" thickBot="1">
      <c r="A4757" s="7"/>
      <c r="B4757" s="7" t="s">
        <v>17</v>
      </c>
      <c r="C4757" s="7" t="s">
        <v>1741</v>
      </c>
      <c r="D4757" t="str">
        <f t="shared" si="83"/>
        <v>SSD</v>
      </c>
    </row>
    <row r="4758" spans="1:4" ht="20.399999999999999" thickTop="1" thickBot="1">
      <c r="A4758" s="9" t="s">
        <v>1742</v>
      </c>
      <c r="B4758" s="10"/>
      <c r="C4758" s="11"/>
      <c r="D4758" t="str">
        <f t="shared" si="83"/>
        <v>SDF</v>
      </c>
    </row>
    <row r="4759" spans="1:4" ht="30" thickTop="1" thickBot="1">
      <c r="A4759" s="7"/>
      <c r="B4759" s="7" t="s">
        <v>1</v>
      </c>
      <c r="C4759" s="7" t="s">
        <v>2</v>
      </c>
      <c r="D4759" t="str">
        <f t="shared" si="83"/>
        <v>SDF</v>
      </c>
    </row>
    <row r="4760" spans="1:4" ht="30" thickTop="1" thickBot="1">
      <c r="A4760" s="7"/>
      <c r="B4760" s="7" t="s">
        <v>3</v>
      </c>
      <c r="C4760" s="7" t="s">
        <v>987</v>
      </c>
      <c r="D4760" t="str">
        <f t="shared" si="83"/>
        <v>SDF</v>
      </c>
    </row>
    <row r="4761" spans="1:4" ht="20.399999999999999" thickTop="1" thickBot="1">
      <c r="A4761" s="7"/>
      <c r="B4761" s="7" t="s">
        <v>5</v>
      </c>
      <c r="C4761" s="7" t="s">
        <v>6</v>
      </c>
      <c r="D4761" t="str">
        <f t="shared" si="83"/>
        <v>SDF</v>
      </c>
    </row>
    <row r="4762" spans="1:4" ht="30" thickTop="1" thickBot="1">
      <c r="A4762" s="7"/>
      <c r="B4762" s="7" t="s">
        <v>7</v>
      </c>
      <c r="C4762" s="7" t="s">
        <v>70</v>
      </c>
      <c r="D4762" t="str">
        <f t="shared" si="83"/>
        <v>SDF</v>
      </c>
    </row>
    <row r="4763" spans="1:4" ht="15.6" thickTop="1" thickBot="1">
      <c r="A4763" s="7"/>
      <c r="B4763" s="7" t="s">
        <v>17</v>
      </c>
      <c r="C4763" s="7" t="s">
        <v>1743</v>
      </c>
      <c r="D4763" t="str">
        <f t="shared" si="83"/>
        <v>SDF</v>
      </c>
    </row>
    <row r="4764" spans="1:4" ht="15.6" thickTop="1" thickBot="1">
      <c r="A4764" s="7"/>
      <c r="B4764" s="7" t="s">
        <v>23</v>
      </c>
      <c r="C4764" s="7" t="s">
        <v>1397</v>
      </c>
      <c r="D4764" t="str">
        <f t="shared" si="83"/>
        <v>SDF</v>
      </c>
    </row>
    <row r="4765" spans="1:4" ht="49.2" thickTop="1" thickBot="1">
      <c r="A4765" s="7"/>
      <c r="B4765" s="7" t="s">
        <v>9</v>
      </c>
      <c r="C4765" s="7">
        <v>2017</v>
      </c>
      <c r="D4765" t="str">
        <f t="shared" si="83"/>
        <v>SDF</v>
      </c>
    </row>
    <row r="4766" spans="1:4" ht="39.6" thickTop="1" thickBot="1">
      <c r="A4766" s="7"/>
      <c r="B4766" s="7" t="s">
        <v>10</v>
      </c>
      <c r="C4766" s="7">
        <v>2018</v>
      </c>
      <c r="D4766" t="str">
        <f t="shared" si="83"/>
        <v>SDF</v>
      </c>
    </row>
    <row r="4767" spans="1:4" ht="15" thickTop="1"/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manipulated</vt:lpstr>
      <vt:lpstr>from website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Staton, Liz</dc:creator>
  <cp:lastModifiedBy>Mitchell, Elizabeth</cp:lastModifiedBy>
  <dcterms:created xsi:type="dcterms:W3CDTF">2025-01-16T14:56:03Z</dcterms:created>
  <dcterms:modified xsi:type="dcterms:W3CDTF">2026-06-16T14:48:03Z</dcterms:modified>
</cp:coreProperties>
</file>