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emory-my.sharepoint.com/personal/estaton_emory_edu/Documents/1_Research proj/GEM Model_shared/01_Data/for_costing/"/>
    </mc:Choice>
  </mc:AlternateContent>
  <xr:revisionPtr revIDLastSave="49" documentId="11_F25DC773A252ABDACC1048B5B95F510E5ADE58E0" xr6:coauthVersionLast="47" xr6:coauthVersionMax="47" xr10:uidLastSave="{AE7262A3-73BC-4F60-8065-7CBD7C2C2820}"/>
  <bookViews>
    <workbookView xWindow="3840" yWindow="480" windowWidth="17280" windowHeight="10008" xr2:uid="{00000000-000D-0000-FFFF-FFFF00000000}"/>
  </bookViews>
  <sheets>
    <sheet name="PPP conversion rate_LCUperID" sheetId="1" r:id="rId1"/>
    <sheet name="Raw_from_worldbank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7" i="1" l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J197" i="1"/>
  <c r="I197" i="1"/>
  <c r="H197" i="1"/>
  <c r="G197" i="1"/>
  <c r="F197" i="1"/>
  <c r="E197" i="1"/>
  <c r="D197" i="1"/>
  <c r="J196" i="1"/>
  <c r="I196" i="1"/>
  <c r="H196" i="1"/>
  <c r="G196" i="1"/>
  <c r="F196" i="1"/>
  <c r="E196" i="1"/>
  <c r="D196" i="1"/>
  <c r="J195" i="1"/>
  <c r="I195" i="1"/>
  <c r="H195" i="1"/>
  <c r="G195" i="1"/>
  <c r="F195" i="1"/>
  <c r="E195" i="1"/>
  <c r="D195" i="1"/>
  <c r="J194" i="1"/>
  <c r="I194" i="1"/>
  <c r="H194" i="1"/>
  <c r="G194" i="1"/>
  <c r="F194" i="1"/>
  <c r="E194" i="1"/>
  <c r="D194" i="1"/>
  <c r="J193" i="1"/>
  <c r="I193" i="1"/>
  <c r="H193" i="1"/>
  <c r="G193" i="1"/>
  <c r="F193" i="1"/>
  <c r="E193" i="1"/>
  <c r="D193" i="1"/>
  <c r="J192" i="1"/>
  <c r="I192" i="1"/>
  <c r="H192" i="1"/>
  <c r="G192" i="1"/>
  <c r="F192" i="1"/>
  <c r="E192" i="1"/>
  <c r="D192" i="1"/>
  <c r="J191" i="1"/>
  <c r="I191" i="1"/>
  <c r="H191" i="1"/>
  <c r="G191" i="1"/>
  <c r="F191" i="1"/>
  <c r="E191" i="1"/>
  <c r="D191" i="1"/>
  <c r="J190" i="1"/>
  <c r="I190" i="1"/>
  <c r="H190" i="1"/>
  <c r="G190" i="1"/>
  <c r="F190" i="1"/>
  <c r="E190" i="1"/>
  <c r="D190" i="1"/>
  <c r="J189" i="1"/>
  <c r="I189" i="1"/>
  <c r="H189" i="1"/>
  <c r="G189" i="1"/>
  <c r="F189" i="1"/>
  <c r="E189" i="1"/>
  <c r="D189" i="1"/>
  <c r="J188" i="1"/>
  <c r="I188" i="1"/>
  <c r="H188" i="1"/>
  <c r="G188" i="1"/>
  <c r="F188" i="1"/>
  <c r="E188" i="1"/>
  <c r="D188" i="1"/>
  <c r="J187" i="1"/>
  <c r="I187" i="1"/>
  <c r="H187" i="1"/>
  <c r="G187" i="1"/>
  <c r="F187" i="1"/>
  <c r="E187" i="1"/>
  <c r="D187" i="1"/>
  <c r="J186" i="1"/>
  <c r="I186" i="1"/>
  <c r="H186" i="1"/>
  <c r="G186" i="1"/>
  <c r="F186" i="1"/>
  <c r="E186" i="1"/>
  <c r="D186" i="1"/>
  <c r="J185" i="1"/>
  <c r="I185" i="1"/>
  <c r="H185" i="1"/>
  <c r="G185" i="1"/>
  <c r="F185" i="1"/>
  <c r="E185" i="1"/>
  <c r="D185" i="1"/>
  <c r="J184" i="1"/>
  <c r="I184" i="1"/>
  <c r="H184" i="1"/>
  <c r="G184" i="1"/>
  <c r="F184" i="1"/>
  <c r="E184" i="1"/>
  <c r="D184" i="1"/>
  <c r="J183" i="1"/>
  <c r="I183" i="1"/>
  <c r="H183" i="1"/>
  <c r="G183" i="1"/>
  <c r="F183" i="1"/>
  <c r="E183" i="1"/>
  <c r="D183" i="1"/>
  <c r="J182" i="1"/>
  <c r="I182" i="1"/>
  <c r="H182" i="1"/>
  <c r="G182" i="1"/>
  <c r="F182" i="1"/>
  <c r="E182" i="1"/>
  <c r="D182" i="1"/>
  <c r="J181" i="1"/>
  <c r="I181" i="1"/>
  <c r="H181" i="1"/>
  <c r="G181" i="1"/>
  <c r="F181" i="1"/>
  <c r="E181" i="1"/>
  <c r="D181" i="1"/>
  <c r="J180" i="1"/>
  <c r="I180" i="1"/>
  <c r="H180" i="1"/>
  <c r="G180" i="1"/>
  <c r="F180" i="1"/>
  <c r="E180" i="1"/>
  <c r="D180" i="1"/>
  <c r="J179" i="1"/>
  <c r="I179" i="1"/>
  <c r="H179" i="1"/>
  <c r="G179" i="1"/>
  <c r="F179" i="1"/>
  <c r="E179" i="1"/>
  <c r="D179" i="1"/>
  <c r="J178" i="1"/>
  <c r="I178" i="1"/>
  <c r="H178" i="1"/>
  <c r="G178" i="1"/>
  <c r="F178" i="1"/>
  <c r="E178" i="1"/>
  <c r="D178" i="1"/>
  <c r="J177" i="1"/>
  <c r="I177" i="1"/>
  <c r="H177" i="1"/>
  <c r="G177" i="1"/>
  <c r="F177" i="1"/>
  <c r="E177" i="1"/>
  <c r="D177" i="1"/>
  <c r="J176" i="1"/>
  <c r="I176" i="1"/>
  <c r="H176" i="1"/>
  <c r="G176" i="1"/>
  <c r="F176" i="1"/>
  <c r="E176" i="1"/>
  <c r="D176" i="1"/>
  <c r="J175" i="1"/>
  <c r="I175" i="1"/>
  <c r="H175" i="1"/>
  <c r="G175" i="1"/>
  <c r="F175" i="1"/>
  <c r="E175" i="1"/>
  <c r="D175" i="1"/>
  <c r="J174" i="1"/>
  <c r="I174" i="1"/>
  <c r="H174" i="1"/>
  <c r="G174" i="1"/>
  <c r="F174" i="1"/>
  <c r="E174" i="1"/>
  <c r="D174" i="1"/>
  <c r="J173" i="1"/>
  <c r="I173" i="1"/>
  <c r="H173" i="1"/>
  <c r="G173" i="1"/>
  <c r="F173" i="1"/>
  <c r="E173" i="1"/>
  <c r="D173" i="1"/>
  <c r="J172" i="1"/>
  <c r="I172" i="1"/>
  <c r="H172" i="1"/>
  <c r="G172" i="1"/>
  <c r="F172" i="1"/>
  <c r="E172" i="1"/>
  <c r="D172" i="1"/>
  <c r="J171" i="1"/>
  <c r="I171" i="1"/>
  <c r="H171" i="1"/>
  <c r="G171" i="1"/>
  <c r="F171" i="1"/>
  <c r="E171" i="1"/>
  <c r="D171" i="1"/>
  <c r="J170" i="1"/>
  <c r="I170" i="1"/>
  <c r="H170" i="1"/>
  <c r="G170" i="1"/>
  <c r="F170" i="1"/>
  <c r="E170" i="1"/>
  <c r="D170" i="1"/>
  <c r="J169" i="1"/>
  <c r="I169" i="1"/>
  <c r="H169" i="1"/>
  <c r="G169" i="1"/>
  <c r="F169" i="1"/>
  <c r="E169" i="1"/>
  <c r="D169" i="1"/>
  <c r="J168" i="1"/>
  <c r="I168" i="1"/>
  <c r="H168" i="1"/>
  <c r="G168" i="1"/>
  <c r="F168" i="1"/>
  <c r="E168" i="1"/>
  <c r="D168" i="1"/>
  <c r="J167" i="1"/>
  <c r="I167" i="1"/>
  <c r="H167" i="1"/>
  <c r="G167" i="1"/>
  <c r="F167" i="1"/>
  <c r="E167" i="1"/>
  <c r="D167" i="1"/>
  <c r="J166" i="1"/>
  <c r="I166" i="1"/>
  <c r="H166" i="1"/>
  <c r="G166" i="1"/>
  <c r="F166" i="1"/>
  <c r="E166" i="1"/>
  <c r="D166" i="1"/>
  <c r="J165" i="1"/>
  <c r="I165" i="1"/>
  <c r="H165" i="1"/>
  <c r="G165" i="1"/>
  <c r="F165" i="1"/>
  <c r="E165" i="1"/>
  <c r="D165" i="1"/>
  <c r="J164" i="1"/>
  <c r="I164" i="1"/>
  <c r="H164" i="1"/>
  <c r="G164" i="1"/>
  <c r="F164" i="1"/>
  <c r="E164" i="1"/>
  <c r="D164" i="1"/>
  <c r="J163" i="1"/>
  <c r="I163" i="1"/>
  <c r="H163" i="1"/>
  <c r="G163" i="1"/>
  <c r="F163" i="1"/>
  <c r="E163" i="1"/>
  <c r="D163" i="1"/>
  <c r="J162" i="1"/>
  <c r="I162" i="1"/>
  <c r="H162" i="1"/>
  <c r="G162" i="1"/>
  <c r="F162" i="1"/>
  <c r="E162" i="1"/>
  <c r="D162" i="1"/>
  <c r="J161" i="1"/>
  <c r="I161" i="1"/>
  <c r="H161" i="1"/>
  <c r="G161" i="1"/>
  <c r="F161" i="1"/>
  <c r="E161" i="1"/>
  <c r="D161" i="1"/>
  <c r="J160" i="1"/>
  <c r="I160" i="1"/>
  <c r="H160" i="1"/>
  <c r="G160" i="1"/>
  <c r="F160" i="1"/>
  <c r="E160" i="1"/>
  <c r="D160" i="1"/>
  <c r="J159" i="1"/>
  <c r="I159" i="1"/>
  <c r="H159" i="1"/>
  <c r="G159" i="1"/>
  <c r="F159" i="1"/>
  <c r="E159" i="1"/>
  <c r="D159" i="1"/>
  <c r="J158" i="1"/>
  <c r="I158" i="1"/>
  <c r="H158" i="1"/>
  <c r="G158" i="1"/>
  <c r="F158" i="1"/>
  <c r="E158" i="1"/>
  <c r="D158" i="1"/>
  <c r="J157" i="1"/>
  <c r="I157" i="1"/>
  <c r="H157" i="1"/>
  <c r="G157" i="1"/>
  <c r="F157" i="1"/>
  <c r="E157" i="1"/>
  <c r="D157" i="1"/>
  <c r="J156" i="1"/>
  <c r="I156" i="1"/>
  <c r="H156" i="1"/>
  <c r="G156" i="1"/>
  <c r="F156" i="1"/>
  <c r="E156" i="1"/>
  <c r="D156" i="1"/>
  <c r="J155" i="1"/>
  <c r="I155" i="1"/>
  <c r="H155" i="1"/>
  <c r="G155" i="1"/>
  <c r="F155" i="1"/>
  <c r="E155" i="1"/>
  <c r="D155" i="1"/>
  <c r="J154" i="1"/>
  <c r="I154" i="1"/>
  <c r="H154" i="1"/>
  <c r="G154" i="1"/>
  <c r="F154" i="1"/>
  <c r="E154" i="1"/>
  <c r="D154" i="1"/>
  <c r="J153" i="1"/>
  <c r="I153" i="1"/>
  <c r="H153" i="1"/>
  <c r="G153" i="1"/>
  <c r="F153" i="1"/>
  <c r="E153" i="1"/>
  <c r="D153" i="1"/>
  <c r="J152" i="1"/>
  <c r="I152" i="1"/>
  <c r="H152" i="1"/>
  <c r="G152" i="1"/>
  <c r="F152" i="1"/>
  <c r="E152" i="1"/>
  <c r="D152" i="1"/>
  <c r="J151" i="1"/>
  <c r="I151" i="1"/>
  <c r="H151" i="1"/>
  <c r="G151" i="1"/>
  <c r="F151" i="1"/>
  <c r="E151" i="1"/>
  <c r="D151" i="1"/>
  <c r="J150" i="1"/>
  <c r="I150" i="1"/>
  <c r="H150" i="1"/>
  <c r="G150" i="1"/>
  <c r="F150" i="1"/>
  <c r="E150" i="1"/>
  <c r="D150" i="1"/>
  <c r="J149" i="1"/>
  <c r="I149" i="1"/>
  <c r="H149" i="1"/>
  <c r="G149" i="1"/>
  <c r="F149" i="1"/>
  <c r="E149" i="1"/>
  <c r="D149" i="1"/>
  <c r="J148" i="1"/>
  <c r="I148" i="1"/>
  <c r="H148" i="1"/>
  <c r="G148" i="1"/>
  <c r="F148" i="1"/>
  <c r="E148" i="1"/>
  <c r="D148" i="1"/>
  <c r="J147" i="1"/>
  <c r="I147" i="1"/>
  <c r="H147" i="1"/>
  <c r="G147" i="1"/>
  <c r="F147" i="1"/>
  <c r="E147" i="1"/>
  <c r="D147" i="1"/>
  <c r="J146" i="1"/>
  <c r="I146" i="1"/>
  <c r="H146" i="1"/>
  <c r="G146" i="1"/>
  <c r="F146" i="1"/>
  <c r="E146" i="1"/>
  <c r="D146" i="1"/>
  <c r="J145" i="1"/>
  <c r="I145" i="1"/>
  <c r="H145" i="1"/>
  <c r="G145" i="1"/>
  <c r="F145" i="1"/>
  <c r="E145" i="1"/>
  <c r="D145" i="1"/>
  <c r="J144" i="1"/>
  <c r="I144" i="1"/>
  <c r="H144" i="1"/>
  <c r="G144" i="1"/>
  <c r="F144" i="1"/>
  <c r="E144" i="1"/>
  <c r="D144" i="1"/>
  <c r="J143" i="1"/>
  <c r="I143" i="1"/>
  <c r="H143" i="1"/>
  <c r="G143" i="1"/>
  <c r="F143" i="1"/>
  <c r="E143" i="1"/>
  <c r="D143" i="1"/>
  <c r="J142" i="1"/>
  <c r="I142" i="1"/>
  <c r="H142" i="1"/>
  <c r="G142" i="1"/>
  <c r="F142" i="1"/>
  <c r="E142" i="1"/>
  <c r="D142" i="1"/>
  <c r="J141" i="1"/>
  <c r="I141" i="1"/>
  <c r="H141" i="1"/>
  <c r="G141" i="1"/>
  <c r="F141" i="1"/>
  <c r="E141" i="1"/>
  <c r="D141" i="1"/>
  <c r="J140" i="1"/>
  <c r="I140" i="1"/>
  <c r="H140" i="1"/>
  <c r="G140" i="1"/>
  <c r="F140" i="1"/>
  <c r="E140" i="1"/>
  <c r="D140" i="1"/>
  <c r="J139" i="1"/>
  <c r="I139" i="1"/>
  <c r="H139" i="1"/>
  <c r="G139" i="1"/>
  <c r="F139" i="1"/>
  <c r="E139" i="1"/>
  <c r="D139" i="1"/>
  <c r="J138" i="1"/>
  <c r="I138" i="1"/>
  <c r="H138" i="1"/>
  <c r="G138" i="1"/>
  <c r="F138" i="1"/>
  <c r="E138" i="1"/>
  <c r="D138" i="1"/>
  <c r="J137" i="1"/>
  <c r="I137" i="1"/>
  <c r="H137" i="1"/>
  <c r="G137" i="1"/>
  <c r="F137" i="1"/>
  <c r="E137" i="1"/>
  <c r="D137" i="1"/>
  <c r="J136" i="1"/>
  <c r="I136" i="1"/>
  <c r="H136" i="1"/>
  <c r="G136" i="1"/>
  <c r="F136" i="1"/>
  <c r="E136" i="1"/>
  <c r="D136" i="1"/>
  <c r="J135" i="1"/>
  <c r="I135" i="1"/>
  <c r="H135" i="1"/>
  <c r="G135" i="1"/>
  <c r="F135" i="1"/>
  <c r="E135" i="1"/>
  <c r="D135" i="1"/>
  <c r="J134" i="1"/>
  <c r="I134" i="1"/>
  <c r="H134" i="1"/>
  <c r="G134" i="1"/>
  <c r="F134" i="1"/>
  <c r="E134" i="1"/>
  <c r="D134" i="1"/>
  <c r="J133" i="1"/>
  <c r="I133" i="1"/>
  <c r="H133" i="1"/>
  <c r="G133" i="1"/>
  <c r="F133" i="1"/>
  <c r="E133" i="1"/>
  <c r="D133" i="1"/>
  <c r="J132" i="1"/>
  <c r="I132" i="1"/>
  <c r="H132" i="1"/>
  <c r="G132" i="1"/>
  <c r="F132" i="1"/>
  <c r="E132" i="1"/>
  <c r="D132" i="1"/>
  <c r="J131" i="1"/>
  <c r="I131" i="1"/>
  <c r="H131" i="1"/>
  <c r="G131" i="1"/>
  <c r="F131" i="1"/>
  <c r="E131" i="1"/>
  <c r="D131" i="1"/>
  <c r="J130" i="1"/>
  <c r="I130" i="1"/>
  <c r="H130" i="1"/>
  <c r="G130" i="1"/>
  <c r="F130" i="1"/>
  <c r="E130" i="1"/>
  <c r="D130" i="1"/>
  <c r="J129" i="1"/>
  <c r="I129" i="1"/>
  <c r="H129" i="1"/>
  <c r="G129" i="1"/>
  <c r="F129" i="1"/>
  <c r="E129" i="1"/>
  <c r="D129" i="1"/>
  <c r="J128" i="1"/>
  <c r="I128" i="1"/>
  <c r="H128" i="1"/>
  <c r="G128" i="1"/>
  <c r="F128" i="1"/>
  <c r="E128" i="1"/>
  <c r="D128" i="1"/>
  <c r="J127" i="1"/>
  <c r="I127" i="1"/>
  <c r="H127" i="1"/>
  <c r="G127" i="1"/>
  <c r="F127" i="1"/>
  <c r="E127" i="1"/>
  <c r="D127" i="1"/>
  <c r="J126" i="1"/>
  <c r="I126" i="1"/>
  <c r="H126" i="1"/>
  <c r="G126" i="1"/>
  <c r="F126" i="1"/>
  <c r="E126" i="1"/>
  <c r="D126" i="1"/>
  <c r="J125" i="1"/>
  <c r="I125" i="1"/>
  <c r="H125" i="1"/>
  <c r="G125" i="1"/>
  <c r="F125" i="1"/>
  <c r="E125" i="1"/>
  <c r="D125" i="1"/>
  <c r="J124" i="1"/>
  <c r="I124" i="1"/>
  <c r="H124" i="1"/>
  <c r="G124" i="1"/>
  <c r="F124" i="1"/>
  <c r="E124" i="1"/>
  <c r="D124" i="1"/>
  <c r="J123" i="1"/>
  <c r="I123" i="1"/>
  <c r="H123" i="1"/>
  <c r="G123" i="1"/>
  <c r="F123" i="1"/>
  <c r="E123" i="1"/>
  <c r="D123" i="1"/>
  <c r="J122" i="1"/>
  <c r="I122" i="1"/>
  <c r="H122" i="1"/>
  <c r="G122" i="1"/>
  <c r="F122" i="1"/>
  <c r="E122" i="1"/>
  <c r="D122" i="1"/>
  <c r="J121" i="1"/>
  <c r="I121" i="1"/>
  <c r="H121" i="1"/>
  <c r="G121" i="1"/>
  <c r="F121" i="1"/>
  <c r="E121" i="1"/>
  <c r="D121" i="1"/>
  <c r="J120" i="1"/>
  <c r="I120" i="1"/>
  <c r="H120" i="1"/>
  <c r="G120" i="1"/>
  <c r="F120" i="1"/>
  <c r="E120" i="1"/>
  <c r="D120" i="1"/>
  <c r="J119" i="1"/>
  <c r="I119" i="1"/>
  <c r="H119" i="1"/>
  <c r="G119" i="1"/>
  <c r="F119" i="1"/>
  <c r="E119" i="1"/>
  <c r="D119" i="1"/>
  <c r="J118" i="1"/>
  <c r="I118" i="1"/>
  <c r="H118" i="1"/>
  <c r="G118" i="1"/>
  <c r="F118" i="1"/>
  <c r="E118" i="1"/>
  <c r="D118" i="1"/>
  <c r="J117" i="1"/>
  <c r="I117" i="1"/>
  <c r="H117" i="1"/>
  <c r="G117" i="1"/>
  <c r="F117" i="1"/>
  <c r="E117" i="1"/>
  <c r="D117" i="1"/>
  <c r="J116" i="1"/>
  <c r="I116" i="1"/>
  <c r="H116" i="1"/>
  <c r="G116" i="1"/>
  <c r="F116" i="1"/>
  <c r="E116" i="1"/>
  <c r="D116" i="1"/>
  <c r="J115" i="1"/>
  <c r="I115" i="1"/>
  <c r="H115" i="1"/>
  <c r="G115" i="1"/>
  <c r="F115" i="1"/>
  <c r="E115" i="1"/>
  <c r="D115" i="1"/>
  <c r="J114" i="1"/>
  <c r="I114" i="1"/>
  <c r="H114" i="1"/>
  <c r="G114" i="1"/>
  <c r="F114" i="1"/>
  <c r="E114" i="1"/>
  <c r="D114" i="1"/>
  <c r="J113" i="1"/>
  <c r="I113" i="1"/>
  <c r="H113" i="1"/>
  <c r="G113" i="1"/>
  <c r="F113" i="1"/>
  <c r="E113" i="1"/>
  <c r="D113" i="1"/>
  <c r="J112" i="1"/>
  <c r="I112" i="1"/>
  <c r="H112" i="1"/>
  <c r="G112" i="1"/>
  <c r="F112" i="1"/>
  <c r="E112" i="1"/>
  <c r="D112" i="1"/>
  <c r="J111" i="1"/>
  <c r="I111" i="1"/>
  <c r="H111" i="1"/>
  <c r="G111" i="1"/>
  <c r="F111" i="1"/>
  <c r="E111" i="1"/>
  <c r="D111" i="1"/>
  <c r="J110" i="1"/>
  <c r="I110" i="1"/>
  <c r="H110" i="1"/>
  <c r="G110" i="1"/>
  <c r="F110" i="1"/>
  <c r="E110" i="1"/>
  <c r="D110" i="1"/>
  <c r="J109" i="1"/>
  <c r="I109" i="1"/>
  <c r="H109" i="1"/>
  <c r="G109" i="1"/>
  <c r="F109" i="1"/>
  <c r="E109" i="1"/>
  <c r="D109" i="1"/>
  <c r="J108" i="1"/>
  <c r="I108" i="1"/>
  <c r="H108" i="1"/>
  <c r="G108" i="1"/>
  <c r="F108" i="1"/>
  <c r="E108" i="1"/>
  <c r="D108" i="1"/>
  <c r="J107" i="1"/>
  <c r="I107" i="1"/>
  <c r="H107" i="1"/>
  <c r="G107" i="1"/>
  <c r="F107" i="1"/>
  <c r="E107" i="1"/>
  <c r="D107" i="1"/>
  <c r="J106" i="1"/>
  <c r="I106" i="1"/>
  <c r="H106" i="1"/>
  <c r="G106" i="1"/>
  <c r="F106" i="1"/>
  <c r="E106" i="1"/>
  <c r="D106" i="1"/>
  <c r="J105" i="1"/>
  <c r="I105" i="1"/>
  <c r="H105" i="1"/>
  <c r="G105" i="1"/>
  <c r="F105" i="1"/>
  <c r="E105" i="1"/>
  <c r="D105" i="1"/>
  <c r="J104" i="1"/>
  <c r="I104" i="1"/>
  <c r="H104" i="1"/>
  <c r="G104" i="1"/>
  <c r="F104" i="1"/>
  <c r="E104" i="1"/>
  <c r="D104" i="1"/>
  <c r="J103" i="1"/>
  <c r="I103" i="1"/>
  <c r="H103" i="1"/>
  <c r="G103" i="1"/>
  <c r="F103" i="1"/>
  <c r="E103" i="1"/>
  <c r="D103" i="1"/>
  <c r="J102" i="1"/>
  <c r="I102" i="1"/>
  <c r="H102" i="1"/>
  <c r="G102" i="1"/>
  <c r="F102" i="1"/>
  <c r="E102" i="1"/>
  <c r="D102" i="1"/>
  <c r="J101" i="1"/>
  <c r="I101" i="1"/>
  <c r="H101" i="1"/>
  <c r="G101" i="1"/>
  <c r="F101" i="1"/>
  <c r="E101" i="1"/>
  <c r="D101" i="1"/>
  <c r="J100" i="1"/>
  <c r="I100" i="1"/>
  <c r="H100" i="1"/>
  <c r="G100" i="1"/>
  <c r="F100" i="1"/>
  <c r="E100" i="1"/>
  <c r="D100" i="1"/>
  <c r="J99" i="1"/>
  <c r="I99" i="1"/>
  <c r="H99" i="1"/>
  <c r="G99" i="1"/>
  <c r="F99" i="1"/>
  <c r="E99" i="1"/>
  <c r="D99" i="1"/>
  <c r="J98" i="1"/>
  <c r="I98" i="1"/>
  <c r="H98" i="1"/>
  <c r="G98" i="1"/>
  <c r="F98" i="1"/>
  <c r="E98" i="1"/>
  <c r="D98" i="1"/>
  <c r="J97" i="1"/>
  <c r="I97" i="1"/>
  <c r="H97" i="1"/>
  <c r="G97" i="1"/>
  <c r="F97" i="1"/>
  <c r="E97" i="1"/>
  <c r="D97" i="1"/>
  <c r="J96" i="1"/>
  <c r="I96" i="1"/>
  <c r="H96" i="1"/>
  <c r="G96" i="1"/>
  <c r="F96" i="1"/>
  <c r="E96" i="1"/>
  <c r="D96" i="1"/>
  <c r="J95" i="1"/>
  <c r="I95" i="1"/>
  <c r="H95" i="1"/>
  <c r="G95" i="1"/>
  <c r="F95" i="1"/>
  <c r="E95" i="1"/>
  <c r="D95" i="1"/>
  <c r="J94" i="1"/>
  <c r="I94" i="1"/>
  <c r="H94" i="1"/>
  <c r="G94" i="1"/>
  <c r="F94" i="1"/>
  <c r="E94" i="1"/>
  <c r="D94" i="1"/>
  <c r="J93" i="1"/>
  <c r="I93" i="1"/>
  <c r="H93" i="1"/>
  <c r="G93" i="1"/>
  <c r="F93" i="1"/>
  <c r="E93" i="1"/>
  <c r="D93" i="1"/>
  <c r="J92" i="1"/>
  <c r="I92" i="1"/>
  <c r="H92" i="1"/>
  <c r="G92" i="1"/>
  <c r="F92" i="1"/>
  <c r="E92" i="1"/>
  <c r="D92" i="1"/>
  <c r="J91" i="1"/>
  <c r="I91" i="1"/>
  <c r="H91" i="1"/>
  <c r="G91" i="1"/>
  <c r="F91" i="1"/>
  <c r="E91" i="1"/>
  <c r="D91" i="1"/>
  <c r="J90" i="1"/>
  <c r="I90" i="1"/>
  <c r="H90" i="1"/>
  <c r="G90" i="1"/>
  <c r="F90" i="1"/>
  <c r="E90" i="1"/>
  <c r="D90" i="1"/>
  <c r="J89" i="1"/>
  <c r="I89" i="1"/>
  <c r="H89" i="1"/>
  <c r="G89" i="1"/>
  <c r="F89" i="1"/>
  <c r="E89" i="1"/>
  <c r="D89" i="1"/>
  <c r="J88" i="1"/>
  <c r="I88" i="1"/>
  <c r="H88" i="1"/>
  <c r="G88" i="1"/>
  <c r="F88" i="1"/>
  <c r="E88" i="1"/>
  <c r="D88" i="1"/>
  <c r="J87" i="1"/>
  <c r="I87" i="1"/>
  <c r="H87" i="1"/>
  <c r="G87" i="1"/>
  <c r="F87" i="1"/>
  <c r="E87" i="1"/>
  <c r="D87" i="1"/>
  <c r="J86" i="1"/>
  <c r="I86" i="1"/>
  <c r="H86" i="1"/>
  <c r="G86" i="1"/>
  <c r="F86" i="1"/>
  <c r="E86" i="1"/>
  <c r="D86" i="1"/>
  <c r="J85" i="1"/>
  <c r="I85" i="1"/>
  <c r="H85" i="1"/>
  <c r="G85" i="1"/>
  <c r="F85" i="1"/>
  <c r="E85" i="1"/>
  <c r="D85" i="1"/>
  <c r="J84" i="1"/>
  <c r="I84" i="1"/>
  <c r="H84" i="1"/>
  <c r="G84" i="1"/>
  <c r="F84" i="1"/>
  <c r="E84" i="1"/>
  <c r="D84" i="1"/>
  <c r="J83" i="1"/>
  <c r="I83" i="1"/>
  <c r="H83" i="1"/>
  <c r="G83" i="1"/>
  <c r="F83" i="1"/>
  <c r="E83" i="1"/>
  <c r="D83" i="1"/>
  <c r="J82" i="1"/>
  <c r="I82" i="1"/>
  <c r="H82" i="1"/>
  <c r="G82" i="1"/>
  <c r="F82" i="1"/>
  <c r="E82" i="1"/>
  <c r="D82" i="1"/>
  <c r="J81" i="1"/>
  <c r="I81" i="1"/>
  <c r="H81" i="1"/>
  <c r="G81" i="1"/>
  <c r="F81" i="1"/>
  <c r="E81" i="1"/>
  <c r="D81" i="1"/>
  <c r="J80" i="1"/>
  <c r="I80" i="1"/>
  <c r="H80" i="1"/>
  <c r="G80" i="1"/>
  <c r="F80" i="1"/>
  <c r="E80" i="1"/>
  <c r="D80" i="1"/>
  <c r="J79" i="1"/>
  <c r="I79" i="1"/>
  <c r="H79" i="1"/>
  <c r="G79" i="1"/>
  <c r="F79" i="1"/>
  <c r="E79" i="1"/>
  <c r="D79" i="1"/>
  <c r="J78" i="1"/>
  <c r="I78" i="1"/>
  <c r="H78" i="1"/>
  <c r="G78" i="1"/>
  <c r="F78" i="1"/>
  <c r="E78" i="1"/>
  <c r="D78" i="1"/>
  <c r="J77" i="1"/>
  <c r="I77" i="1"/>
  <c r="H77" i="1"/>
  <c r="G77" i="1"/>
  <c r="F77" i="1"/>
  <c r="E77" i="1"/>
  <c r="D77" i="1"/>
  <c r="J76" i="1"/>
  <c r="I76" i="1"/>
  <c r="H76" i="1"/>
  <c r="G76" i="1"/>
  <c r="F76" i="1"/>
  <c r="E76" i="1"/>
  <c r="D76" i="1"/>
  <c r="J75" i="1"/>
  <c r="I75" i="1"/>
  <c r="H75" i="1"/>
  <c r="G75" i="1"/>
  <c r="F75" i="1"/>
  <c r="E75" i="1"/>
  <c r="D75" i="1"/>
  <c r="J74" i="1"/>
  <c r="I74" i="1"/>
  <c r="H74" i="1"/>
  <c r="G74" i="1"/>
  <c r="F74" i="1"/>
  <c r="E74" i="1"/>
  <c r="D74" i="1"/>
  <c r="J73" i="1"/>
  <c r="I73" i="1"/>
  <c r="H73" i="1"/>
  <c r="G73" i="1"/>
  <c r="F73" i="1"/>
  <c r="E73" i="1"/>
  <c r="D73" i="1"/>
  <c r="J72" i="1"/>
  <c r="I72" i="1"/>
  <c r="H72" i="1"/>
  <c r="G72" i="1"/>
  <c r="F72" i="1"/>
  <c r="E72" i="1"/>
  <c r="D72" i="1"/>
  <c r="J71" i="1"/>
  <c r="I71" i="1"/>
  <c r="H71" i="1"/>
  <c r="G71" i="1"/>
  <c r="F71" i="1"/>
  <c r="E71" i="1"/>
  <c r="D71" i="1"/>
  <c r="J70" i="1"/>
  <c r="I70" i="1"/>
  <c r="H70" i="1"/>
  <c r="G70" i="1"/>
  <c r="F70" i="1"/>
  <c r="E70" i="1"/>
  <c r="D70" i="1"/>
  <c r="J69" i="1"/>
  <c r="I69" i="1"/>
  <c r="H69" i="1"/>
  <c r="G69" i="1"/>
  <c r="F69" i="1"/>
  <c r="E69" i="1"/>
  <c r="D69" i="1"/>
  <c r="J68" i="1"/>
  <c r="I68" i="1"/>
  <c r="H68" i="1"/>
  <c r="G68" i="1"/>
  <c r="F68" i="1"/>
  <c r="E68" i="1"/>
  <c r="D68" i="1"/>
  <c r="J67" i="1"/>
  <c r="I67" i="1"/>
  <c r="H67" i="1"/>
  <c r="G67" i="1"/>
  <c r="F67" i="1"/>
  <c r="E67" i="1"/>
  <c r="D67" i="1"/>
  <c r="J66" i="1"/>
  <c r="I66" i="1"/>
  <c r="H66" i="1"/>
  <c r="G66" i="1"/>
  <c r="F66" i="1"/>
  <c r="E66" i="1"/>
  <c r="D66" i="1"/>
  <c r="J65" i="1"/>
  <c r="I65" i="1"/>
  <c r="H65" i="1"/>
  <c r="G65" i="1"/>
  <c r="F65" i="1"/>
  <c r="E65" i="1"/>
  <c r="D65" i="1"/>
  <c r="J64" i="1"/>
  <c r="I64" i="1"/>
  <c r="H64" i="1"/>
  <c r="G64" i="1"/>
  <c r="F64" i="1"/>
  <c r="E64" i="1"/>
  <c r="D64" i="1"/>
  <c r="J63" i="1"/>
  <c r="I63" i="1"/>
  <c r="H63" i="1"/>
  <c r="G63" i="1"/>
  <c r="F63" i="1"/>
  <c r="E63" i="1"/>
  <c r="D63" i="1"/>
  <c r="J62" i="1"/>
  <c r="I62" i="1"/>
  <c r="H62" i="1"/>
  <c r="G62" i="1"/>
  <c r="F62" i="1"/>
  <c r="E62" i="1"/>
  <c r="D62" i="1"/>
  <c r="J61" i="1"/>
  <c r="I61" i="1"/>
  <c r="H61" i="1"/>
  <c r="G61" i="1"/>
  <c r="F61" i="1"/>
  <c r="E61" i="1"/>
  <c r="D61" i="1"/>
  <c r="J60" i="1"/>
  <c r="I60" i="1"/>
  <c r="H60" i="1"/>
  <c r="G60" i="1"/>
  <c r="F60" i="1"/>
  <c r="E60" i="1"/>
  <c r="D60" i="1"/>
  <c r="J59" i="1"/>
  <c r="I59" i="1"/>
  <c r="H59" i="1"/>
  <c r="G59" i="1"/>
  <c r="F59" i="1"/>
  <c r="E59" i="1"/>
  <c r="D59" i="1"/>
  <c r="J58" i="1"/>
  <c r="I58" i="1"/>
  <c r="H58" i="1"/>
  <c r="G58" i="1"/>
  <c r="F58" i="1"/>
  <c r="E58" i="1"/>
  <c r="D58" i="1"/>
  <c r="J57" i="1"/>
  <c r="I57" i="1"/>
  <c r="H57" i="1"/>
  <c r="G57" i="1"/>
  <c r="F57" i="1"/>
  <c r="E57" i="1"/>
  <c r="D57" i="1"/>
  <c r="J56" i="1"/>
  <c r="I56" i="1"/>
  <c r="H56" i="1"/>
  <c r="G56" i="1"/>
  <c r="F56" i="1"/>
  <c r="E56" i="1"/>
  <c r="D56" i="1"/>
  <c r="J55" i="1"/>
  <c r="I55" i="1"/>
  <c r="H55" i="1"/>
  <c r="G55" i="1"/>
  <c r="F55" i="1"/>
  <c r="E55" i="1"/>
  <c r="D55" i="1"/>
  <c r="J54" i="1"/>
  <c r="I54" i="1"/>
  <c r="H54" i="1"/>
  <c r="G54" i="1"/>
  <c r="F54" i="1"/>
  <c r="E54" i="1"/>
  <c r="D54" i="1"/>
  <c r="J53" i="1"/>
  <c r="I53" i="1"/>
  <c r="H53" i="1"/>
  <c r="G53" i="1"/>
  <c r="F53" i="1"/>
  <c r="E53" i="1"/>
  <c r="D53" i="1"/>
  <c r="J52" i="1"/>
  <c r="I52" i="1"/>
  <c r="H52" i="1"/>
  <c r="G52" i="1"/>
  <c r="F52" i="1"/>
  <c r="E52" i="1"/>
  <c r="D52" i="1"/>
  <c r="J51" i="1"/>
  <c r="I51" i="1"/>
  <c r="H51" i="1"/>
  <c r="G51" i="1"/>
  <c r="F51" i="1"/>
  <c r="E51" i="1"/>
  <c r="D51" i="1"/>
  <c r="J50" i="1"/>
  <c r="I50" i="1"/>
  <c r="H50" i="1"/>
  <c r="G50" i="1"/>
  <c r="F50" i="1"/>
  <c r="E50" i="1"/>
  <c r="D50" i="1"/>
  <c r="J49" i="1"/>
  <c r="I49" i="1"/>
  <c r="H49" i="1"/>
  <c r="G49" i="1"/>
  <c r="F49" i="1"/>
  <c r="E49" i="1"/>
  <c r="D49" i="1"/>
  <c r="J48" i="1"/>
  <c r="I48" i="1"/>
  <c r="H48" i="1"/>
  <c r="G48" i="1"/>
  <c r="F48" i="1"/>
  <c r="E48" i="1"/>
  <c r="D48" i="1"/>
  <c r="J47" i="1"/>
  <c r="I47" i="1"/>
  <c r="H47" i="1"/>
  <c r="G47" i="1"/>
  <c r="F47" i="1"/>
  <c r="E47" i="1"/>
  <c r="D47" i="1"/>
  <c r="J46" i="1"/>
  <c r="I46" i="1"/>
  <c r="H46" i="1"/>
  <c r="G46" i="1"/>
  <c r="F46" i="1"/>
  <c r="E46" i="1"/>
  <c r="D46" i="1"/>
  <c r="J45" i="1"/>
  <c r="I45" i="1"/>
  <c r="H45" i="1"/>
  <c r="G45" i="1"/>
  <c r="F45" i="1"/>
  <c r="E45" i="1"/>
  <c r="D45" i="1"/>
  <c r="J44" i="1"/>
  <c r="I44" i="1"/>
  <c r="H44" i="1"/>
  <c r="G44" i="1"/>
  <c r="F44" i="1"/>
  <c r="E44" i="1"/>
  <c r="D44" i="1"/>
  <c r="J43" i="1"/>
  <c r="I43" i="1"/>
  <c r="H43" i="1"/>
  <c r="G43" i="1"/>
  <c r="F43" i="1"/>
  <c r="E43" i="1"/>
  <c r="D43" i="1"/>
  <c r="J42" i="1"/>
  <c r="I42" i="1"/>
  <c r="H42" i="1"/>
  <c r="G42" i="1"/>
  <c r="F42" i="1"/>
  <c r="E42" i="1"/>
  <c r="D42" i="1"/>
  <c r="J41" i="1"/>
  <c r="I41" i="1"/>
  <c r="H41" i="1"/>
  <c r="G41" i="1"/>
  <c r="F41" i="1"/>
  <c r="E41" i="1"/>
  <c r="D41" i="1"/>
  <c r="J40" i="1"/>
  <c r="I40" i="1"/>
  <c r="H40" i="1"/>
  <c r="G40" i="1"/>
  <c r="F40" i="1"/>
  <c r="E40" i="1"/>
  <c r="D40" i="1"/>
  <c r="J39" i="1"/>
  <c r="I39" i="1"/>
  <c r="H39" i="1"/>
  <c r="G39" i="1"/>
  <c r="F39" i="1"/>
  <c r="E39" i="1"/>
  <c r="D39" i="1"/>
  <c r="J38" i="1"/>
  <c r="I38" i="1"/>
  <c r="H38" i="1"/>
  <c r="G38" i="1"/>
  <c r="F38" i="1"/>
  <c r="E38" i="1"/>
  <c r="D38" i="1"/>
  <c r="J37" i="1"/>
  <c r="I37" i="1"/>
  <c r="H37" i="1"/>
  <c r="G37" i="1"/>
  <c r="F37" i="1"/>
  <c r="E37" i="1"/>
  <c r="D37" i="1"/>
  <c r="J36" i="1"/>
  <c r="I36" i="1"/>
  <c r="H36" i="1"/>
  <c r="G36" i="1"/>
  <c r="F36" i="1"/>
  <c r="E36" i="1"/>
  <c r="D36" i="1"/>
  <c r="J35" i="1"/>
  <c r="I35" i="1"/>
  <c r="H35" i="1"/>
  <c r="G35" i="1"/>
  <c r="F35" i="1"/>
  <c r="E35" i="1"/>
  <c r="D35" i="1"/>
  <c r="J34" i="1"/>
  <c r="I34" i="1"/>
  <c r="H34" i="1"/>
  <c r="G34" i="1"/>
  <c r="F34" i="1"/>
  <c r="E34" i="1"/>
  <c r="D34" i="1"/>
  <c r="J33" i="1"/>
  <c r="I33" i="1"/>
  <c r="H33" i="1"/>
  <c r="G33" i="1"/>
  <c r="F33" i="1"/>
  <c r="E33" i="1"/>
  <c r="D33" i="1"/>
  <c r="J32" i="1"/>
  <c r="I32" i="1"/>
  <c r="H32" i="1"/>
  <c r="G32" i="1"/>
  <c r="F32" i="1"/>
  <c r="E32" i="1"/>
  <c r="D32" i="1"/>
  <c r="J31" i="1"/>
  <c r="I31" i="1"/>
  <c r="H31" i="1"/>
  <c r="G31" i="1"/>
  <c r="F31" i="1"/>
  <c r="E31" i="1"/>
  <c r="D31" i="1"/>
  <c r="J30" i="1"/>
  <c r="I30" i="1"/>
  <c r="H30" i="1"/>
  <c r="G30" i="1"/>
  <c r="F30" i="1"/>
  <c r="E30" i="1"/>
  <c r="D30" i="1"/>
  <c r="J29" i="1"/>
  <c r="I29" i="1"/>
  <c r="H29" i="1"/>
  <c r="G29" i="1"/>
  <c r="F29" i="1"/>
  <c r="E29" i="1"/>
  <c r="D29" i="1"/>
  <c r="J28" i="1"/>
  <c r="I28" i="1"/>
  <c r="H28" i="1"/>
  <c r="G28" i="1"/>
  <c r="F28" i="1"/>
  <c r="E28" i="1"/>
  <c r="D28" i="1"/>
  <c r="J27" i="1"/>
  <c r="I27" i="1"/>
  <c r="H27" i="1"/>
  <c r="G27" i="1"/>
  <c r="F27" i="1"/>
  <c r="E27" i="1"/>
  <c r="D27" i="1"/>
  <c r="J26" i="1"/>
  <c r="I26" i="1"/>
  <c r="H26" i="1"/>
  <c r="G26" i="1"/>
  <c r="F26" i="1"/>
  <c r="E26" i="1"/>
  <c r="D26" i="1"/>
  <c r="J25" i="1"/>
  <c r="I25" i="1"/>
  <c r="H25" i="1"/>
  <c r="G25" i="1"/>
  <c r="F25" i="1"/>
  <c r="E25" i="1"/>
  <c r="D25" i="1"/>
  <c r="J24" i="1"/>
  <c r="I24" i="1"/>
  <c r="H24" i="1"/>
  <c r="G24" i="1"/>
  <c r="F24" i="1"/>
  <c r="E24" i="1"/>
  <c r="D24" i="1"/>
  <c r="J23" i="1"/>
  <c r="I23" i="1"/>
  <c r="H23" i="1"/>
  <c r="G23" i="1"/>
  <c r="F23" i="1"/>
  <c r="E23" i="1"/>
  <c r="D23" i="1"/>
  <c r="J22" i="1"/>
  <c r="I22" i="1"/>
  <c r="H22" i="1"/>
  <c r="G22" i="1"/>
  <c r="F22" i="1"/>
  <c r="E22" i="1"/>
  <c r="D22" i="1"/>
  <c r="J21" i="1"/>
  <c r="I21" i="1"/>
  <c r="H21" i="1"/>
  <c r="G21" i="1"/>
  <c r="F21" i="1"/>
  <c r="E21" i="1"/>
  <c r="D21" i="1"/>
  <c r="J20" i="1"/>
  <c r="I20" i="1"/>
  <c r="H20" i="1"/>
  <c r="G20" i="1"/>
  <c r="F20" i="1"/>
  <c r="E20" i="1"/>
  <c r="D20" i="1"/>
  <c r="J19" i="1"/>
  <c r="I19" i="1"/>
  <c r="H19" i="1"/>
  <c r="G19" i="1"/>
  <c r="F19" i="1"/>
  <c r="E19" i="1"/>
  <c r="D19" i="1"/>
  <c r="J18" i="1"/>
  <c r="I18" i="1"/>
  <c r="H18" i="1"/>
  <c r="G18" i="1"/>
  <c r="F18" i="1"/>
  <c r="E18" i="1"/>
  <c r="D18" i="1"/>
  <c r="J17" i="1"/>
  <c r="I17" i="1"/>
  <c r="H17" i="1"/>
  <c r="G17" i="1"/>
  <c r="F17" i="1"/>
  <c r="E17" i="1"/>
  <c r="D17" i="1"/>
  <c r="J16" i="1"/>
  <c r="I16" i="1"/>
  <c r="H16" i="1"/>
  <c r="G16" i="1"/>
  <c r="F16" i="1"/>
  <c r="E16" i="1"/>
  <c r="D16" i="1"/>
  <c r="J15" i="1"/>
  <c r="I15" i="1"/>
  <c r="H15" i="1"/>
  <c r="G15" i="1"/>
  <c r="F15" i="1"/>
  <c r="E15" i="1"/>
  <c r="D15" i="1"/>
  <c r="J14" i="1"/>
  <c r="I14" i="1"/>
  <c r="H14" i="1"/>
  <c r="G14" i="1"/>
  <c r="F14" i="1"/>
  <c r="E14" i="1"/>
  <c r="D14" i="1"/>
  <c r="J13" i="1"/>
  <c r="I13" i="1"/>
  <c r="H13" i="1"/>
  <c r="G13" i="1"/>
  <c r="F13" i="1"/>
  <c r="E13" i="1"/>
  <c r="D13" i="1"/>
  <c r="J12" i="1"/>
  <c r="I12" i="1"/>
  <c r="H12" i="1"/>
  <c r="G12" i="1"/>
  <c r="F12" i="1"/>
  <c r="E12" i="1"/>
  <c r="D12" i="1"/>
  <c r="J11" i="1"/>
  <c r="I11" i="1"/>
  <c r="H11" i="1"/>
  <c r="G11" i="1"/>
  <c r="F11" i="1"/>
  <c r="E11" i="1"/>
  <c r="D11" i="1"/>
  <c r="J10" i="1"/>
  <c r="I10" i="1"/>
  <c r="H10" i="1"/>
  <c r="G10" i="1"/>
  <c r="F10" i="1"/>
  <c r="E10" i="1"/>
  <c r="D10" i="1"/>
  <c r="J9" i="1"/>
  <c r="I9" i="1"/>
  <c r="H9" i="1"/>
  <c r="G9" i="1"/>
  <c r="F9" i="1"/>
  <c r="E9" i="1"/>
  <c r="D9" i="1"/>
  <c r="J8" i="1"/>
  <c r="I8" i="1"/>
  <c r="H8" i="1"/>
  <c r="G8" i="1"/>
  <c r="F8" i="1"/>
  <c r="E8" i="1"/>
  <c r="D8" i="1"/>
  <c r="J7" i="1"/>
  <c r="I7" i="1"/>
  <c r="H7" i="1"/>
  <c r="G7" i="1"/>
  <c r="F7" i="1"/>
  <c r="E7" i="1"/>
  <c r="D7" i="1"/>
  <c r="J6" i="1"/>
  <c r="I6" i="1"/>
  <c r="H6" i="1"/>
  <c r="G6" i="1"/>
  <c r="F6" i="1"/>
  <c r="E6" i="1"/>
  <c r="D6" i="1"/>
  <c r="J5" i="1"/>
  <c r="I5" i="1"/>
  <c r="H5" i="1"/>
  <c r="G5" i="1"/>
  <c r="F5" i="1"/>
  <c r="E5" i="1"/>
  <c r="D5" i="1"/>
  <c r="J4" i="1"/>
  <c r="I4" i="1"/>
  <c r="H4" i="1"/>
  <c r="G4" i="1"/>
  <c r="F4" i="1"/>
  <c r="E4" i="1"/>
  <c r="D4" i="1"/>
  <c r="J3" i="1"/>
  <c r="I3" i="1"/>
  <c r="H3" i="1"/>
  <c r="G3" i="1"/>
  <c r="F3" i="1"/>
  <c r="E3" i="1"/>
  <c r="D3" i="1"/>
  <c r="J2" i="1"/>
  <c r="I2" i="1"/>
  <c r="H2" i="1"/>
  <c r="G2" i="1"/>
  <c r="F2" i="1"/>
  <c r="E2" i="1"/>
  <c r="D2" i="1"/>
</calcChain>
</file>

<file path=xl/sharedStrings.xml><?xml version="1.0" encoding="utf-8"?>
<sst xmlns="http://schemas.openxmlformats.org/spreadsheetml/2006/main" count="760" uniqueCount="294">
  <si>
    <t>Economy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</si>
  <si>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</si>
  <si>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</si>
  <si>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</si>
  <si>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</si>
  <si>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</si>
  <si>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</si>
  <si>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</si>
  <si>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</si>
  <si>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</si>
  <si>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</si>
  <si>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</si>
  <si>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</si>
  <si>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</si>
  <si>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</si>
  <si>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</si>
  <si>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</si>
  <si>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</si>
  <si>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</si>
  <si>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</si>
  <si>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</si>
  <si>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</si>
  <si>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</si>
  <si>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</si>
  <si>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</si>
  <si>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</si>
  <si>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</si>
  <si>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</si>
  <si>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</si>
  <si>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</si>
  <si>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</si>
  <si>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</si>
  <si>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</si>
  <si>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</si>
  <si>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</si>
  <si>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</si>
  <si>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</si>
  <si>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</si>
  <si>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</si>
  <si>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</si>
  <si>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</si>
  <si>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</si>
  <si>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</si>
  <si>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</si>
  <si>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</si>
  <si>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</si>
  <si>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</si>
  <si>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</si>
  <si>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</si>
  <si>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</si>
  <si>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</si>
  <si>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</si>
  <si>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</si>
  <si>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</si>
  <si>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</si>
  <si>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</si>
  <si>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</si>
  <si>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</si>
  <si>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</si>
  <si>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</si>
  <si>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</si>
  <si>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</si>
  <si>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</si>
  <si>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</si>
  <si>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</si>
  <si>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</si>
  <si>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</si>
  <si>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</si>
  <si>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</si>
  <si>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</si>
  <si>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</si>
  <si>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</si>
  <si>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</si>
  <si>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</si>
  <si>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</si>
  <si>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</si>
  <si>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</si>
  <si>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</si>
  <si>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</si>
  <si>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</si>
  <si>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</si>
  <si>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</si>
  <si>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</si>
  <si>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</si>
  <si>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</si>
  <si>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</si>
  <si>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</si>
  <si>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</si>
  <si>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</si>
  <si>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</si>
  <si>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</si>
  <si>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</si>
  <si>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Kosovo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</si>
  <si>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</si>
  <si>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</si>
  <si>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</si>
  <si>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</si>
  <si>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</si>
  <si>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</si>
  <si>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</si>
  <si>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</si>
  <si>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</si>
  <si>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</si>
  <si>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</si>
  <si>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</si>
  <si>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</si>
  <si>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</si>
  <si>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</si>
  <si>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</si>
  <si>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</si>
  <si>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</si>
  <si>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</si>
  <si>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</si>
  <si>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</si>
  <si>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</si>
  <si>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</si>
  <si>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</si>
  <si>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</si>
  <si>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</si>
  <si>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</si>
  <si>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</si>
  <si>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</si>
  <si>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</si>
  <si>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</si>
  <si>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</si>
  <si>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</si>
  <si>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</si>
  <si>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</si>
  <si>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</si>
  <si>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</si>
  <si>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</si>
  <si>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</si>
  <si>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</si>
  <si>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</si>
  <si>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</si>
  <si>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</si>
  <si>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</si>
  <si>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</si>
  <si>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</si>
  <si>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</si>
  <si>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</si>
  <si>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</si>
  <si>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</si>
  <si>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</si>
  <si>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</si>
  <si>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</si>
  <si>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</si>
  <si>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</si>
  <si>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</si>
  <si>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</si>
  <si>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</si>
  <si>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</si>
  <si>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</si>
  <si>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</si>
  <si>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</si>
  <si>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</si>
  <si>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</si>
  <si>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</si>
  <si>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</si>
  <si>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</si>
  <si>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</si>
  <si>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</si>
  <si>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</si>
  <si>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</si>
  <si>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</si>
  <si>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</si>
  <si>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</si>
  <si>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</si>
  <si>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</si>
  <si>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</si>
  <si>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</si>
  <si>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Taiwan, China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</si>
  <si>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</si>
  <si>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</si>
  <si>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</si>
  <si>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</si>
  <si>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</si>
  <si>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</si>
  <si>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</si>
  <si>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</si>
  <si>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</si>
  <si>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</si>
  <si>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</si>
  <si>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</si>
  <si>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</si>
  <si>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</si>
  <si>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</si>
  <si>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</si>
  <si>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</si>
  <si>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</si>
  <si>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</si>
  <si>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Venezuela, RB</t>
  </si>
  <si>
    <t>Viet Nam</t>
  </si>
  <si>
    <t>West Bank and Gaza</t>
  </si>
  <si>
    <t>Yemen, Rep.</t>
  </si>
  <si>
    <t>Zambia</t>
  </si>
  <si>
    <t>Zimbabwe</t>
  </si>
  <si>
    <t>--</t>
  </si>
  <si>
    <t>1.1k</t>
  </si>
  <si>
    <t>1.2k</t>
  </si>
  <si>
    <t>1.3k</t>
  </si>
  <si>
    <t>1.5k</t>
  </si>
  <si>
    <t>1.6k</t>
  </si>
  <si>
    <t>1.4k</t>
  </si>
  <si>
    <t>1.7k</t>
  </si>
  <si>
    <t>4.0k</t>
  </si>
  <si>
    <t>4.4k</t>
  </si>
  <si>
    <t>4.7k</t>
  </si>
  <si>
    <t>5.0k</t>
  </si>
  <si>
    <t>5.4k</t>
  </si>
  <si>
    <t>4.8k</t>
  </si>
  <si>
    <t>4.9k</t>
  </si>
  <si>
    <t>87.5k</t>
  </si>
  <si>
    <t>115.7k</t>
  </si>
  <si>
    <t>149.5k</t>
  </si>
  <si>
    <t>186.1k</t>
  </si>
  <si>
    <t>228.0k</t>
  </si>
  <si>
    <t>3.8k</t>
  </si>
  <si>
    <t>4.3k</t>
  </si>
  <si>
    <t>5.1k</t>
  </si>
  <si>
    <t>2.7k</t>
  </si>
  <si>
    <t>2.8k</t>
  </si>
  <si>
    <t>2.9k</t>
  </si>
  <si>
    <t>6.1k</t>
  </si>
  <si>
    <t>6.9k</t>
  </si>
  <si>
    <t>7.5k</t>
  </si>
  <si>
    <t>8.1k</t>
  </si>
  <si>
    <t>1.0k</t>
  </si>
  <si>
    <t>1.8k</t>
  </si>
  <si>
    <t>2.0k</t>
  </si>
  <si>
    <t>2.1k</t>
  </si>
  <si>
    <t>3.1k</t>
  </si>
  <si>
    <t>3.5k</t>
  </si>
  <si>
    <t>7.1k</t>
  </si>
  <si>
    <t>7.2k</t>
  </si>
  <si>
    <t>7.3k</t>
  </si>
  <si>
    <t>7.4k</t>
  </si>
  <si>
    <t>2.6k</t>
  </si>
  <si>
    <t>16.6k</t>
  </si>
  <si>
    <t>106.5k</t>
  </si>
  <si>
    <t>639.3k</t>
  </si>
  <si>
    <t>3.6m</t>
  </si>
  <si>
    <t>Value (2023)</t>
  </si>
  <si>
    <t>Value (2024)</t>
  </si>
  <si>
    <t>Value (2025)</t>
  </si>
  <si>
    <t>Value (2026)</t>
  </si>
  <si>
    <t>Value (2027)</t>
  </si>
  <si>
    <t>c_2023</t>
  </si>
  <si>
    <t>c_2024</t>
  </si>
  <si>
    <t>c_2025</t>
  </si>
  <si>
    <t>c_2026</t>
  </si>
  <si>
    <t>c_2027</t>
  </si>
  <si>
    <t>Implied PPP conversion rate, National currency per current international dollar</t>
  </si>
  <si>
    <t>2021-2027, Domestic currency per PPP dollars</t>
  </si>
  <si>
    <t>45.9k</t>
  </si>
  <si>
    <t>64.6k</t>
  </si>
  <si>
    <t>3.2k</t>
  </si>
  <si>
    <t>7.0k</t>
  </si>
  <si>
    <t>3.0k</t>
  </si>
  <si>
    <t>2.5k</t>
  </si>
  <si>
    <t>Value (2021)</t>
  </si>
  <si>
    <t>Value (2022)</t>
  </si>
  <si>
    <t>c_2021</t>
  </si>
  <si>
    <t>c_2022</t>
  </si>
  <si>
    <t>iso3</t>
  </si>
  <si>
    <t>name for match</t>
  </si>
  <si>
    <t>Bahamas</t>
  </si>
  <si>
    <t>bolivia plurinational state of</t>
  </si>
  <si>
    <t>dem rep of the congo</t>
  </si>
  <si>
    <t>congo</t>
  </si>
  <si>
    <t>cote divoire</t>
  </si>
  <si>
    <t>egypt</t>
  </si>
  <si>
    <t>Gambia</t>
  </si>
  <si>
    <t>guineabissau</t>
  </si>
  <si>
    <t>china hong kong sar</t>
  </si>
  <si>
    <t>iran islamic republic of</t>
  </si>
  <si>
    <t>republic of korea</t>
  </si>
  <si>
    <t>kosovo under unsc res 1244</t>
  </si>
  <si>
    <t>kyrgyzstan</t>
  </si>
  <si>
    <t>lao peoples dem republic</t>
  </si>
  <si>
    <t>china macao sar</t>
  </si>
  <si>
    <t>micronesia fed states of</t>
  </si>
  <si>
    <t>republic of moldova</t>
  </si>
  <si>
    <t>Slovakia</t>
  </si>
  <si>
    <t>saint kitts and nevis</t>
  </si>
  <si>
    <t>saint lucia</t>
  </si>
  <si>
    <t>Saint Vincent and the Grenadines</t>
  </si>
  <si>
    <t>china taiwan province of china</t>
  </si>
  <si>
    <t>united republic of tanzania</t>
  </si>
  <si>
    <t>timorleste</t>
  </si>
  <si>
    <t>United States of america</t>
  </si>
  <si>
    <t>venezuela bolivarian republic of</t>
  </si>
  <si>
    <t>state of palestine</t>
  </si>
  <si>
    <t>Yemen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</si>
</sst>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4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iz\OneDrive%20-%20Emory%20University\1_Research%20proj\GEM%20Model_shared\04_Specific_Projects\25-26_SemaglutideAccess\Input%20data\for%20ref--country%20details\country_name_iso_mapping.csv" TargetMode="External"/><Relationship Id="rId1" Type="http://schemas.openxmlformats.org/officeDocument/2006/relationships/externalLinkPath" Target="file:///C:\Users\Liz\OneDrive%20-%20Emory%20University\1_Research%20proj\GEM%20Model_shared\04_Specific_Projects\25-26_SemaglutideAccess\Input%20data\for%20ref--country%20details\country_name_iso_mapping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untry_name_iso_mapping"/>
    </sheetNames>
    <sheetDataSet>
      <sheetData sheetId="0" refreshError="1">
        <row r="1">
          <cell r="A1" t="str">
            <v>location</v>
          </cell>
          <cell r="B1" t="str">
            <v>iso2</v>
          </cell>
          <cell r="C1" t="str">
            <v>iso3</v>
          </cell>
        </row>
        <row r="2">
          <cell r="A2" t="str">
            <v>afghanistan</v>
          </cell>
          <cell r="B2" t="str">
            <v>AF</v>
          </cell>
          <cell r="C2" t="str">
            <v>AFG</v>
          </cell>
        </row>
        <row r="3">
          <cell r="A3" t="str">
            <v>albania</v>
          </cell>
          <cell r="B3" t="str">
            <v>AL</v>
          </cell>
          <cell r="C3" t="str">
            <v>ALB</v>
          </cell>
        </row>
        <row r="4">
          <cell r="A4" t="str">
            <v>algeria</v>
          </cell>
          <cell r="B4" t="str">
            <v>DZ</v>
          </cell>
          <cell r="C4" t="str">
            <v>DZA</v>
          </cell>
        </row>
        <row r="5">
          <cell r="A5" t="str">
            <v>american samoa</v>
          </cell>
          <cell r="B5" t="str">
            <v>AS</v>
          </cell>
          <cell r="C5" t="str">
            <v>ASM</v>
          </cell>
        </row>
        <row r="6">
          <cell r="A6" t="str">
            <v>andorra</v>
          </cell>
          <cell r="B6" t="str">
            <v>AD</v>
          </cell>
          <cell r="C6" t="str">
            <v>AND</v>
          </cell>
        </row>
        <row r="7">
          <cell r="A7" t="str">
            <v>angola</v>
          </cell>
          <cell r="B7" t="str">
            <v>AO</v>
          </cell>
          <cell r="C7" t="str">
            <v>AGO</v>
          </cell>
        </row>
        <row r="8">
          <cell r="A8" t="str">
            <v>antigua and barbuda</v>
          </cell>
          <cell r="B8" t="str">
            <v>AG</v>
          </cell>
          <cell r="C8" t="str">
            <v>ATG</v>
          </cell>
        </row>
        <row r="9">
          <cell r="A9" t="str">
            <v>azerbaijan</v>
          </cell>
          <cell r="B9" t="str">
            <v>AZ</v>
          </cell>
          <cell r="C9" t="str">
            <v>AZE</v>
          </cell>
        </row>
        <row r="10">
          <cell r="A10" t="str">
            <v>argentina</v>
          </cell>
          <cell r="B10" t="str">
            <v>AR</v>
          </cell>
          <cell r="C10" t="str">
            <v>ARG</v>
          </cell>
        </row>
        <row r="11">
          <cell r="A11" t="str">
            <v>australia</v>
          </cell>
          <cell r="B11" t="str">
            <v>AU</v>
          </cell>
          <cell r="C11" t="str">
            <v>AUS</v>
          </cell>
        </row>
        <row r="12">
          <cell r="A12" t="str">
            <v>austria</v>
          </cell>
          <cell r="B12" t="str">
            <v>AT</v>
          </cell>
          <cell r="C12" t="str">
            <v>AUT</v>
          </cell>
        </row>
        <row r="13">
          <cell r="A13" t="str">
            <v>bahamas</v>
          </cell>
          <cell r="B13" t="str">
            <v>BS</v>
          </cell>
          <cell r="C13" t="str">
            <v>BHS</v>
          </cell>
        </row>
        <row r="14">
          <cell r="A14" t="str">
            <v>bahrain</v>
          </cell>
          <cell r="B14" t="str">
            <v>BH</v>
          </cell>
          <cell r="C14" t="str">
            <v>BHR</v>
          </cell>
        </row>
        <row r="15">
          <cell r="A15" t="str">
            <v>bangladesh</v>
          </cell>
          <cell r="B15" t="str">
            <v>BD</v>
          </cell>
          <cell r="C15" t="str">
            <v>BGD</v>
          </cell>
        </row>
        <row r="16">
          <cell r="A16" t="str">
            <v>armenia</v>
          </cell>
          <cell r="B16" t="str">
            <v>AM</v>
          </cell>
          <cell r="C16" t="str">
            <v>ARM</v>
          </cell>
        </row>
        <row r="17">
          <cell r="A17" t="str">
            <v>barbados</v>
          </cell>
          <cell r="B17" t="str">
            <v>BB</v>
          </cell>
          <cell r="C17" t="str">
            <v>BRB</v>
          </cell>
        </row>
        <row r="18">
          <cell r="A18" t="str">
            <v>belgium</v>
          </cell>
          <cell r="B18" t="str">
            <v>BE</v>
          </cell>
          <cell r="C18" t="str">
            <v>BEL</v>
          </cell>
        </row>
        <row r="19">
          <cell r="A19" t="str">
            <v>bermuda</v>
          </cell>
          <cell r="B19" t="str">
            <v>BM</v>
          </cell>
          <cell r="C19" t="str">
            <v>BMU</v>
          </cell>
        </row>
        <row r="20">
          <cell r="A20" t="str">
            <v>bhutan</v>
          </cell>
          <cell r="B20" t="str">
            <v>BT</v>
          </cell>
          <cell r="C20" t="str">
            <v>BTN</v>
          </cell>
        </row>
        <row r="21">
          <cell r="A21" t="str">
            <v>bolivia plurinational state of</v>
          </cell>
          <cell r="B21" t="str">
            <v>BO</v>
          </cell>
          <cell r="C21" t="str">
            <v>BOL</v>
          </cell>
        </row>
        <row r="22">
          <cell r="A22" t="str">
            <v>bosnia and herzegovina</v>
          </cell>
          <cell r="B22" t="str">
            <v>BA</v>
          </cell>
          <cell r="C22" t="str">
            <v>BIH</v>
          </cell>
        </row>
        <row r="23">
          <cell r="A23" t="str">
            <v>botswana</v>
          </cell>
          <cell r="B23" t="str">
            <v>BW</v>
          </cell>
          <cell r="C23" t="str">
            <v>BWA</v>
          </cell>
        </row>
        <row r="24">
          <cell r="A24" t="str">
            <v>brazil</v>
          </cell>
          <cell r="B24" t="str">
            <v>BR</v>
          </cell>
          <cell r="C24" t="str">
            <v>BRA</v>
          </cell>
        </row>
        <row r="25">
          <cell r="A25" t="str">
            <v>belize</v>
          </cell>
          <cell r="B25" t="str">
            <v>BZ</v>
          </cell>
          <cell r="C25" t="str">
            <v>BLZ</v>
          </cell>
        </row>
        <row r="26">
          <cell r="A26" t="str">
            <v>solomon islands</v>
          </cell>
          <cell r="B26" t="str">
            <v>SB</v>
          </cell>
          <cell r="C26" t="str">
            <v>SLB</v>
          </cell>
        </row>
        <row r="27">
          <cell r="A27" t="str">
            <v>british virgin islands</v>
          </cell>
          <cell r="B27" t="str">
            <v>VG</v>
          </cell>
          <cell r="C27" t="str">
            <v>VGB</v>
          </cell>
        </row>
        <row r="28">
          <cell r="A28" t="str">
            <v>brunei darussalam</v>
          </cell>
          <cell r="B28" t="str">
            <v>BN</v>
          </cell>
          <cell r="C28" t="str">
            <v>BRN</v>
          </cell>
        </row>
        <row r="29">
          <cell r="A29" t="str">
            <v>bulgaria</v>
          </cell>
          <cell r="B29" t="str">
            <v>BG</v>
          </cell>
          <cell r="C29" t="str">
            <v>BGR</v>
          </cell>
        </row>
        <row r="30">
          <cell r="A30" t="str">
            <v>myanmar</v>
          </cell>
          <cell r="B30" t="str">
            <v>MM</v>
          </cell>
          <cell r="C30" t="str">
            <v>MMR</v>
          </cell>
        </row>
        <row r="31">
          <cell r="A31" t="str">
            <v>burundi</v>
          </cell>
          <cell r="B31" t="str">
            <v>BI</v>
          </cell>
          <cell r="C31" t="str">
            <v>BDI</v>
          </cell>
        </row>
        <row r="32">
          <cell r="A32" t="str">
            <v>belarus</v>
          </cell>
          <cell r="B32" t="str">
            <v>BY</v>
          </cell>
          <cell r="C32" t="str">
            <v>BLR</v>
          </cell>
        </row>
        <row r="33">
          <cell r="A33" t="str">
            <v>cambodia</v>
          </cell>
          <cell r="B33" t="str">
            <v>KH</v>
          </cell>
          <cell r="C33" t="str">
            <v>KHM</v>
          </cell>
        </row>
        <row r="34">
          <cell r="A34" t="str">
            <v>cameroon</v>
          </cell>
          <cell r="B34" t="str">
            <v>CM</v>
          </cell>
          <cell r="C34" t="str">
            <v>CMR</v>
          </cell>
        </row>
        <row r="35">
          <cell r="A35" t="str">
            <v>canada</v>
          </cell>
          <cell r="B35" t="str">
            <v>CA</v>
          </cell>
          <cell r="C35" t="str">
            <v>CAN</v>
          </cell>
        </row>
        <row r="36">
          <cell r="A36" t="str">
            <v>cabo verde</v>
          </cell>
          <cell r="B36" t="str">
            <v>CV</v>
          </cell>
          <cell r="C36" t="str">
            <v>CPV</v>
          </cell>
        </row>
        <row r="37">
          <cell r="A37" t="str">
            <v>cayman islands</v>
          </cell>
          <cell r="B37" t="str">
            <v>KY</v>
          </cell>
          <cell r="C37" t="str">
            <v>CYM</v>
          </cell>
        </row>
        <row r="38">
          <cell r="A38" t="str">
            <v>central african republic</v>
          </cell>
          <cell r="B38" t="str">
            <v>CF</v>
          </cell>
          <cell r="C38" t="str">
            <v>CAF</v>
          </cell>
        </row>
        <row r="39">
          <cell r="A39" t="str">
            <v>sri lanka</v>
          </cell>
          <cell r="B39" t="str">
            <v>LK</v>
          </cell>
          <cell r="C39" t="str">
            <v>LKA</v>
          </cell>
        </row>
        <row r="40">
          <cell r="A40" t="str">
            <v>chad</v>
          </cell>
          <cell r="B40" t="str">
            <v>TD</v>
          </cell>
          <cell r="C40" t="str">
            <v>TCD</v>
          </cell>
        </row>
        <row r="41">
          <cell r="A41" t="str">
            <v>chile</v>
          </cell>
          <cell r="B41" t="str">
            <v>CL</v>
          </cell>
          <cell r="C41" t="str">
            <v>CHL</v>
          </cell>
        </row>
        <row r="42">
          <cell r="A42" t="str">
            <v>china</v>
          </cell>
          <cell r="B42" t="str">
            <v>CN</v>
          </cell>
          <cell r="C42" t="str">
            <v>CHN</v>
          </cell>
        </row>
        <row r="43">
          <cell r="A43" t="str">
            <v>china taiwan province of china</v>
          </cell>
          <cell r="B43" t="str">
            <v>TW</v>
          </cell>
          <cell r="C43" t="str">
            <v>TWN</v>
          </cell>
        </row>
        <row r="44">
          <cell r="A44" t="str">
            <v>colombia</v>
          </cell>
          <cell r="B44" t="str">
            <v>CO</v>
          </cell>
          <cell r="C44" t="str">
            <v>COL</v>
          </cell>
        </row>
        <row r="45">
          <cell r="A45" t="str">
            <v>comoros</v>
          </cell>
          <cell r="B45" t="str">
            <v>KM</v>
          </cell>
          <cell r="C45" t="str">
            <v>COM</v>
          </cell>
        </row>
        <row r="46">
          <cell r="A46" t="str">
            <v>mayotte</v>
          </cell>
          <cell r="B46" t="str">
            <v>YT</v>
          </cell>
          <cell r="C46" t="str">
            <v>MYT</v>
          </cell>
        </row>
        <row r="47">
          <cell r="A47" t="str">
            <v>congo</v>
          </cell>
          <cell r="B47" t="str">
            <v>CG</v>
          </cell>
          <cell r="C47" t="str">
            <v>COG</v>
          </cell>
        </row>
        <row r="48">
          <cell r="A48" t="str">
            <v>dem rep of the congo</v>
          </cell>
          <cell r="B48" t="str">
            <v>CD</v>
          </cell>
          <cell r="C48" t="str">
            <v>COD</v>
          </cell>
        </row>
        <row r="49">
          <cell r="A49" t="str">
            <v>cook islands</v>
          </cell>
          <cell r="B49" t="str">
            <v>CK</v>
          </cell>
          <cell r="C49" t="str">
            <v>COK</v>
          </cell>
        </row>
        <row r="50">
          <cell r="A50" t="str">
            <v>costa rica</v>
          </cell>
          <cell r="B50" t="str">
            <v>CR</v>
          </cell>
          <cell r="C50" t="str">
            <v>CRI</v>
          </cell>
        </row>
        <row r="51">
          <cell r="A51" t="str">
            <v>croatia</v>
          </cell>
          <cell r="B51" t="str">
            <v>HR</v>
          </cell>
          <cell r="C51" t="str">
            <v>HRV</v>
          </cell>
        </row>
        <row r="52">
          <cell r="A52" t="str">
            <v>cuba</v>
          </cell>
          <cell r="B52" t="str">
            <v>CU</v>
          </cell>
          <cell r="C52" t="str">
            <v>CUB</v>
          </cell>
        </row>
        <row r="53">
          <cell r="A53" t="str">
            <v>cyprus</v>
          </cell>
          <cell r="B53" t="str">
            <v>CY</v>
          </cell>
          <cell r="C53" t="str">
            <v>CYP</v>
          </cell>
        </row>
        <row r="54">
          <cell r="A54" t="str">
            <v>czechia</v>
          </cell>
          <cell r="B54" t="str">
            <v>CZ</v>
          </cell>
          <cell r="C54" t="str">
            <v>CZE</v>
          </cell>
        </row>
        <row r="55">
          <cell r="A55" t="str">
            <v>benin</v>
          </cell>
          <cell r="B55" t="str">
            <v>BJ</v>
          </cell>
          <cell r="C55" t="str">
            <v>BEN</v>
          </cell>
        </row>
        <row r="56">
          <cell r="A56" t="str">
            <v>denmark</v>
          </cell>
          <cell r="B56" t="str">
            <v>DK</v>
          </cell>
          <cell r="C56" t="str">
            <v>DNK</v>
          </cell>
        </row>
        <row r="57">
          <cell r="A57" t="str">
            <v>dominica</v>
          </cell>
          <cell r="B57" t="str">
            <v>DM</v>
          </cell>
          <cell r="C57" t="str">
            <v>DMA</v>
          </cell>
        </row>
        <row r="58">
          <cell r="A58" t="str">
            <v>dominican republic</v>
          </cell>
          <cell r="B58" t="str">
            <v>DO</v>
          </cell>
          <cell r="C58" t="str">
            <v>DOM</v>
          </cell>
        </row>
        <row r="59">
          <cell r="A59" t="str">
            <v>ecuador</v>
          </cell>
          <cell r="B59" t="str">
            <v>EC</v>
          </cell>
          <cell r="C59" t="str">
            <v>ECU</v>
          </cell>
        </row>
        <row r="60">
          <cell r="A60" t="str">
            <v>el salvador</v>
          </cell>
          <cell r="B60" t="str">
            <v>SV</v>
          </cell>
          <cell r="C60" t="str">
            <v>SLV</v>
          </cell>
        </row>
        <row r="61">
          <cell r="A61" t="str">
            <v>equatorial guinea</v>
          </cell>
          <cell r="B61" t="str">
            <v>GQ</v>
          </cell>
          <cell r="C61" t="str">
            <v>GNQ</v>
          </cell>
        </row>
        <row r="62">
          <cell r="A62" t="str">
            <v>ethiopia</v>
          </cell>
          <cell r="B62" t="str">
            <v>ET</v>
          </cell>
          <cell r="C62" t="str">
            <v>ETH</v>
          </cell>
        </row>
        <row r="63">
          <cell r="A63" t="str">
            <v>eritrea</v>
          </cell>
          <cell r="B63" t="str">
            <v>ER</v>
          </cell>
          <cell r="C63" t="str">
            <v>ERI</v>
          </cell>
        </row>
        <row r="64">
          <cell r="A64" t="str">
            <v>estonia</v>
          </cell>
          <cell r="B64" t="str">
            <v>EE</v>
          </cell>
          <cell r="C64" t="str">
            <v>EST</v>
          </cell>
        </row>
        <row r="65">
          <cell r="A65" t="str">
            <v>faroe islands</v>
          </cell>
          <cell r="B65" t="str">
            <v>FO</v>
          </cell>
          <cell r="C65" t="str">
            <v>FRO</v>
          </cell>
        </row>
        <row r="66">
          <cell r="A66" t="str">
            <v>falkland islands malvinas</v>
          </cell>
          <cell r="B66" t="str">
            <v>FK</v>
          </cell>
          <cell r="C66" t="str">
            <v>FLK</v>
          </cell>
        </row>
        <row r="67">
          <cell r="A67" t="str">
            <v>fiji</v>
          </cell>
          <cell r="B67" t="str">
            <v>FJ</v>
          </cell>
          <cell r="C67" t="str">
            <v>FJI</v>
          </cell>
        </row>
        <row r="68">
          <cell r="A68" t="str">
            <v>finland</v>
          </cell>
          <cell r="B68" t="str">
            <v>FI</v>
          </cell>
          <cell r="C68" t="str">
            <v>FIN</v>
          </cell>
        </row>
        <row r="69">
          <cell r="A69" t="str">
            <v>france</v>
          </cell>
          <cell r="B69" t="str">
            <v>FR</v>
          </cell>
          <cell r="C69" t="str">
            <v>FRA</v>
          </cell>
        </row>
        <row r="70">
          <cell r="A70" t="str">
            <v>french guiana</v>
          </cell>
          <cell r="B70" t="str">
            <v>GF</v>
          </cell>
          <cell r="C70" t="str">
            <v>GUF</v>
          </cell>
        </row>
        <row r="71">
          <cell r="A71" t="str">
            <v>french polynesia</v>
          </cell>
          <cell r="B71" t="str">
            <v>PF</v>
          </cell>
          <cell r="C71" t="str">
            <v>PYF</v>
          </cell>
        </row>
        <row r="72">
          <cell r="A72" t="str">
            <v>djibouti</v>
          </cell>
          <cell r="B72" t="str">
            <v>DJ</v>
          </cell>
          <cell r="C72" t="str">
            <v>DJI</v>
          </cell>
        </row>
        <row r="73">
          <cell r="A73" t="str">
            <v>gabon</v>
          </cell>
          <cell r="B73" t="str">
            <v>GA</v>
          </cell>
          <cell r="C73" t="str">
            <v>GAB</v>
          </cell>
        </row>
        <row r="74">
          <cell r="A74" t="str">
            <v>georgia</v>
          </cell>
          <cell r="B74" t="str">
            <v>GE</v>
          </cell>
          <cell r="C74" t="str">
            <v>GEO</v>
          </cell>
        </row>
        <row r="75">
          <cell r="A75" t="str">
            <v>gambia</v>
          </cell>
          <cell r="B75" t="str">
            <v>GM</v>
          </cell>
          <cell r="C75" t="str">
            <v>GMB</v>
          </cell>
        </row>
        <row r="76">
          <cell r="A76" t="str">
            <v>state of palestine</v>
          </cell>
          <cell r="B76" t="str">
            <v>PS</v>
          </cell>
          <cell r="C76" t="str">
            <v>PSE</v>
          </cell>
        </row>
        <row r="77">
          <cell r="A77" t="str">
            <v>germany</v>
          </cell>
          <cell r="B77" t="str">
            <v>DE</v>
          </cell>
          <cell r="C77" t="str">
            <v>DEU</v>
          </cell>
        </row>
        <row r="78">
          <cell r="A78" t="str">
            <v>ghana</v>
          </cell>
          <cell r="B78" t="str">
            <v>GH</v>
          </cell>
          <cell r="C78" t="str">
            <v>GHA</v>
          </cell>
        </row>
        <row r="79">
          <cell r="A79" t="str">
            <v>gibraltar</v>
          </cell>
          <cell r="B79" t="str">
            <v>GI</v>
          </cell>
          <cell r="C79" t="str">
            <v>GIB</v>
          </cell>
        </row>
        <row r="80">
          <cell r="A80" t="str">
            <v>kiribati</v>
          </cell>
          <cell r="B80" t="str">
            <v>KI</v>
          </cell>
          <cell r="C80" t="str">
            <v>KIR</v>
          </cell>
        </row>
        <row r="81">
          <cell r="A81" t="str">
            <v>greece</v>
          </cell>
          <cell r="B81" t="str">
            <v>GR</v>
          </cell>
          <cell r="C81" t="str">
            <v>GRC</v>
          </cell>
        </row>
        <row r="82">
          <cell r="A82" t="str">
            <v>greenland</v>
          </cell>
          <cell r="B82" t="str">
            <v>GL</v>
          </cell>
          <cell r="C82" t="str">
            <v>GRL</v>
          </cell>
        </row>
        <row r="83">
          <cell r="A83" t="str">
            <v>grenada</v>
          </cell>
          <cell r="B83" t="str">
            <v>GD</v>
          </cell>
          <cell r="C83" t="str">
            <v>GRD</v>
          </cell>
        </row>
        <row r="84">
          <cell r="A84" t="str">
            <v>guadeloupe</v>
          </cell>
          <cell r="B84" t="str">
            <v>GP</v>
          </cell>
          <cell r="C84" t="str">
            <v>GLP</v>
          </cell>
        </row>
        <row r="85">
          <cell r="A85" t="str">
            <v>guam</v>
          </cell>
          <cell r="B85" t="str">
            <v>GU</v>
          </cell>
          <cell r="C85" t="str">
            <v>GUM</v>
          </cell>
        </row>
        <row r="86">
          <cell r="A86" t="str">
            <v>guatemala</v>
          </cell>
          <cell r="B86" t="str">
            <v>GT</v>
          </cell>
          <cell r="C86" t="str">
            <v>GTM</v>
          </cell>
        </row>
        <row r="87">
          <cell r="A87" t="str">
            <v>guinea</v>
          </cell>
          <cell r="B87" t="str">
            <v>GN</v>
          </cell>
          <cell r="C87" t="str">
            <v>GIN</v>
          </cell>
        </row>
        <row r="88">
          <cell r="A88" t="str">
            <v>guyana</v>
          </cell>
          <cell r="B88" t="str">
            <v>GY</v>
          </cell>
          <cell r="C88" t="str">
            <v>GUY</v>
          </cell>
        </row>
        <row r="89">
          <cell r="A89" t="str">
            <v>haiti</v>
          </cell>
          <cell r="B89" t="str">
            <v>HT</v>
          </cell>
          <cell r="C89" t="str">
            <v>HTI</v>
          </cell>
        </row>
        <row r="90">
          <cell r="A90" t="str">
            <v>honduras</v>
          </cell>
          <cell r="B90" t="str">
            <v>HN</v>
          </cell>
          <cell r="C90" t="str">
            <v>HND</v>
          </cell>
        </row>
        <row r="91">
          <cell r="A91" t="str">
            <v>china hong kong sar</v>
          </cell>
          <cell r="B91" t="str">
            <v>HK</v>
          </cell>
          <cell r="C91" t="str">
            <v>HKG</v>
          </cell>
        </row>
        <row r="92">
          <cell r="A92" t="str">
            <v>hungary</v>
          </cell>
          <cell r="B92" t="str">
            <v>HU</v>
          </cell>
          <cell r="C92" t="str">
            <v>HUN</v>
          </cell>
        </row>
        <row r="93">
          <cell r="A93" t="str">
            <v>iceland</v>
          </cell>
          <cell r="B93" t="str">
            <v>IS</v>
          </cell>
          <cell r="C93" t="str">
            <v>ISL</v>
          </cell>
        </row>
        <row r="94">
          <cell r="A94" t="str">
            <v>india</v>
          </cell>
          <cell r="B94" t="str">
            <v>IN</v>
          </cell>
          <cell r="C94" t="str">
            <v>IND</v>
          </cell>
        </row>
        <row r="95">
          <cell r="A95" t="str">
            <v>indonesia</v>
          </cell>
          <cell r="B95" t="str">
            <v>ID</v>
          </cell>
          <cell r="C95" t="str">
            <v>IDN</v>
          </cell>
        </row>
        <row r="96">
          <cell r="A96" t="str">
            <v>iran islamic republic of</v>
          </cell>
          <cell r="B96" t="str">
            <v>IR</v>
          </cell>
          <cell r="C96" t="str">
            <v>IRN</v>
          </cell>
        </row>
        <row r="97">
          <cell r="A97" t="str">
            <v>iraq</v>
          </cell>
          <cell r="B97" t="str">
            <v>IQ</v>
          </cell>
          <cell r="C97" t="str">
            <v>IRQ</v>
          </cell>
        </row>
        <row r="98">
          <cell r="A98" t="str">
            <v>ireland</v>
          </cell>
          <cell r="B98" t="str">
            <v>IE</v>
          </cell>
          <cell r="C98" t="str">
            <v>IRL</v>
          </cell>
        </row>
        <row r="99">
          <cell r="A99" t="str">
            <v>israel</v>
          </cell>
          <cell r="B99" t="str">
            <v>IL</v>
          </cell>
          <cell r="C99" t="str">
            <v>ISR</v>
          </cell>
        </row>
        <row r="100">
          <cell r="A100" t="str">
            <v>italy</v>
          </cell>
          <cell r="B100" t="str">
            <v>IT</v>
          </cell>
          <cell r="C100" t="str">
            <v>ITA</v>
          </cell>
        </row>
        <row r="101">
          <cell r="A101" t="str">
            <v>cote divoire</v>
          </cell>
          <cell r="B101" t="str">
            <v>CI</v>
          </cell>
          <cell r="C101" t="str">
            <v>CIV</v>
          </cell>
        </row>
        <row r="102">
          <cell r="A102" t="str">
            <v>jamaica</v>
          </cell>
          <cell r="B102" t="str">
            <v>JM</v>
          </cell>
          <cell r="C102" t="str">
            <v>JAM</v>
          </cell>
        </row>
        <row r="103">
          <cell r="A103" t="str">
            <v>japan</v>
          </cell>
          <cell r="B103" t="str">
            <v>JP</v>
          </cell>
          <cell r="C103" t="str">
            <v>JPN</v>
          </cell>
        </row>
        <row r="104">
          <cell r="A104" t="str">
            <v>kazakhstan</v>
          </cell>
          <cell r="B104" t="str">
            <v>KZ</v>
          </cell>
          <cell r="C104" t="str">
            <v>KAZ</v>
          </cell>
        </row>
        <row r="105">
          <cell r="A105" t="str">
            <v>jordan</v>
          </cell>
          <cell r="B105" t="str">
            <v>JO</v>
          </cell>
          <cell r="C105" t="str">
            <v>JOR</v>
          </cell>
        </row>
        <row r="106">
          <cell r="A106" t="str">
            <v>kenya</v>
          </cell>
          <cell r="B106" t="str">
            <v>KE</v>
          </cell>
          <cell r="C106" t="str">
            <v>KEN</v>
          </cell>
        </row>
        <row r="107">
          <cell r="A107" t="str">
            <v>dem peoples rep of korea</v>
          </cell>
          <cell r="B107" t="str">
            <v>KP</v>
          </cell>
          <cell r="C107" t="str">
            <v>PRK</v>
          </cell>
        </row>
        <row r="108">
          <cell r="A108" t="str">
            <v>republic of korea</v>
          </cell>
          <cell r="B108" t="str">
            <v>KR</v>
          </cell>
          <cell r="C108" t="str">
            <v>KOR</v>
          </cell>
        </row>
        <row r="109">
          <cell r="A109" t="str">
            <v>kosovo under unsc res 1244</v>
          </cell>
          <cell r="B109" t="str">
            <v>XK</v>
          </cell>
          <cell r="C109" t="str">
            <v>XKX</v>
          </cell>
        </row>
        <row r="110">
          <cell r="A110" t="str">
            <v>kuwait</v>
          </cell>
          <cell r="B110" t="str">
            <v>KW</v>
          </cell>
          <cell r="C110" t="str">
            <v>KWT</v>
          </cell>
        </row>
        <row r="111">
          <cell r="A111" t="str">
            <v>kyrgyzstan</v>
          </cell>
          <cell r="B111" t="str">
            <v>KG</v>
          </cell>
          <cell r="C111" t="str">
            <v>KGZ</v>
          </cell>
        </row>
        <row r="112">
          <cell r="A112" t="str">
            <v>lao peoples dem republic</v>
          </cell>
          <cell r="B112" t="str">
            <v>LA</v>
          </cell>
          <cell r="C112" t="str">
            <v>LAO</v>
          </cell>
        </row>
        <row r="113">
          <cell r="A113" t="str">
            <v>lebanon</v>
          </cell>
          <cell r="B113" t="str">
            <v>LB</v>
          </cell>
          <cell r="C113" t="str">
            <v>LBN</v>
          </cell>
        </row>
        <row r="114">
          <cell r="A114" t="str">
            <v>lesotho</v>
          </cell>
          <cell r="B114" t="str">
            <v>LS</v>
          </cell>
          <cell r="C114" t="str">
            <v>LSO</v>
          </cell>
        </row>
        <row r="115">
          <cell r="A115" t="str">
            <v>latvia</v>
          </cell>
          <cell r="B115" t="str">
            <v>LV</v>
          </cell>
          <cell r="C115" t="str">
            <v>LVA</v>
          </cell>
        </row>
        <row r="116">
          <cell r="A116" t="str">
            <v>liberia</v>
          </cell>
          <cell r="B116" t="str">
            <v>LR</v>
          </cell>
          <cell r="C116" t="str">
            <v>LBR</v>
          </cell>
        </row>
        <row r="117">
          <cell r="A117" t="str">
            <v>libya</v>
          </cell>
          <cell r="B117" t="str">
            <v>LY</v>
          </cell>
          <cell r="C117" t="str">
            <v>LBY</v>
          </cell>
        </row>
        <row r="118">
          <cell r="A118" t="str">
            <v>liechtenstein</v>
          </cell>
          <cell r="B118" t="str">
            <v>LI</v>
          </cell>
          <cell r="C118" t="str">
            <v>LIE</v>
          </cell>
        </row>
        <row r="119">
          <cell r="A119" t="str">
            <v>lithuania</v>
          </cell>
          <cell r="B119" t="str">
            <v>LT</v>
          </cell>
          <cell r="C119" t="str">
            <v>LTU</v>
          </cell>
        </row>
        <row r="120">
          <cell r="A120" t="str">
            <v>luxembourg</v>
          </cell>
          <cell r="B120" t="str">
            <v>LU</v>
          </cell>
          <cell r="C120" t="str">
            <v>LUX</v>
          </cell>
        </row>
        <row r="121">
          <cell r="A121" t="str">
            <v>china macao sar</v>
          </cell>
          <cell r="B121" t="str">
            <v>MO</v>
          </cell>
          <cell r="C121" t="str">
            <v>MAC</v>
          </cell>
        </row>
        <row r="122">
          <cell r="A122" t="str">
            <v>madagascar</v>
          </cell>
          <cell r="B122" t="str">
            <v>MG</v>
          </cell>
          <cell r="C122" t="str">
            <v>MDG</v>
          </cell>
        </row>
        <row r="123">
          <cell r="A123" t="str">
            <v>malawi</v>
          </cell>
          <cell r="B123" t="str">
            <v>MW</v>
          </cell>
          <cell r="C123" t="str">
            <v>MWI</v>
          </cell>
        </row>
        <row r="124">
          <cell r="A124" t="str">
            <v>malaysia</v>
          </cell>
          <cell r="B124" t="str">
            <v>MY</v>
          </cell>
          <cell r="C124" t="str">
            <v>MYS</v>
          </cell>
        </row>
        <row r="125">
          <cell r="A125" t="str">
            <v>maldives</v>
          </cell>
          <cell r="B125" t="str">
            <v>MV</v>
          </cell>
          <cell r="C125" t="str">
            <v>MDV</v>
          </cell>
        </row>
        <row r="126">
          <cell r="A126" t="str">
            <v>mali</v>
          </cell>
          <cell r="B126" t="str">
            <v>ML</v>
          </cell>
          <cell r="C126" t="str">
            <v>MLI</v>
          </cell>
        </row>
        <row r="127">
          <cell r="A127" t="str">
            <v>malta</v>
          </cell>
          <cell r="B127" t="str">
            <v>MT</v>
          </cell>
          <cell r="C127" t="str">
            <v>MLT</v>
          </cell>
        </row>
        <row r="128">
          <cell r="A128" t="str">
            <v>martinique</v>
          </cell>
          <cell r="B128" t="str">
            <v>MQ</v>
          </cell>
          <cell r="C128" t="str">
            <v>MTQ</v>
          </cell>
        </row>
        <row r="129">
          <cell r="A129" t="str">
            <v>mauritania</v>
          </cell>
          <cell r="B129" t="str">
            <v>MR</v>
          </cell>
          <cell r="C129" t="str">
            <v>MRT</v>
          </cell>
        </row>
        <row r="130">
          <cell r="A130" t="str">
            <v>mauritius</v>
          </cell>
          <cell r="B130" t="str">
            <v>MU</v>
          </cell>
          <cell r="C130" t="str">
            <v>MUS</v>
          </cell>
        </row>
        <row r="131">
          <cell r="A131" t="str">
            <v>mexico</v>
          </cell>
          <cell r="B131" t="str">
            <v>MX</v>
          </cell>
          <cell r="C131" t="str">
            <v>MEX</v>
          </cell>
        </row>
        <row r="132">
          <cell r="A132" t="str">
            <v>monaco</v>
          </cell>
          <cell r="B132" t="str">
            <v>MC</v>
          </cell>
          <cell r="C132" t="str">
            <v>MCO</v>
          </cell>
        </row>
        <row r="133">
          <cell r="A133" t="str">
            <v>mongolia</v>
          </cell>
          <cell r="B133" t="str">
            <v>MN</v>
          </cell>
          <cell r="C133" t="str">
            <v>MNG</v>
          </cell>
        </row>
        <row r="134">
          <cell r="A134" t="str">
            <v>republic of moldova</v>
          </cell>
          <cell r="B134" t="str">
            <v>MD</v>
          </cell>
          <cell r="C134" t="str">
            <v>MDA</v>
          </cell>
        </row>
        <row r="135">
          <cell r="A135" t="str">
            <v>montenegro</v>
          </cell>
          <cell r="B135" t="str">
            <v>ME</v>
          </cell>
          <cell r="C135" t="str">
            <v>MNE</v>
          </cell>
        </row>
        <row r="136">
          <cell r="A136" t="str">
            <v>montserrat</v>
          </cell>
          <cell r="B136" t="str">
            <v>MS</v>
          </cell>
          <cell r="C136" t="str">
            <v>MSR</v>
          </cell>
        </row>
        <row r="137">
          <cell r="A137" t="str">
            <v>morocco</v>
          </cell>
          <cell r="B137" t="str">
            <v>MA</v>
          </cell>
          <cell r="C137" t="str">
            <v>MAR</v>
          </cell>
        </row>
        <row r="138">
          <cell r="A138" t="str">
            <v>mozambique</v>
          </cell>
          <cell r="B138" t="str">
            <v>MZ</v>
          </cell>
          <cell r="C138" t="str">
            <v>MOZ</v>
          </cell>
        </row>
        <row r="139">
          <cell r="A139" t="str">
            <v>oman</v>
          </cell>
          <cell r="B139" t="str">
            <v>OM</v>
          </cell>
          <cell r="C139" t="str">
            <v>OMN</v>
          </cell>
        </row>
        <row r="140">
          <cell r="A140" t="str">
            <v>namibia</v>
          </cell>
          <cell r="B140" t="str">
            <v>NA</v>
          </cell>
          <cell r="C140" t="str">
            <v>NAM</v>
          </cell>
        </row>
        <row r="141">
          <cell r="A141" t="str">
            <v>nauru</v>
          </cell>
          <cell r="B141" t="str">
            <v>NR</v>
          </cell>
          <cell r="C141" t="str">
            <v>NRU</v>
          </cell>
        </row>
        <row r="142">
          <cell r="A142" t="str">
            <v>nepal</v>
          </cell>
          <cell r="B142" t="str">
            <v>NP</v>
          </cell>
          <cell r="C142" t="str">
            <v>NPL</v>
          </cell>
        </row>
        <row r="143">
          <cell r="A143" t="str">
            <v>netherlands</v>
          </cell>
          <cell r="B143" t="str">
            <v>NL</v>
          </cell>
          <cell r="C143" t="str">
            <v>NLD</v>
          </cell>
        </row>
        <row r="144">
          <cell r="A144" t="str">
            <v>curaao</v>
          </cell>
          <cell r="B144" t="str">
            <v>CW</v>
          </cell>
          <cell r="C144" t="str">
            <v>CUW</v>
          </cell>
        </row>
        <row r="145">
          <cell r="A145" t="str">
            <v>aruba</v>
          </cell>
          <cell r="B145" t="str">
            <v>AW</v>
          </cell>
          <cell r="C145" t="str">
            <v>ABW</v>
          </cell>
        </row>
        <row r="146">
          <cell r="A146" t="str">
            <v>sint maarten dutch part</v>
          </cell>
          <cell r="B146" t="str">
            <v>SX</v>
          </cell>
          <cell r="C146" t="str">
            <v>SXM</v>
          </cell>
        </row>
        <row r="147">
          <cell r="A147" t="str">
            <v>bonaire sint eustatius and saba</v>
          </cell>
          <cell r="B147" t="str">
            <v>BQ</v>
          </cell>
          <cell r="C147" t="str">
            <v>BES</v>
          </cell>
        </row>
        <row r="148">
          <cell r="A148" t="str">
            <v>new caledonia</v>
          </cell>
          <cell r="B148" t="str">
            <v>NC</v>
          </cell>
          <cell r="C148" t="str">
            <v>NCL</v>
          </cell>
        </row>
        <row r="149">
          <cell r="A149" t="str">
            <v>vanuatu</v>
          </cell>
          <cell r="B149" t="str">
            <v>VU</v>
          </cell>
          <cell r="C149" t="str">
            <v>VUT</v>
          </cell>
        </row>
        <row r="150">
          <cell r="A150" t="str">
            <v>new zealand</v>
          </cell>
          <cell r="B150" t="str">
            <v>NZ</v>
          </cell>
          <cell r="C150" t="str">
            <v>NZL</v>
          </cell>
        </row>
        <row r="151">
          <cell r="A151" t="str">
            <v>nicaragua</v>
          </cell>
          <cell r="B151" t="str">
            <v>NI</v>
          </cell>
          <cell r="C151" t="str">
            <v>NIC</v>
          </cell>
        </row>
        <row r="152">
          <cell r="A152" t="str">
            <v>niger</v>
          </cell>
          <cell r="B152" t="str">
            <v>NE</v>
          </cell>
          <cell r="C152" t="str">
            <v>NER</v>
          </cell>
        </row>
        <row r="153">
          <cell r="A153" t="str">
            <v>nigeria</v>
          </cell>
          <cell r="B153" t="str">
            <v>NG</v>
          </cell>
          <cell r="C153" t="str">
            <v>NGA</v>
          </cell>
        </row>
        <row r="154">
          <cell r="A154" t="str">
            <v>niue</v>
          </cell>
          <cell r="B154" t="str">
            <v>NU</v>
          </cell>
          <cell r="C154" t="str">
            <v>NIU</v>
          </cell>
        </row>
        <row r="155">
          <cell r="A155" t="str">
            <v>norway</v>
          </cell>
          <cell r="B155" t="str">
            <v>NO</v>
          </cell>
          <cell r="C155" t="str">
            <v>NOR</v>
          </cell>
        </row>
        <row r="156">
          <cell r="A156" t="str">
            <v>northern mariana islands</v>
          </cell>
          <cell r="B156" t="str">
            <v>MP</v>
          </cell>
          <cell r="C156" t="str">
            <v>MNP</v>
          </cell>
        </row>
        <row r="157">
          <cell r="A157" t="str">
            <v>micronesia fed states of</v>
          </cell>
          <cell r="B157" t="str">
            <v>FM</v>
          </cell>
          <cell r="C157" t="str">
            <v>FSM</v>
          </cell>
        </row>
        <row r="158">
          <cell r="A158" t="str">
            <v>marshall islands</v>
          </cell>
          <cell r="B158" t="str">
            <v>MH</v>
          </cell>
          <cell r="C158" t="str">
            <v>MHL</v>
          </cell>
        </row>
        <row r="159">
          <cell r="A159" t="str">
            <v>palau</v>
          </cell>
          <cell r="B159" t="str">
            <v>PW</v>
          </cell>
          <cell r="C159" t="str">
            <v>PLW</v>
          </cell>
        </row>
        <row r="160">
          <cell r="A160" t="str">
            <v>pakistan</v>
          </cell>
          <cell r="B160" t="str">
            <v>PK</v>
          </cell>
          <cell r="C160" t="str">
            <v>PAK</v>
          </cell>
        </row>
        <row r="161">
          <cell r="A161" t="str">
            <v>panama</v>
          </cell>
          <cell r="B161" t="str">
            <v>PA</v>
          </cell>
          <cell r="C161" t="str">
            <v>PAN</v>
          </cell>
        </row>
        <row r="162">
          <cell r="A162" t="str">
            <v>papua new guinea</v>
          </cell>
          <cell r="B162" t="str">
            <v>PG</v>
          </cell>
          <cell r="C162" t="str">
            <v>PNG</v>
          </cell>
        </row>
        <row r="163">
          <cell r="A163" t="str">
            <v>paraguay</v>
          </cell>
          <cell r="B163" t="str">
            <v>PY</v>
          </cell>
          <cell r="C163" t="str">
            <v>PRY</v>
          </cell>
        </row>
        <row r="164">
          <cell r="A164" t="str">
            <v>peru</v>
          </cell>
          <cell r="B164" t="str">
            <v>PE</v>
          </cell>
          <cell r="C164" t="str">
            <v>PER</v>
          </cell>
        </row>
        <row r="165">
          <cell r="A165" t="str">
            <v>philippines</v>
          </cell>
          <cell r="B165" t="str">
            <v>PH</v>
          </cell>
          <cell r="C165" t="str">
            <v>PHL</v>
          </cell>
        </row>
        <row r="166">
          <cell r="A166" t="str">
            <v>poland</v>
          </cell>
          <cell r="B166" t="str">
            <v>PL</v>
          </cell>
          <cell r="C166" t="str">
            <v>POL</v>
          </cell>
        </row>
        <row r="167">
          <cell r="A167" t="str">
            <v>portugal</v>
          </cell>
          <cell r="B167" t="str">
            <v>PT</v>
          </cell>
          <cell r="C167" t="str">
            <v>PRT</v>
          </cell>
        </row>
        <row r="168">
          <cell r="A168" t="str">
            <v>guineabissau</v>
          </cell>
          <cell r="B168" t="str">
            <v>GW</v>
          </cell>
          <cell r="C168" t="str">
            <v>GNB</v>
          </cell>
        </row>
        <row r="169">
          <cell r="A169" t="str">
            <v>timorleste</v>
          </cell>
          <cell r="B169" t="str">
            <v>TL</v>
          </cell>
          <cell r="C169" t="str">
            <v>TLS</v>
          </cell>
        </row>
        <row r="170">
          <cell r="A170" t="str">
            <v>puerto rico</v>
          </cell>
          <cell r="B170" t="str">
            <v>PR</v>
          </cell>
          <cell r="C170" t="str">
            <v>PRI</v>
          </cell>
        </row>
        <row r="171">
          <cell r="A171" t="str">
            <v>qatar</v>
          </cell>
          <cell r="B171" t="str">
            <v>QA</v>
          </cell>
          <cell r="C171" t="str">
            <v>QAT</v>
          </cell>
        </row>
        <row r="172">
          <cell r="A172" t="str">
            <v>runion</v>
          </cell>
          <cell r="B172" t="str">
            <v>RE</v>
          </cell>
          <cell r="C172" t="str">
            <v>REU</v>
          </cell>
        </row>
        <row r="173">
          <cell r="A173" t="str">
            <v>romania</v>
          </cell>
          <cell r="B173" t="str">
            <v>RO</v>
          </cell>
          <cell r="C173" t="str">
            <v>ROU</v>
          </cell>
        </row>
        <row r="174">
          <cell r="A174" t="str">
            <v>russian federation</v>
          </cell>
          <cell r="B174" t="str">
            <v>RU</v>
          </cell>
          <cell r="C174" t="str">
            <v>RUS</v>
          </cell>
        </row>
        <row r="175">
          <cell r="A175" t="str">
            <v>rwanda</v>
          </cell>
          <cell r="B175" t="str">
            <v>RW</v>
          </cell>
          <cell r="C175" t="str">
            <v>RWA</v>
          </cell>
        </row>
        <row r="176">
          <cell r="A176" t="str">
            <v>saint barthlemy</v>
          </cell>
          <cell r="B176" t="str">
            <v>BL</v>
          </cell>
          <cell r="C176" t="str">
            <v>BLM</v>
          </cell>
        </row>
        <row r="177">
          <cell r="A177" t="str">
            <v>saint helena</v>
          </cell>
          <cell r="B177" t="str">
            <v>SH</v>
          </cell>
          <cell r="C177" t="str">
            <v>SHN</v>
          </cell>
        </row>
        <row r="178">
          <cell r="A178" t="str">
            <v>saint kitts and nevis</v>
          </cell>
          <cell r="B178" t="str">
            <v>KN</v>
          </cell>
          <cell r="C178" t="str">
            <v>KNA</v>
          </cell>
        </row>
        <row r="179">
          <cell r="A179" t="str">
            <v>anguilla</v>
          </cell>
          <cell r="B179" t="str">
            <v>AI</v>
          </cell>
          <cell r="C179" t="str">
            <v>AIA</v>
          </cell>
        </row>
        <row r="180">
          <cell r="A180" t="str">
            <v>saint lucia</v>
          </cell>
          <cell r="B180" t="str">
            <v>LC</v>
          </cell>
          <cell r="C180" t="str">
            <v>LCA</v>
          </cell>
        </row>
        <row r="181">
          <cell r="A181" t="str">
            <v>saint martin french part</v>
          </cell>
          <cell r="B181" t="str">
            <v>MF</v>
          </cell>
          <cell r="C181" t="str">
            <v>MAF</v>
          </cell>
        </row>
        <row r="182">
          <cell r="A182" t="str">
            <v>saint pierre and miquelon</v>
          </cell>
          <cell r="B182" t="str">
            <v>PM</v>
          </cell>
          <cell r="C182" t="str">
            <v>SPM</v>
          </cell>
        </row>
        <row r="183">
          <cell r="A183" t="str">
            <v>saint vincent and the grenadines</v>
          </cell>
          <cell r="B183" t="str">
            <v>VC</v>
          </cell>
          <cell r="C183" t="str">
            <v>VCT</v>
          </cell>
        </row>
        <row r="184">
          <cell r="A184" t="str">
            <v>san marino</v>
          </cell>
          <cell r="B184" t="str">
            <v>SM</v>
          </cell>
          <cell r="C184" t="str">
            <v>SMR</v>
          </cell>
        </row>
        <row r="185">
          <cell r="A185" t="str">
            <v>sao tome and principe</v>
          </cell>
          <cell r="B185" t="str">
            <v>ST</v>
          </cell>
          <cell r="C185" t="str">
            <v>STP</v>
          </cell>
        </row>
        <row r="186">
          <cell r="A186" t="str">
            <v>saudi arabia</v>
          </cell>
          <cell r="B186" t="str">
            <v>SA</v>
          </cell>
          <cell r="C186" t="str">
            <v>SAU</v>
          </cell>
        </row>
        <row r="187">
          <cell r="A187" t="str">
            <v>senegal</v>
          </cell>
          <cell r="B187" t="str">
            <v>SN</v>
          </cell>
          <cell r="C187" t="str">
            <v>SEN</v>
          </cell>
        </row>
        <row r="188">
          <cell r="A188" t="str">
            <v>serbia</v>
          </cell>
          <cell r="B188" t="str">
            <v>RS</v>
          </cell>
          <cell r="C188" t="str">
            <v>SRB</v>
          </cell>
        </row>
        <row r="189">
          <cell r="A189" t="str">
            <v>seychelles</v>
          </cell>
          <cell r="B189" t="str">
            <v>SC</v>
          </cell>
          <cell r="C189" t="str">
            <v>SYC</v>
          </cell>
        </row>
        <row r="190">
          <cell r="A190" t="str">
            <v>sierra leone</v>
          </cell>
          <cell r="B190" t="str">
            <v>SL</v>
          </cell>
          <cell r="C190" t="str">
            <v>SLE</v>
          </cell>
        </row>
        <row r="191">
          <cell r="A191" t="str">
            <v>singapore</v>
          </cell>
          <cell r="B191" t="str">
            <v>SG</v>
          </cell>
          <cell r="C191" t="str">
            <v>SGP</v>
          </cell>
        </row>
        <row r="192">
          <cell r="A192" t="str">
            <v>slovakia</v>
          </cell>
          <cell r="B192" t="str">
            <v>SK</v>
          </cell>
          <cell r="C192" t="str">
            <v>SVK</v>
          </cell>
        </row>
        <row r="193">
          <cell r="A193" t="str">
            <v>viet nam</v>
          </cell>
          <cell r="B193" t="str">
            <v>VN</v>
          </cell>
          <cell r="C193" t="str">
            <v>VNM</v>
          </cell>
        </row>
        <row r="194">
          <cell r="A194" t="str">
            <v>slovenia</v>
          </cell>
          <cell r="B194" t="str">
            <v>SI</v>
          </cell>
          <cell r="C194" t="str">
            <v>SVN</v>
          </cell>
        </row>
        <row r="195">
          <cell r="A195" t="str">
            <v>somalia</v>
          </cell>
          <cell r="B195" t="str">
            <v>SO</v>
          </cell>
          <cell r="C195" t="str">
            <v>SOM</v>
          </cell>
        </row>
        <row r="196">
          <cell r="A196" t="str">
            <v>south africa</v>
          </cell>
          <cell r="B196" t="str">
            <v>ZA</v>
          </cell>
          <cell r="C196" t="str">
            <v>ZAF</v>
          </cell>
        </row>
        <row r="197">
          <cell r="A197" t="str">
            <v>zimbabwe</v>
          </cell>
          <cell r="B197" t="str">
            <v>ZW</v>
          </cell>
          <cell r="C197" t="str">
            <v>ZWE</v>
          </cell>
        </row>
        <row r="198">
          <cell r="A198" t="str">
            <v>spain</v>
          </cell>
          <cell r="B198" t="str">
            <v>ES</v>
          </cell>
          <cell r="C198" t="str">
            <v>ESP</v>
          </cell>
        </row>
        <row r="199">
          <cell r="A199" t="str">
            <v>south sudan</v>
          </cell>
          <cell r="B199" t="str">
            <v>SS</v>
          </cell>
          <cell r="C199" t="str">
            <v>SSD</v>
          </cell>
        </row>
        <row r="200">
          <cell r="A200" t="str">
            <v>sudan</v>
          </cell>
          <cell r="B200" t="str">
            <v>SD</v>
          </cell>
          <cell r="C200" t="str">
            <v>SDN</v>
          </cell>
        </row>
        <row r="201">
          <cell r="A201" t="str">
            <v>western sahara</v>
          </cell>
          <cell r="B201" t="str">
            <v>EH</v>
          </cell>
          <cell r="C201" t="str">
            <v>ESH</v>
          </cell>
        </row>
        <row r="202">
          <cell r="A202" t="str">
            <v>suriname</v>
          </cell>
          <cell r="B202" t="str">
            <v>SR</v>
          </cell>
          <cell r="C202" t="str">
            <v>SUR</v>
          </cell>
        </row>
        <row r="203">
          <cell r="A203" t="str">
            <v>eswatini</v>
          </cell>
          <cell r="B203" t="str">
            <v>SZ</v>
          </cell>
          <cell r="C203" t="str">
            <v>SWZ</v>
          </cell>
        </row>
        <row r="204">
          <cell r="A204" t="str">
            <v>sweden</v>
          </cell>
          <cell r="B204" t="str">
            <v>SE</v>
          </cell>
          <cell r="C204" t="str">
            <v>SWE</v>
          </cell>
        </row>
        <row r="205">
          <cell r="A205" t="str">
            <v>switzerland</v>
          </cell>
          <cell r="B205" t="str">
            <v>CH</v>
          </cell>
          <cell r="C205" t="str">
            <v>CHE</v>
          </cell>
        </row>
        <row r="206">
          <cell r="A206" t="str">
            <v>syrian arab republic</v>
          </cell>
          <cell r="B206" t="str">
            <v>SY</v>
          </cell>
          <cell r="C206" t="str">
            <v>SYR</v>
          </cell>
        </row>
        <row r="207">
          <cell r="A207" t="str">
            <v>tajikistan</v>
          </cell>
          <cell r="B207" t="str">
            <v>TJ</v>
          </cell>
          <cell r="C207" t="str">
            <v>TJK</v>
          </cell>
        </row>
        <row r="208">
          <cell r="A208" t="str">
            <v>thailand</v>
          </cell>
          <cell r="B208" t="str">
            <v>TH</v>
          </cell>
          <cell r="C208" t="str">
            <v>THA</v>
          </cell>
        </row>
        <row r="209">
          <cell r="A209" t="str">
            <v>togo</v>
          </cell>
          <cell r="B209" t="str">
            <v>TG</v>
          </cell>
          <cell r="C209" t="str">
            <v>TGO</v>
          </cell>
        </row>
        <row r="210">
          <cell r="A210" t="str">
            <v>tokelau</v>
          </cell>
          <cell r="B210" t="str">
            <v>TK</v>
          </cell>
          <cell r="C210" t="str">
            <v>TKL</v>
          </cell>
        </row>
        <row r="211">
          <cell r="A211" t="str">
            <v>tonga</v>
          </cell>
          <cell r="B211" t="str">
            <v>TO</v>
          </cell>
          <cell r="C211" t="str">
            <v>TON</v>
          </cell>
        </row>
        <row r="212">
          <cell r="A212" t="str">
            <v>trinidad and tobago</v>
          </cell>
          <cell r="B212" t="str">
            <v>TT</v>
          </cell>
          <cell r="C212" t="str">
            <v>TTO</v>
          </cell>
        </row>
        <row r="213">
          <cell r="A213" t="str">
            <v>united arab emirates</v>
          </cell>
          <cell r="B213" t="str">
            <v>AE</v>
          </cell>
          <cell r="C213" t="str">
            <v>ARE</v>
          </cell>
        </row>
        <row r="214">
          <cell r="A214" t="str">
            <v>tunisia</v>
          </cell>
          <cell r="B214" t="str">
            <v>TN</v>
          </cell>
          <cell r="C214" t="str">
            <v>TUN</v>
          </cell>
        </row>
        <row r="215">
          <cell r="A215" t="str">
            <v>turkiye</v>
          </cell>
          <cell r="B215" t="str">
            <v>TR</v>
          </cell>
          <cell r="C215" t="str">
            <v>TUR</v>
          </cell>
        </row>
        <row r="216">
          <cell r="A216" t="str">
            <v>turkmenistan</v>
          </cell>
          <cell r="B216" t="str">
            <v>TM</v>
          </cell>
          <cell r="C216" t="str">
            <v>TKM</v>
          </cell>
        </row>
        <row r="217">
          <cell r="A217" t="str">
            <v>turks and caicos islands</v>
          </cell>
          <cell r="B217" t="str">
            <v>TC</v>
          </cell>
          <cell r="C217" t="str">
            <v>TCA</v>
          </cell>
        </row>
        <row r="218">
          <cell r="A218" t="str">
            <v>tuvalu</v>
          </cell>
          <cell r="B218" t="str">
            <v>TV</v>
          </cell>
          <cell r="C218" t="str">
            <v>TUV</v>
          </cell>
        </row>
        <row r="219">
          <cell r="A219" t="str">
            <v>uganda</v>
          </cell>
          <cell r="B219" t="str">
            <v>UG</v>
          </cell>
          <cell r="C219" t="str">
            <v>UGA</v>
          </cell>
        </row>
        <row r="220">
          <cell r="A220" t="str">
            <v>ukraine</v>
          </cell>
          <cell r="B220" t="str">
            <v>UA</v>
          </cell>
          <cell r="C220" t="str">
            <v>UKR</v>
          </cell>
        </row>
        <row r="221">
          <cell r="A221" t="str">
            <v>north macedonia</v>
          </cell>
          <cell r="B221" t="str">
            <v>MK</v>
          </cell>
          <cell r="C221" t="str">
            <v>MKD</v>
          </cell>
        </row>
        <row r="222">
          <cell r="A222" t="str">
            <v>egypt</v>
          </cell>
          <cell r="B222" t="str">
            <v>EG</v>
          </cell>
          <cell r="C222" t="str">
            <v>EGY</v>
          </cell>
        </row>
        <row r="223">
          <cell r="A223" t="str">
            <v>united kingdom</v>
          </cell>
          <cell r="B223" t="str">
            <v>GB</v>
          </cell>
          <cell r="C223" t="str">
            <v>GBR</v>
          </cell>
        </row>
        <row r="224">
          <cell r="A224" t="str">
            <v>guernsey</v>
          </cell>
          <cell r="B224" t="str">
            <v>GG</v>
          </cell>
          <cell r="C224" t="str">
            <v>GGY</v>
          </cell>
        </row>
        <row r="225">
          <cell r="A225" t="str">
            <v>jersey</v>
          </cell>
          <cell r="B225" t="str">
            <v>JE</v>
          </cell>
          <cell r="C225" t="str">
            <v>JEY</v>
          </cell>
        </row>
        <row r="226">
          <cell r="A226" t="str">
            <v>isle of man</v>
          </cell>
          <cell r="B226" t="str">
            <v>IM</v>
          </cell>
          <cell r="C226" t="str">
            <v>IMN</v>
          </cell>
        </row>
        <row r="227">
          <cell r="A227" t="str">
            <v>united republic of tanzania</v>
          </cell>
          <cell r="B227" t="str">
            <v>TZ</v>
          </cell>
          <cell r="C227" t="str">
            <v>TZA</v>
          </cell>
        </row>
        <row r="228">
          <cell r="A228" t="str">
            <v>united states of america</v>
          </cell>
          <cell r="B228" t="str">
            <v>US</v>
          </cell>
          <cell r="C228" t="str">
            <v>USA</v>
          </cell>
        </row>
        <row r="229">
          <cell r="A229" t="str">
            <v>united states virgin islands</v>
          </cell>
          <cell r="B229" t="str">
            <v>VI</v>
          </cell>
          <cell r="C229" t="str">
            <v>VIR</v>
          </cell>
        </row>
        <row r="230">
          <cell r="A230" t="str">
            <v>burkina faso</v>
          </cell>
          <cell r="B230" t="str">
            <v>BF</v>
          </cell>
          <cell r="C230" t="str">
            <v>BFA</v>
          </cell>
        </row>
        <row r="231">
          <cell r="A231" t="str">
            <v>uruguay</v>
          </cell>
          <cell r="B231" t="str">
            <v>UY</v>
          </cell>
          <cell r="C231" t="str">
            <v>URY</v>
          </cell>
        </row>
        <row r="232">
          <cell r="A232" t="str">
            <v>uzbekistan</v>
          </cell>
          <cell r="B232" t="str">
            <v>UZ</v>
          </cell>
          <cell r="C232" t="str">
            <v>UZB</v>
          </cell>
        </row>
        <row r="233">
          <cell r="A233" t="str">
            <v>venezuela bolivarian republic of</v>
          </cell>
          <cell r="B233" t="str">
            <v>VE</v>
          </cell>
          <cell r="C233" t="str">
            <v>VEN</v>
          </cell>
        </row>
        <row r="234">
          <cell r="A234" t="str">
            <v>wallis and futuna islands</v>
          </cell>
          <cell r="B234" t="str">
            <v>WF</v>
          </cell>
          <cell r="C234" t="str">
            <v>WLF</v>
          </cell>
        </row>
        <row r="235">
          <cell r="A235" t="str">
            <v>samoa</v>
          </cell>
          <cell r="B235" t="str">
            <v>WS</v>
          </cell>
          <cell r="C235" t="str">
            <v>WSM</v>
          </cell>
        </row>
        <row r="236">
          <cell r="A236" t="str">
            <v>yemen</v>
          </cell>
          <cell r="B236" t="str">
            <v>YE</v>
          </cell>
          <cell r="C236" t="str">
            <v>YEM</v>
          </cell>
        </row>
        <row r="237">
          <cell r="A237" t="str">
            <v>zambia</v>
          </cell>
          <cell r="B237" t="str">
            <v>ZM</v>
          </cell>
          <cell r="C237" t="str">
            <v>ZMB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7"/>
  <sheetViews>
    <sheetView tabSelected="1" workbookViewId="0">
      <selection activeCell="B1" sqref="B1:B1048576"/>
    </sheetView>
  </sheetViews>
  <sheetFormatPr defaultRowHeight="14.4" x14ac:dyDescent="0.3"/>
  <cols>
    <col min="2" max="2" width="15.5546875" customWidth="1"/>
    <col min="3" max="3" width="26.21875" bestFit="1" customWidth="1"/>
    <col min="4" max="10" width="26.21875" customWidth="1"/>
  </cols>
  <sheetData>
    <row r="1" spans="1:10" s="2" customFormat="1" x14ac:dyDescent="0.3">
      <c r="A1" s="3" t="s">
        <v>264</v>
      </c>
      <c r="B1" s="3" t="s">
        <v>265</v>
      </c>
      <c r="C1" s="2" t="s">
        <v>0</v>
      </c>
      <c r="D1" s="2" t="s">
        <v>262</v>
      </c>
      <c r="E1" s="2" t="s">
        <v>263</v>
      </c>
      <c r="F1" s="2" t="s">
        <v>247</v>
      </c>
      <c r="G1" s="2" t="s">
        <v>248</v>
      </c>
      <c r="H1" s="2" t="s">
        <v>249</v>
      </c>
      <c r="I1" s="2" t="s">
        <v>250</v>
      </c>
      <c r="J1" s="2" t="s">
        <v>251</v>
      </c>
    </row>
    <row r="2" spans="1:10" x14ac:dyDescent="0.3">
      <c r="A2" t="str">
        <f>VLOOKUP(LOWER(B2),[1]country_name_iso_mapping!$A:$C,3, FALSE)</f>
        <v>AFG</v>
      </c>
      <c r="B2" t="s">
        <v>1</v>
      </c>
      <c r="C2" t="s">
        <v>1</v>
      </c>
      <c r="D2">
        <f>IF(ISNUMBER(Raw_from_worldbank!B6),Raw_from_worldbank!B6,  IF(ISNUMBER(SEARCH("k",Raw_from_worldbank!B6)),
       VALUE(SUBSTITUTE(LOWER(Raw_from_worldbank!B6),"k",""))*1000,
       NA()))</f>
        <v>17.3</v>
      </c>
      <c r="E2">
        <f>IF(ISNUMBER(Raw_from_worldbank!C6),Raw_from_worldbank!C6,  IF(ISNUMBER(SEARCH("k",Raw_from_worldbank!C6)),
       VALUE(SUBSTITUTE(LOWER(Raw_from_worldbank!C6),"k",""))*1000,
       NA()))</f>
        <v>17.7</v>
      </c>
      <c r="F2" t="e">
        <f>IF(ISNUMBER(Raw_from_worldbank!D6),Raw_from_worldbank!D6,  IF(ISNUMBER(SEARCH("k",Raw_from_worldbank!D6)),
       VALUE(SUBSTITUTE(LOWER(Raw_from_worldbank!D6),"k",""))*1000,
       NA()))</f>
        <v>#N/A</v>
      </c>
      <c r="G2" t="e">
        <f>IF(ISNUMBER(Raw_from_worldbank!E6),Raw_from_worldbank!E6,  IF(ISNUMBER(SEARCH("k",Raw_from_worldbank!E6)),
       VALUE(SUBSTITUTE(LOWER(Raw_from_worldbank!E6),"k",""))*1000,
       NA()))</f>
        <v>#N/A</v>
      </c>
      <c r="H2" t="e">
        <f>IF(ISNUMBER(Raw_from_worldbank!F6),Raw_from_worldbank!F6,  IF(ISNUMBER(SEARCH("k",Raw_from_worldbank!F6)),
       VALUE(SUBSTITUTE(LOWER(Raw_from_worldbank!F6),"k",""))*1000,
       NA()))</f>
        <v>#N/A</v>
      </c>
      <c r="I2" t="e">
        <f>IF(ISNUMBER(Raw_from_worldbank!G6),Raw_from_worldbank!G6,  IF(ISNUMBER(SEARCH("k",Raw_from_worldbank!G6)),
       VALUE(SUBSTITUTE(LOWER(Raw_from_worldbank!G6),"k",""))*1000,
       NA()))</f>
        <v>#N/A</v>
      </c>
      <c r="J2" t="e">
        <f>IF(ISNUMBER(Raw_from_worldbank!H6),Raw_from_worldbank!H6,  IF(ISNUMBER(SEARCH("k",Raw_from_worldbank!H6)),
       VALUE(SUBSTITUTE(LOWER(Raw_from_worldbank!H6),"k",""))*1000,
       NA()))</f>
        <v>#N/A</v>
      </c>
    </row>
    <row r="3" spans="1:10" x14ac:dyDescent="0.3">
      <c r="A3" t="str">
        <f>VLOOKUP(LOWER(B3),[1]country_name_iso_mapping!$A:$C,3, FALSE)</f>
        <v>ALB</v>
      </c>
      <c r="B3" t="s">
        <v>2</v>
      </c>
      <c r="C3" t="s">
        <v>2</v>
      </c>
      <c r="D3">
        <f>IF(ISNUMBER(Raw_from_worldbank!B7),Raw_from_worldbank!B7,  IF(ISNUMBER(SEARCH("k",Raw_from_worldbank!B7)),
       VALUE(SUBSTITUTE(LOWER(Raw_from_worldbank!B7),"k",""))*1000,
       NA()))</f>
        <v>40</v>
      </c>
      <c r="E3">
        <f>IF(ISNUMBER(Raw_from_worldbank!C7),Raw_from_worldbank!C7,  IF(ISNUMBER(SEARCH("k",Raw_from_worldbank!C7)),
       VALUE(SUBSTITUTE(LOWER(Raw_from_worldbank!C7),"k",""))*1000,
       NA()))</f>
        <v>41.1</v>
      </c>
      <c r="F3">
        <f>IF(ISNUMBER(Raw_from_worldbank!D7),Raw_from_worldbank!D7,  IF(ISNUMBER(SEARCH("k",Raw_from_worldbank!D7)),
       VALUE(SUBSTITUTE(LOWER(Raw_from_worldbank!D7),"k",""))*1000,
       NA()))</f>
        <v>41.4</v>
      </c>
      <c r="G3">
        <f>IF(ISNUMBER(Raw_from_worldbank!E7),Raw_from_worldbank!E7,  IF(ISNUMBER(SEARCH("k",Raw_from_worldbank!E7)),
       VALUE(SUBSTITUTE(LOWER(Raw_from_worldbank!E7),"k",""))*1000,
       NA()))</f>
        <v>41.8</v>
      </c>
      <c r="H3">
        <f>IF(ISNUMBER(Raw_from_worldbank!F7),Raw_from_worldbank!F7,  IF(ISNUMBER(SEARCH("k",Raw_from_worldbank!F7)),
       VALUE(SUBSTITUTE(LOWER(Raw_from_worldbank!F7),"k",""))*1000,
       NA()))</f>
        <v>42.3</v>
      </c>
      <c r="I3">
        <f>IF(ISNUMBER(Raw_from_worldbank!G7),Raw_from_worldbank!G7,  IF(ISNUMBER(SEARCH("k",Raw_from_worldbank!G7)),
       VALUE(SUBSTITUTE(LOWER(Raw_from_worldbank!G7),"k",""))*1000,
       NA()))</f>
        <v>42.7</v>
      </c>
      <c r="J3">
        <f>IF(ISNUMBER(Raw_from_worldbank!H7),Raw_from_worldbank!H7,  IF(ISNUMBER(SEARCH("k",Raw_from_worldbank!H7)),
       VALUE(SUBSTITUTE(LOWER(Raw_from_worldbank!H7),"k",""))*1000,
       NA()))</f>
        <v>43.2</v>
      </c>
    </row>
    <row r="4" spans="1:10" x14ac:dyDescent="0.3">
      <c r="A4" t="str">
        <f>VLOOKUP(LOWER(B4),[1]country_name_iso_mapping!$A:$C,3, FALSE)</f>
        <v>DZA</v>
      </c>
      <c r="B4" t="s">
        <v>3</v>
      </c>
      <c r="C4" t="s">
        <v>3</v>
      </c>
      <c r="D4">
        <f>IF(ISNUMBER(Raw_from_worldbank!B8),Raw_from_worldbank!B8,  IF(ISNUMBER(SEARCH("k",Raw_from_worldbank!B8)),
       VALUE(SUBSTITUTE(LOWER(Raw_from_worldbank!B8),"k",""))*1000,
       NA()))</f>
        <v>41.7</v>
      </c>
      <c r="E4">
        <f>IF(ISNUMBER(Raw_from_worldbank!C8),Raw_from_worldbank!C8,  IF(ISNUMBER(SEARCH("k",Raw_from_worldbank!C8)),
       VALUE(SUBSTITUTE(LOWER(Raw_from_worldbank!C8),"k",""))*1000,
       NA()))</f>
        <v>47.9</v>
      </c>
      <c r="F4">
        <f>IF(ISNUMBER(Raw_from_worldbank!D8),Raw_from_worldbank!D8,  IF(ISNUMBER(SEARCH("k",Raw_from_worldbank!D8)),
       VALUE(SUBSTITUTE(LOWER(Raw_from_worldbank!D8),"k",""))*1000,
       NA()))</f>
        <v>46</v>
      </c>
      <c r="G4">
        <f>IF(ISNUMBER(Raw_from_worldbank!E8),Raw_from_worldbank!E8,  IF(ISNUMBER(SEARCH("k",Raw_from_worldbank!E8)),
       VALUE(SUBSTITUTE(LOWER(Raw_from_worldbank!E8),"k",""))*1000,
       NA()))</f>
        <v>47.8</v>
      </c>
      <c r="H4">
        <f>IF(ISNUMBER(Raw_from_worldbank!F8),Raw_from_worldbank!F8,  IF(ISNUMBER(SEARCH("k",Raw_from_worldbank!F8)),
       VALUE(SUBSTITUTE(LOWER(Raw_from_worldbank!F8),"k",""))*1000,
       NA()))</f>
        <v>49.8</v>
      </c>
      <c r="I4">
        <f>IF(ISNUMBER(Raw_from_worldbank!G8),Raw_from_worldbank!G8,  IF(ISNUMBER(SEARCH("k",Raw_from_worldbank!G8)),
       VALUE(SUBSTITUTE(LOWER(Raw_from_worldbank!G8),"k",""))*1000,
       NA()))</f>
        <v>51.8</v>
      </c>
      <c r="J4">
        <f>IF(ISNUMBER(Raw_from_worldbank!H8),Raw_from_worldbank!H8,  IF(ISNUMBER(SEARCH("k",Raw_from_worldbank!H8)),
       VALUE(SUBSTITUTE(LOWER(Raw_from_worldbank!H8),"k",""))*1000,
       NA()))</f>
        <v>53.6</v>
      </c>
    </row>
    <row r="5" spans="1:10" x14ac:dyDescent="0.3">
      <c r="A5" t="str">
        <f>VLOOKUP(LOWER(B5),[1]country_name_iso_mapping!$A:$C,3, FALSE)</f>
        <v>AND</v>
      </c>
      <c r="B5" t="s">
        <v>4</v>
      </c>
      <c r="C5" t="s">
        <v>4</v>
      </c>
      <c r="D5">
        <f>IF(ISNUMBER(Raw_from_worldbank!B9),Raw_from_worldbank!B9,  IF(ISNUMBER(SEARCH("k",Raw_from_worldbank!B9)),
       VALUE(SUBSTITUTE(LOWER(Raw_from_worldbank!B9),"k",""))*1000,
       NA()))</f>
        <v>0.61</v>
      </c>
      <c r="E5">
        <f>IF(ISNUMBER(Raw_from_worldbank!C9),Raw_from_worldbank!C9,  IF(ISNUMBER(SEARCH("k",Raw_from_worldbank!C9)),
       VALUE(SUBSTITUTE(LOWER(Raw_from_worldbank!C9),"k",""))*1000,
       NA()))</f>
        <v>0.59</v>
      </c>
      <c r="F5">
        <f>IF(ISNUMBER(Raw_from_worldbank!D9),Raw_from_worldbank!D9,  IF(ISNUMBER(SEARCH("k",Raw_from_worldbank!D9)),
       VALUE(SUBSTITUTE(LOWER(Raw_from_worldbank!D9),"k",""))*1000,
       NA()))</f>
        <v>0.6</v>
      </c>
      <c r="G5">
        <f>IF(ISNUMBER(Raw_from_worldbank!E9),Raw_from_worldbank!E9,  IF(ISNUMBER(SEARCH("k",Raw_from_worldbank!E9)),
       VALUE(SUBSTITUTE(LOWER(Raw_from_worldbank!E9),"k",""))*1000,
       NA()))</f>
        <v>0.6</v>
      </c>
      <c r="H5">
        <f>IF(ISNUMBER(Raw_from_worldbank!F9),Raw_from_worldbank!F9,  IF(ISNUMBER(SEARCH("k",Raw_from_worldbank!F9)),
       VALUE(SUBSTITUTE(LOWER(Raw_from_worldbank!F9),"k",""))*1000,
       NA()))</f>
        <v>0.61</v>
      </c>
      <c r="I5">
        <f>IF(ISNUMBER(Raw_from_worldbank!G9),Raw_from_worldbank!G9,  IF(ISNUMBER(SEARCH("k",Raw_from_worldbank!G9)),
       VALUE(SUBSTITUTE(LOWER(Raw_from_worldbank!G9),"k",""))*1000,
       NA()))</f>
        <v>0.6</v>
      </c>
      <c r="J5">
        <f>IF(ISNUMBER(Raw_from_worldbank!H9),Raw_from_worldbank!H9,  IF(ISNUMBER(SEARCH("k",Raw_from_worldbank!H9)),
       VALUE(SUBSTITUTE(LOWER(Raw_from_worldbank!H9),"k",""))*1000,
       NA()))</f>
        <v>0.6</v>
      </c>
    </row>
    <row r="6" spans="1:10" x14ac:dyDescent="0.3">
      <c r="A6" t="str">
        <f>VLOOKUP(LOWER(B6),[1]country_name_iso_mapping!$A:$C,3, FALSE)</f>
        <v>AGO</v>
      </c>
      <c r="B6" t="s">
        <v>5</v>
      </c>
      <c r="C6" t="s">
        <v>5</v>
      </c>
      <c r="D6">
        <f>IF(ISNUMBER(Raw_from_worldbank!B10),Raw_from_worldbank!B10,  IF(ISNUMBER(SEARCH("k",Raw_from_worldbank!B10)),
       VALUE(SUBSTITUTE(LOWER(Raw_from_worldbank!B10),"k",""))*1000,
       NA()))</f>
        <v>210.4</v>
      </c>
      <c r="E6">
        <f>IF(ISNUMBER(Raw_from_worldbank!C10),Raw_from_worldbank!C10,  IF(ISNUMBER(SEARCH("k",Raw_from_worldbank!C10)),
       VALUE(SUBSTITUTE(LOWER(Raw_from_worldbank!C10),"k",""))*1000,
       NA()))</f>
        <v>229.1</v>
      </c>
      <c r="F6">
        <f>IF(ISNUMBER(Raw_from_worldbank!D10),Raw_from_worldbank!D10,  IF(ISNUMBER(SEARCH("k",Raw_from_worldbank!D10)),
       VALUE(SUBSTITUTE(LOWER(Raw_from_worldbank!D10),"k",""))*1000,
       NA()))</f>
        <v>250.7</v>
      </c>
      <c r="G6">
        <f>IF(ISNUMBER(Raw_from_worldbank!E10),Raw_from_worldbank!E10,  IF(ISNUMBER(SEARCH("k",Raw_from_worldbank!E10)),
       VALUE(SUBSTITUTE(LOWER(Raw_from_worldbank!E10),"k",""))*1000,
       NA()))</f>
        <v>304.5</v>
      </c>
      <c r="H6">
        <f>IF(ISNUMBER(Raw_from_worldbank!F10),Raw_from_worldbank!F10,  IF(ISNUMBER(SEARCH("k",Raw_from_worldbank!F10)),
       VALUE(SUBSTITUTE(LOWER(Raw_from_worldbank!F10),"k",""))*1000,
       NA()))</f>
        <v>332.3</v>
      </c>
      <c r="I6">
        <f>IF(ISNUMBER(Raw_from_worldbank!G10),Raw_from_worldbank!G10,  IF(ISNUMBER(SEARCH("k",Raw_from_worldbank!G10)),
       VALUE(SUBSTITUTE(LOWER(Raw_from_worldbank!G10),"k",""))*1000,
       NA()))</f>
        <v>347.1</v>
      </c>
      <c r="J6">
        <f>IF(ISNUMBER(Raw_from_worldbank!H10),Raw_from_worldbank!H10,  IF(ISNUMBER(SEARCH("k",Raw_from_worldbank!H10)),
       VALUE(SUBSTITUTE(LOWER(Raw_from_worldbank!H10),"k",""))*1000,
       NA()))</f>
        <v>362.5</v>
      </c>
    </row>
    <row r="7" spans="1:10" x14ac:dyDescent="0.3">
      <c r="A7" t="str">
        <f>VLOOKUP(LOWER(B7),[1]country_name_iso_mapping!$A:$C,3, FALSE)</f>
        <v>ATG</v>
      </c>
      <c r="B7" t="s">
        <v>6</v>
      </c>
      <c r="C7" t="s">
        <v>6</v>
      </c>
      <c r="D7">
        <f>IF(ISNUMBER(Raw_from_worldbank!B11),Raw_from_worldbank!B11,  IF(ISNUMBER(SEARCH("k",Raw_from_worldbank!B11)),
       VALUE(SUBSTITUTE(LOWER(Raw_from_worldbank!B11),"k",""))*1000,
       NA()))</f>
        <v>2.1</v>
      </c>
      <c r="E7">
        <f>IF(ISNUMBER(Raw_from_worldbank!C11),Raw_from_worldbank!C11,  IF(ISNUMBER(SEARCH("k",Raw_from_worldbank!C11)),
       VALUE(SUBSTITUTE(LOWER(Raw_from_worldbank!C11),"k",""))*1000,
       NA()))</f>
        <v>2</v>
      </c>
      <c r="F7">
        <f>IF(ISNUMBER(Raw_from_worldbank!D11),Raw_from_worldbank!D11,  IF(ISNUMBER(SEARCH("k",Raw_from_worldbank!D11)),
       VALUE(SUBSTITUTE(LOWER(Raw_from_worldbank!D11),"k",""))*1000,
       NA()))</f>
        <v>2</v>
      </c>
      <c r="G7">
        <f>IF(ISNUMBER(Raw_from_worldbank!E11),Raw_from_worldbank!E11,  IF(ISNUMBER(SEARCH("k",Raw_from_worldbank!E11)),
       VALUE(SUBSTITUTE(LOWER(Raw_from_worldbank!E11),"k",""))*1000,
       NA()))</f>
        <v>2</v>
      </c>
      <c r="H7">
        <f>IF(ISNUMBER(Raw_from_worldbank!F11),Raw_from_worldbank!F11,  IF(ISNUMBER(SEARCH("k",Raw_from_worldbank!F11)),
       VALUE(SUBSTITUTE(LOWER(Raw_from_worldbank!F11),"k",""))*1000,
       NA()))</f>
        <v>2</v>
      </c>
      <c r="I7">
        <f>IF(ISNUMBER(Raw_from_worldbank!G11),Raw_from_worldbank!G11,  IF(ISNUMBER(SEARCH("k",Raw_from_worldbank!G11)),
       VALUE(SUBSTITUTE(LOWER(Raw_from_worldbank!G11),"k",""))*1000,
       NA()))</f>
        <v>2</v>
      </c>
      <c r="J7">
        <f>IF(ISNUMBER(Raw_from_worldbank!H11),Raw_from_worldbank!H11,  IF(ISNUMBER(SEARCH("k",Raw_from_worldbank!H11)),
       VALUE(SUBSTITUTE(LOWER(Raw_from_worldbank!H11),"k",""))*1000,
       NA()))</f>
        <v>2</v>
      </c>
    </row>
    <row r="8" spans="1:10" x14ac:dyDescent="0.3">
      <c r="A8" t="str">
        <f>VLOOKUP(LOWER(B8),[1]country_name_iso_mapping!$A:$C,3, FALSE)</f>
        <v>ARG</v>
      </c>
      <c r="B8" t="s">
        <v>7</v>
      </c>
      <c r="C8" t="s">
        <v>7</v>
      </c>
      <c r="D8">
        <f>IF(ISNUMBER(Raw_from_worldbank!B12),Raw_from_worldbank!B12,  IF(ISNUMBER(SEARCH("k",Raw_from_worldbank!B12)),
       VALUE(SUBSTITUTE(LOWER(Raw_from_worldbank!B12),"k",""))*1000,
       NA()))</f>
        <v>42.5</v>
      </c>
      <c r="E8">
        <f>IF(ISNUMBER(Raw_from_worldbank!C12),Raw_from_worldbank!C12,  IF(ISNUMBER(SEARCH("k",Raw_from_worldbank!C12)),
       VALUE(SUBSTITUTE(LOWER(Raw_from_worldbank!C12),"k",""))*1000,
       NA()))</f>
        <v>67.3</v>
      </c>
      <c r="F8">
        <f>IF(ISNUMBER(Raw_from_worldbank!D12),Raw_from_worldbank!D12,  IF(ISNUMBER(SEARCH("k",Raw_from_worldbank!D12)),
       VALUE(SUBSTITUTE(LOWER(Raw_from_worldbank!D12),"k",""))*1000,
       NA()))</f>
        <v>154</v>
      </c>
      <c r="G8">
        <f>IF(ISNUMBER(Raw_from_worldbank!E12),Raw_from_worldbank!E12,  IF(ISNUMBER(SEARCH("k",Raw_from_worldbank!E12)),
       VALUE(SUBSTITUTE(LOWER(Raw_from_worldbank!E12),"k",""))*1000,
       NA()))</f>
        <v>528.70000000000005</v>
      </c>
      <c r="H8">
        <f>IF(ISNUMBER(Raw_from_worldbank!F12),Raw_from_worldbank!F12,  IF(ISNUMBER(SEARCH("k",Raw_from_worldbank!F12)),
       VALUE(SUBSTITUTE(LOWER(Raw_from_worldbank!F12),"k",""))*1000,
       NA()))</f>
        <v>826.5</v>
      </c>
      <c r="I8">
        <f>IF(ISNUMBER(Raw_from_worldbank!G12),Raw_from_worldbank!G12,  IF(ISNUMBER(SEARCH("k",Raw_from_worldbank!G12)),
       VALUE(SUBSTITUTE(LOWER(Raw_from_worldbank!G12),"k",""))*1000,
       NA()))</f>
        <v>1100</v>
      </c>
      <c r="J8">
        <f>IF(ISNUMBER(Raw_from_worldbank!H12),Raw_from_worldbank!H12,  IF(ISNUMBER(SEARCH("k",Raw_from_worldbank!H12)),
       VALUE(SUBSTITUTE(LOWER(Raw_from_worldbank!H12),"k",""))*1000,
       NA()))</f>
        <v>1200</v>
      </c>
    </row>
    <row r="9" spans="1:10" x14ac:dyDescent="0.3">
      <c r="A9" t="str">
        <f>VLOOKUP(LOWER(B9),[1]country_name_iso_mapping!$A:$C,3, FALSE)</f>
        <v>ARM</v>
      </c>
      <c r="B9" t="s">
        <v>8</v>
      </c>
      <c r="C9" t="s">
        <v>8</v>
      </c>
      <c r="D9">
        <f>IF(ISNUMBER(Raw_from_worldbank!B13),Raw_from_worldbank!B13,  IF(ISNUMBER(SEARCH("k",Raw_from_worldbank!B13)),
       VALUE(SUBSTITUTE(LOWER(Raw_from_worldbank!B13),"k",""))*1000,
       NA()))</f>
        <v>160</v>
      </c>
      <c r="E9">
        <f>IF(ISNUMBER(Raw_from_worldbank!C13),Raw_from_worldbank!C13,  IF(ISNUMBER(SEARCH("k",Raw_from_worldbank!C13)),
       VALUE(SUBSTITUTE(LOWER(Raw_from_worldbank!C13),"k",""))*1000,
       NA()))</f>
        <v>161.4</v>
      </c>
      <c r="F9">
        <f>IF(ISNUMBER(Raw_from_worldbank!D13),Raw_from_worldbank!D13,  IF(ISNUMBER(SEARCH("k",Raw_from_worldbank!D13)),
       VALUE(SUBSTITUTE(LOWER(Raw_from_worldbank!D13),"k",""))*1000,
       NA()))</f>
        <v>160.1</v>
      </c>
      <c r="G9">
        <f>IF(ISNUMBER(Raw_from_worldbank!E13),Raw_from_worldbank!E13,  IF(ISNUMBER(SEARCH("k",Raw_from_worldbank!E13)),
       VALUE(SUBSTITUTE(LOWER(Raw_from_worldbank!E13),"k",""))*1000,
       NA()))</f>
        <v>162.6</v>
      </c>
      <c r="H9">
        <f>IF(ISNUMBER(Raw_from_worldbank!F13),Raw_from_worldbank!F13,  IF(ISNUMBER(SEARCH("k",Raw_from_worldbank!F13)),
       VALUE(SUBSTITUTE(LOWER(Raw_from_worldbank!F13),"k",""))*1000,
       NA()))</f>
        <v>166.2</v>
      </c>
      <c r="I9">
        <f>IF(ISNUMBER(Raw_from_worldbank!G13),Raw_from_worldbank!G13,  IF(ISNUMBER(SEARCH("k",Raw_from_worldbank!G13)),
       VALUE(SUBSTITUTE(LOWER(Raw_from_worldbank!G13),"k",""))*1000,
       NA()))</f>
        <v>169.5</v>
      </c>
      <c r="J9">
        <f>IF(ISNUMBER(Raw_from_worldbank!H13),Raw_from_worldbank!H13,  IF(ISNUMBER(SEARCH("k",Raw_from_worldbank!H13)),
       VALUE(SUBSTITUTE(LOWER(Raw_from_worldbank!H13),"k",""))*1000,
       NA()))</f>
        <v>172.9</v>
      </c>
    </row>
    <row r="10" spans="1:10" x14ac:dyDescent="0.3">
      <c r="A10" t="str">
        <f>VLOOKUP(LOWER(B10),[1]country_name_iso_mapping!$A:$C,3, FALSE)</f>
        <v>ABW</v>
      </c>
      <c r="B10" t="s">
        <v>9</v>
      </c>
      <c r="C10" t="s">
        <v>9</v>
      </c>
      <c r="D10">
        <f>IF(ISNUMBER(Raw_from_worldbank!B14),Raw_from_worldbank!B14,  IF(ISNUMBER(SEARCH("k",Raw_from_worldbank!B14)),
       VALUE(SUBSTITUTE(LOWER(Raw_from_worldbank!B14),"k",""))*1000,
       NA()))</f>
        <v>1.3</v>
      </c>
      <c r="E10">
        <f>IF(ISNUMBER(Raw_from_worldbank!C14),Raw_from_worldbank!C14,  IF(ISNUMBER(SEARCH("k",Raw_from_worldbank!C14)),
       VALUE(SUBSTITUTE(LOWER(Raw_from_worldbank!C14),"k",""))*1000,
       NA()))</f>
        <v>1.2</v>
      </c>
      <c r="F10">
        <f>IF(ISNUMBER(Raw_from_worldbank!D14),Raw_from_worldbank!D14,  IF(ISNUMBER(SEARCH("k",Raw_from_worldbank!D14)),
       VALUE(SUBSTITUTE(LOWER(Raw_from_worldbank!D14),"k",""))*1000,
       NA()))</f>
        <v>1.2</v>
      </c>
      <c r="G10">
        <f>IF(ISNUMBER(Raw_from_worldbank!E14),Raw_from_worldbank!E14,  IF(ISNUMBER(SEARCH("k",Raw_from_worldbank!E14)),
       VALUE(SUBSTITUTE(LOWER(Raw_from_worldbank!E14),"k",""))*1000,
       NA()))</f>
        <v>1.2</v>
      </c>
      <c r="H10">
        <f>IF(ISNUMBER(Raw_from_worldbank!F14),Raw_from_worldbank!F14,  IF(ISNUMBER(SEARCH("k",Raw_from_worldbank!F14)),
       VALUE(SUBSTITUTE(LOWER(Raw_from_worldbank!F14),"k",""))*1000,
       NA()))</f>
        <v>1.2</v>
      </c>
      <c r="I10">
        <f>IF(ISNUMBER(Raw_from_worldbank!G14),Raw_from_worldbank!G14,  IF(ISNUMBER(SEARCH("k",Raw_from_worldbank!G14)),
       VALUE(SUBSTITUTE(LOWER(Raw_from_worldbank!G14),"k",""))*1000,
       NA()))</f>
        <v>1.2</v>
      </c>
      <c r="J10">
        <f>IF(ISNUMBER(Raw_from_worldbank!H14),Raw_from_worldbank!H14,  IF(ISNUMBER(SEARCH("k",Raw_from_worldbank!H14)),
       VALUE(SUBSTITUTE(LOWER(Raw_from_worldbank!H14),"k",""))*1000,
       NA()))</f>
        <v>1.2</v>
      </c>
    </row>
    <row r="11" spans="1:10" x14ac:dyDescent="0.3">
      <c r="A11" t="str">
        <f>VLOOKUP(LOWER(B11),[1]country_name_iso_mapping!$A:$C,3, FALSE)</f>
        <v>AUS</v>
      </c>
      <c r="B11" t="s">
        <v>10</v>
      </c>
      <c r="C11" t="s">
        <v>10</v>
      </c>
      <c r="D11">
        <f>IF(ISNUMBER(Raw_from_worldbank!B15),Raw_from_worldbank!B15,  IF(ISNUMBER(SEARCH("k",Raw_from_worldbank!B15)),
       VALUE(SUBSTITUTE(LOWER(Raw_from_worldbank!B15),"k",""))*1000,
       NA()))</f>
        <v>1.5</v>
      </c>
      <c r="E11">
        <f>IF(ISNUMBER(Raw_from_worldbank!C15),Raw_from_worldbank!C15,  IF(ISNUMBER(SEARCH("k",Raw_from_worldbank!C15)),
       VALUE(SUBSTITUTE(LOWER(Raw_from_worldbank!C15),"k",""))*1000,
       NA()))</f>
        <v>1.5</v>
      </c>
      <c r="F11">
        <f>IF(ISNUMBER(Raw_from_worldbank!D15),Raw_from_worldbank!D15,  IF(ISNUMBER(SEARCH("k",Raw_from_worldbank!D15)),
       VALUE(SUBSTITUTE(LOWER(Raw_from_worldbank!D15),"k",""))*1000,
       NA()))</f>
        <v>1.5</v>
      </c>
      <c r="G11">
        <f>IF(ISNUMBER(Raw_from_worldbank!E15),Raw_from_worldbank!E15,  IF(ISNUMBER(SEARCH("k",Raw_from_worldbank!E15)),
       VALUE(SUBSTITUTE(LOWER(Raw_from_worldbank!E15),"k",""))*1000,
       NA()))</f>
        <v>1.5</v>
      </c>
      <c r="H11">
        <f>IF(ISNUMBER(Raw_from_worldbank!F15),Raw_from_worldbank!F15,  IF(ISNUMBER(SEARCH("k",Raw_from_worldbank!F15)),
       VALUE(SUBSTITUTE(LOWER(Raw_from_worldbank!F15),"k",""))*1000,
       NA()))</f>
        <v>1.6</v>
      </c>
      <c r="I11">
        <f>IF(ISNUMBER(Raw_from_worldbank!G15),Raw_from_worldbank!G15,  IF(ISNUMBER(SEARCH("k",Raw_from_worldbank!G15)),
       VALUE(SUBSTITUTE(LOWER(Raw_from_worldbank!G15),"k",""))*1000,
       NA()))</f>
        <v>1.6</v>
      </c>
      <c r="J11">
        <f>IF(ISNUMBER(Raw_from_worldbank!H15),Raw_from_worldbank!H15,  IF(ISNUMBER(SEARCH("k",Raw_from_worldbank!H15)),
       VALUE(SUBSTITUTE(LOWER(Raw_from_worldbank!H15),"k",""))*1000,
       NA()))</f>
        <v>1.6</v>
      </c>
    </row>
    <row r="12" spans="1:10" x14ac:dyDescent="0.3">
      <c r="A12" t="str">
        <f>VLOOKUP(LOWER(B12),[1]country_name_iso_mapping!$A:$C,3, FALSE)</f>
        <v>AUT</v>
      </c>
      <c r="B12" t="s">
        <v>11</v>
      </c>
      <c r="C12" t="s">
        <v>11</v>
      </c>
      <c r="D12">
        <f>IF(ISNUMBER(Raw_from_worldbank!B16),Raw_from_worldbank!B16,  IF(ISNUMBER(SEARCH("k",Raw_from_worldbank!B16)),
       VALUE(SUBSTITUTE(LOWER(Raw_from_worldbank!B16),"k",""))*1000,
       NA()))</f>
        <v>0.76</v>
      </c>
      <c r="E12">
        <f>IF(ISNUMBER(Raw_from_worldbank!C16),Raw_from_worldbank!C16,  IF(ISNUMBER(SEARCH("k",Raw_from_worldbank!C16)),
       VALUE(SUBSTITUTE(LOWER(Raw_from_worldbank!C16),"k",""))*1000,
       NA()))</f>
        <v>0.75</v>
      </c>
      <c r="F12">
        <f>IF(ISNUMBER(Raw_from_worldbank!D16),Raw_from_worldbank!D16,  IF(ISNUMBER(SEARCH("k",Raw_from_worldbank!D16)),
       VALUE(SUBSTITUTE(LOWER(Raw_from_worldbank!D16),"k",""))*1000,
       NA()))</f>
        <v>0.78</v>
      </c>
      <c r="G12">
        <f>IF(ISNUMBER(Raw_from_worldbank!E16),Raw_from_worldbank!E16,  IF(ISNUMBER(SEARCH("k",Raw_from_worldbank!E16)),
       VALUE(SUBSTITUTE(LOWER(Raw_from_worldbank!E16),"k",""))*1000,
       NA()))</f>
        <v>0.79</v>
      </c>
      <c r="H12">
        <f>IF(ISNUMBER(Raw_from_worldbank!F16),Raw_from_worldbank!F16,  IF(ISNUMBER(SEARCH("k",Raw_from_worldbank!F16)),
       VALUE(SUBSTITUTE(LOWER(Raw_from_worldbank!F16),"k",""))*1000,
       NA()))</f>
        <v>0.8</v>
      </c>
      <c r="I12">
        <f>IF(ISNUMBER(Raw_from_worldbank!G16),Raw_from_worldbank!G16,  IF(ISNUMBER(SEARCH("k",Raw_from_worldbank!G16)),
       VALUE(SUBSTITUTE(LOWER(Raw_from_worldbank!G16),"k",""))*1000,
       NA()))</f>
        <v>0.8</v>
      </c>
      <c r="J12">
        <f>IF(ISNUMBER(Raw_from_worldbank!H16),Raw_from_worldbank!H16,  IF(ISNUMBER(SEARCH("k",Raw_from_worldbank!H16)),
       VALUE(SUBSTITUTE(LOWER(Raw_from_worldbank!H16),"k",""))*1000,
       NA()))</f>
        <v>0.8</v>
      </c>
    </row>
    <row r="13" spans="1:10" x14ac:dyDescent="0.3">
      <c r="A13" t="str">
        <f>VLOOKUP(LOWER(B13),[1]country_name_iso_mapping!$A:$C,3, FALSE)</f>
        <v>AZE</v>
      </c>
      <c r="B13" t="s">
        <v>12</v>
      </c>
      <c r="C13" t="s">
        <v>12</v>
      </c>
      <c r="D13">
        <f>IF(ISNUMBER(Raw_from_worldbank!B17),Raw_from_worldbank!B17,  IF(ISNUMBER(SEARCH("k",Raw_from_worldbank!B17)),
       VALUE(SUBSTITUTE(LOWER(Raw_from_worldbank!B17),"k",""))*1000,
       NA()))</f>
        <v>0.57999999999999996</v>
      </c>
      <c r="E13">
        <f>IF(ISNUMBER(Raw_from_worldbank!C17),Raw_from_worldbank!C17,  IF(ISNUMBER(SEARCH("k",Raw_from_worldbank!C17)),
       VALUE(SUBSTITUTE(LOWER(Raw_from_worldbank!C17),"k",""))*1000,
       NA()))</f>
        <v>0.74</v>
      </c>
      <c r="F13">
        <f>IF(ISNUMBER(Raw_from_worldbank!D17),Raw_from_worldbank!D17,  IF(ISNUMBER(SEARCH("k",Raw_from_worldbank!D17)),
       VALUE(SUBSTITUTE(LOWER(Raw_from_worldbank!D17),"k",""))*1000,
       NA()))</f>
        <v>0.69</v>
      </c>
      <c r="G13">
        <f>IF(ISNUMBER(Raw_from_worldbank!E17),Raw_from_worldbank!E17,  IF(ISNUMBER(SEARCH("k",Raw_from_worldbank!E17)),
       VALUE(SUBSTITUTE(LOWER(Raw_from_worldbank!E17),"k",""))*1000,
       NA()))</f>
        <v>0.67</v>
      </c>
      <c r="H13">
        <f>IF(ISNUMBER(Raw_from_worldbank!F17),Raw_from_worldbank!F17,  IF(ISNUMBER(SEARCH("k",Raw_from_worldbank!F17)),
       VALUE(SUBSTITUTE(LOWER(Raw_from_worldbank!F17),"k",""))*1000,
       NA()))</f>
        <v>0.67</v>
      </c>
      <c r="I13">
        <f>IF(ISNUMBER(Raw_from_worldbank!G17),Raw_from_worldbank!G17,  IF(ISNUMBER(SEARCH("k",Raw_from_worldbank!G17)),
       VALUE(SUBSTITUTE(LOWER(Raw_from_worldbank!G17),"k",""))*1000,
       NA()))</f>
        <v>0.67</v>
      </c>
      <c r="J13">
        <f>IF(ISNUMBER(Raw_from_worldbank!H17),Raw_from_worldbank!H17,  IF(ISNUMBER(SEARCH("k",Raw_from_worldbank!H17)),
       VALUE(SUBSTITUTE(LOWER(Raw_from_worldbank!H17),"k",""))*1000,
       NA()))</f>
        <v>0.67</v>
      </c>
    </row>
    <row r="14" spans="1:10" x14ac:dyDescent="0.3">
      <c r="A14" t="str">
        <f>VLOOKUP(LOWER(B14),[1]country_name_iso_mapping!$A:$C,3, FALSE)</f>
        <v>BHS</v>
      </c>
      <c r="B14" t="s">
        <v>266</v>
      </c>
      <c r="C14" t="s">
        <v>13</v>
      </c>
      <c r="D14">
        <f>IF(ISNUMBER(Raw_from_worldbank!B18),Raw_from_worldbank!B18,  IF(ISNUMBER(SEARCH("k",Raw_from_worldbank!B18)),
       VALUE(SUBSTITUTE(LOWER(Raw_from_worldbank!B18),"k",""))*1000,
       NA()))</f>
        <v>0.84</v>
      </c>
      <c r="E14">
        <f>IF(ISNUMBER(Raw_from_worldbank!C18),Raw_from_worldbank!C18,  IF(ISNUMBER(SEARCH("k",Raw_from_worldbank!C18)),
       VALUE(SUBSTITUTE(LOWER(Raw_from_worldbank!C18),"k",""))*1000,
       NA()))</f>
        <v>0.77</v>
      </c>
      <c r="F14">
        <f>IF(ISNUMBER(Raw_from_worldbank!D18),Raw_from_worldbank!D18,  IF(ISNUMBER(SEARCH("k",Raw_from_worldbank!D18)),
       VALUE(SUBSTITUTE(LOWER(Raw_from_worldbank!D18),"k",""))*1000,
       NA()))</f>
        <v>0.76</v>
      </c>
      <c r="G14">
        <f>IF(ISNUMBER(Raw_from_worldbank!E18),Raw_from_worldbank!E18,  IF(ISNUMBER(SEARCH("k",Raw_from_worldbank!E18)),
       VALUE(SUBSTITUTE(LOWER(Raw_from_worldbank!E18),"k",""))*1000,
       NA()))</f>
        <v>0.76</v>
      </c>
      <c r="H14">
        <f>IF(ISNUMBER(Raw_from_worldbank!F18),Raw_from_worldbank!F18,  IF(ISNUMBER(SEARCH("k",Raw_from_worldbank!F18)),
       VALUE(SUBSTITUTE(LOWER(Raw_from_worldbank!F18),"k",""))*1000,
       NA()))</f>
        <v>0.76</v>
      </c>
      <c r="I14">
        <f>IF(ISNUMBER(Raw_from_worldbank!G18),Raw_from_worldbank!G18,  IF(ISNUMBER(SEARCH("k",Raw_from_worldbank!G18)),
       VALUE(SUBSTITUTE(LOWER(Raw_from_worldbank!G18),"k",""))*1000,
       NA()))</f>
        <v>0.76</v>
      </c>
      <c r="J14">
        <f>IF(ISNUMBER(Raw_from_worldbank!H18),Raw_from_worldbank!H18,  IF(ISNUMBER(SEARCH("k",Raw_from_worldbank!H18)),
       VALUE(SUBSTITUTE(LOWER(Raw_from_worldbank!H18),"k",""))*1000,
       NA()))</f>
        <v>0.76</v>
      </c>
    </row>
    <row r="15" spans="1:10" x14ac:dyDescent="0.3">
      <c r="A15" t="str">
        <f>VLOOKUP(LOWER(B15),[1]country_name_iso_mapping!$A:$C,3, FALSE)</f>
        <v>BHR</v>
      </c>
      <c r="B15" t="s">
        <v>14</v>
      </c>
      <c r="C15" t="s">
        <v>14</v>
      </c>
      <c r="D15">
        <f>IF(ISNUMBER(Raw_from_worldbank!B19),Raw_from_worldbank!B19,  IF(ISNUMBER(SEARCH("k",Raw_from_worldbank!B19)),
       VALUE(SUBSTITUTE(LOWER(Raw_from_worldbank!B19),"k",""))*1000,
       NA()))</f>
        <v>0.18</v>
      </c>
      <c r="E15">
        <f>IF(ISNUMBER(Raw_from_worldbank!C19),Raw_from_worldbank!C19,  IF(ISNUMBER(SEARCH("k",Raw_from_worldbank!C19)),
       VALUE(SUBSTITUTE(LOWER(Raw_from_worldbank!C19),"k",""))*1000,
       NA()))</f>
        <v>0.18</v>
      </c>
      <c r="F15">
        <f>IF(ISNUMBER(Raw_from_worldbank!D19),Raw_from_worldbank!D19,  IF(ISNUMBER(SEARCH("k",Raw_from_worldbank!D19)),
       VALUE(SUBSTITUTE(LOWER(Raw_from_worldbank!D19),"k",""))*1000,
       NA()))</f>
        <v>0.17</v>
      </c>
      <c r="G15">
        <f>IF(ISNUMBER(Raw_from_worldbank!E19),Raw_from_worldbank!E19,  IF(ISNUMBER(SEARCH("k",Raw_from_worldbank!E19)),
       VALUE(SUBSTITUTE(LOWER(Raw_from_worldbank!E19),"k",""))*1000,
       NA()))</f>
        <v>0.17</v>
      </c>
      <c r="H15">
        <f>IF(ISNUMBER(Raw_from_worldbank!F19),Raw_from_worldbank!F19,  IF(ISNUMBER(SEARCH("k",Raw_from_worldbank!F19)),
       VALUE(SUBSTITUTE(LOWER(Raw_from_worldbank!F19),"k",""))*1000,
       NA()))</f>
        <v>0.17</v>
      </c>
      <c r="I15">
        <f>IF(ISNUMBER(Raw_from_worldbank!G19),Raw_from_worldbank!G19,  IF(ISNUMBER(SEARCH("k",Raw_from_worldbank!G19)),
       VALUE(SUBSTITUTE(LOWER(Raw_from_worldbank!G19),"k",""))*1000,
       NA()))</f>
        <v>0.17</v>
      </c>
      <c r="J15">
        <f>IF(ISNUMBER(Raw_from_worldbank!H19),Raw_from_worldbank!H19,  IF(ISNUMBER(SEARCH("k",Raw_from_worldbank!H19)),
       VALUE(SUBSTITUTE(LOWER(Raw_from_worldbank!H19),"k",""))*1000,
       NA()))</f>
        <v>0.17</v>
      </c>
    </row>
    <row r="16" spans="1:10" x14ac:dyDescent="0.3">
      <c r="A16" t="str">
        <f>VLOOKUP(LOWER(B16),[1]country_name_iso_mapping!$A:$C,3, FALSE)</f>
        <v>BGD</v>
      </c>
      <c r="B16" t="s">
        <v>15</v>
      </c>
      <c r="C16" t="s">
        <v>15</v>
      </c>
      <c r="D16">
        <f>IF(ISNUMBER(Raw_from_worldbank!B20),Raw_from_worldbank!B20,  IF(ISNUMBER(SEARCH("k",Raw_from_worldbank!B20)),
       VALUE(SUBSTITUTE(LOWER(Raw_from_worldbank!B20),"k",""))*1000,
       NA()))</f>
        <v>31.9</v>
      </c>
      <c r="E16">
        <f>IF(ISNUMBER(Raw_from_worldbank!C20),Raw_from_worldbank!C20,  IF(ISNUMBER(SEARCH("k",Raw_from_worldbank!C20)),
       VALUE(SUBSTITUTE(LOWER(Raw_from_worldbank!C20),"k",""))*1000,
       NA()))</f>
        <v>31.3</v>
      </c>
      <c r="F16">
        <f>IF(ISNUMBER(Raw_from_worldbank!D20),Raw_from_worldbank!D20,  IF(ISNUMBER(SEARCH("k",Raw_from_worldbank!D20)),
       VALUE(SUBSTITUTE(LOWER(Raw_from_worldbank!D20),"k",""))*1000,
       NA()))</f>
        <v>32</v>
      </c>
      <c r="G16">
        <f>IF(ISNUMBER(Raw_from_worldbank!E20),Raw_from_worldbank!E20,  IF(ISNUMBER(SEARCH("k",Raw_from_worldbank!E20)),
       VALUE(SUBSTITUTE(LOWER(Raw_from_worldbank!E20),"k",""))*1000,
       NA()))</f>
        <v>32.9</v>
      </c>
      <c r="H16">
        <f>IF(ISNUMBER(Raw_from_worldbank!F20),Raw_from_worldbank!F20,  IF(ISNUMBER(SEARCH("k",Raw_from_worldbank!F20)),
       VALUE(SUBSTITUTE(LOWER(Raw_from_worldbank!F20),"k",""))*1000,
       NA()))</f>
        <v>34.1</v>
      </c>
      <c r="I16">
        <f>IF(ISNUMBER(Raw_from_worldbank!G20),Raw_from_worldbank!G20,  IF(ISNUMBER(SEARCH("k",Raw_from_worldbank!G20)),
       VALUE(SUBSTITUTE(LOWER(Raw_from_worldbank!G20),"k",""))*1000,
       NA()))</f>
        <v>35.4</v>
      </c>
      <c r="J16">
        <f>IF(ISNUMBER(Raw_from_worldbank!H20),Raw_from_worldbank!H20,  IF(ISNUMBER(SEARCH("k",Raw_from_worldbank!H20)),
       VALUE(SUBSTITUTE(LOWER(Raw_from_worldbank!H20),"k",""))*1000,
       NA()))</f>
        <v>36.700000000000003</v>
      </c>
    </row>
    <row r="17" spans="1:10" x14ac:dyDescent="0.3">
      <c r="A17" t="str">
        <f>VLOOKUP(LOWER(B17),[1]country_name_iso_mapping!$A:$C,3, FALSE)</f>
        <v>BRB</v>
      </c>
      <c r="B17" t="s">
        <v>16</v>
      </c>
      <c r="C17" t="s">
        <v>16</v>
      </c>
      <c r="D17">
        <f>IF(ISNUMBER(Raw_from_worldbank!B21),Raw_from_worldbank!B21,  IF(ISNUMBER(SEARCH("k",Raw_from_worldbank!B21)),
       VALUE(SUBSTITUTE(LOWER(Raw_from_worldbank!B21),"k",""))*1000,
       NA()))</f>
        <v>2.2999999999999998</v>
      </c>
      <c r="E17">
        <f>IF(ISNUMBER(Raw_from_worldbank!C21),Raw_from_worldbank!C21,  IF(ISNUMBER(SEARCH("k",Raw_from_worldbank!C21)),
       VALUE(SUBSTITUTE(LOWER(Raw_from_worldbank!C21),"k",""))*1000,
       NA()))</f>
        <v>2.2000000000000002</v>
      </c>
      <c r="F17">
        <f>IF(ISNUMBER(Raw_from_worldbank!D21),Raw_from_worldbank!D21,  IF(ISNUMBER(SEARCH("k",Raw_from_worldbank!D21)),
       VALUE(SUBSTITUTE(LOWER(Raw_from_worldbank!D21),"k",""))*1000,
       NA()))</f>
        <v>2.2999999999999998</v>
      </c>
      <c r="G17">
        <f>IF(ISNUMBER(Raw_from_worldbank!E21),Raw_from_worldbank!E21,  IF(ISNUMBER(SEARCH("k",Raw_from_worldbank!E21)),
       VALUE(SUBSTITUTE(LOWER(Raw_from_worldbank!E21),"k",""))*1000,
       NA()))</f>
        <v>2.2999999999999998</v>
      </c>
      <c r="H17">
        <f>IF(ISNUMBER(Raw_from_worldbank!F21),Raw_from_worldbank!F21,  IF(ISNUMBER(SEARCH("k",Raw_from_worldbank!F21)),
       VALUE(SUBSTITUTE(LOWER(Raw_from_worldbank!F21),"k",""))*1000,
       NA()))</f>
        <v>2.2999999999999998</v>
      </c>
      <c r="I17">
        <f>IF(ISNUMBER(Raw_from_worldbank!G21),Raw_from_worldbank!G21,  IF(ISNUMBER(SEARCH("k",Raw_from_worldbank!G21)),
       VALUE(SUBSTITUTE(LOWER(Raw_from_worldbank!G21),"k",""))*1000,
       NA()))</f>
        <v>2.2999999999999998</v>
      </c>
      <c r="J17">
        <f>IF(ISNUMBER(Raw_from_worldbank!H21),Raw_from_worldbank!H21,  IF(ISNUMBER(SEARCH("k",Raw_from_worldbank!H21)),
       VALUE(SUBSTITUTE(LOWER(Raw_from_worldbank!H21),"k",""))*1000,
       NA()))</f>
        <v>2.4</v>
      </c>
    </row>
    <row r="18" spans="1:10" x14ac:dyDescent="0.3">
      <c r="A18" t="str">
        <f>VLOOKUP(LOWER(B18),[1]country_name_iso_mapping!$A:$C,3, FALSE)</f>
        <v>BLR</v>
      </c>
      <c r="B18" t="s">
        <v>17</v>
      </c>
      <c r="C18" t="s">
        <v>17</v>
      </c>
      <c r="D18">
        <f>IF(ISNUMBER(Raw_from_worldbank!B22),Raw_from_worldbank!B22,  IF(ISNUMBER(SEARCH("k",Raw_from_worldbank!B22)),
       VALUE(SUBSTITUTE(LOWER(Raw_from_worldbank!B22),"k",""))*1000,
       NA()))</f>
        <v>0.85</v>
      </c>
      <c r="E18">
        <f>IF(ISNUMBER(Raw_from_worldbank!C22),Raw_from_worldbank!C22,  IF(ISNUMBER(SEARCH("k",Raw_from_worldbank!C22)),
       VALUE(SUBSTITUTE(LOWER(Raw_from_worldbank!C22),"k",""))*1000,
       NA()))</f>
        <v>0.92</v>
      </c>
      <c r="F18">
        <f>IF(ISNUMBER(Raw_from_worldbank!D22),Raw_from_worldbank!D22,  IF(ISNUMBER(SEARCH("k",Raw_from_worldbank!D22)),
       VALUE(SUBSTITUTE(LOWER(Raw_from_worldbank!D22),"k",""))*1000,
       NA()))</f>
        <v>0.97</v>
      </c>
      <c r="G18">
        <f>IF(ISNUMBER(Raw_from_worldbank!E22),Raw_from_worldbank!E22,  IF(ISNUMBER(SEARCH("k",Raw_from_worldbank!E22)),
       VALUE(SUBSTITUTE(LOWER(Raw_from_worldbank!E22),"k",""))*1000,
       NA()))</f>
        <v>0.97</v>
      </c>
      <c r="H18">
        <f>IF(ISNUMBER(Raw_from_worldbank!F22),Raw_from_worldbank!F22,  IF(ISNUMBER(SEARCH("k",Raw_from_worldbank!F22)),
       VALUE(SUBSTITUTE(LOWER(Raw_from_worldbank!F22),"k",""))*1000,
       NA()))</f>
        <v>1</v>
      </c>
      <c r="I18">
        <f>IF(ISNUMBER(Raw_from_worldbank!G22),Raw_from_worldbank!G22,  IF(ISNUMBER(SEARCH("k",Raw_from_worldbank!G22)),
       VALUE(SUBSTITUTE(LOWER(Raw_from_worldbank!G22),"k",""))*1000,
       NA()))</f>
        <v>1.1000000000000001</v>
      </c>
      <c r="J18">
        <f>IF(ISNUMBER(Raw_from_worldbank!H22),Raw_from_worldbank!H22,  IF(ISNUMBER(SEARCH("k",Raw_from_worldbank!H22)),
       VALUE(SUBSTITUTE(LOWER(Raw_from_worldbank!H22),"k",""))*1000,
       NA()))</f>
        <v>1.1000000000000001</v>
      </c>
    </row>
    <row r="19" spans="1:10" x14ac:dyDescent="0.3">
      <c r="A19" t="str">
        <f>VLOOKUP(LOWER(B19),[1]country_name_iso_mapping!$A:$C,3, FALSE)</f>
        <v>BEL</v>
      </c>
      <c r="B19" t="s">
        <v>18</v>
      </c>
      <c r="C19" t="s">
        <v>18</v>
      </c>
      <c r="D19">
        <f>IF(ISNUMBER(Raw_from_worldbank!B23),Raw_from_worldbank!B23,  IF(ISNUMBER(SEARCH("k",Raw_from_worldbank!B23)),
       VALUE(SUBSTITUTE(LOWER(Raw_from_worldbank!B23),"k",""))*1000,
       NA()))</f>
        <v>0.76</v>
      </c>
      <c r="E19">
        <f>IF(ISNUMBER(Raw_from_worldbank!C23),Raw_from_worldbank!C23,  IF(ISNUMBER(SEARCH("k",Raw_from_worldbank!C23)),
       VALUE(SUBSTITUTE(LOWER(Raw_from_worldbank!C23),"k",""))*1000,
       NA()))</f>
        <v>0.75</v>
      </c>
      <c r="F19">
        <f>IF(ISNUMBER(Raw_from_worldbank!D23),Raw_from_worldbank!D23,  IF(ISNUMBER(SEARCH("k",Raw_from_worldbank!D23)),
       VALUE(SUBSTITUTE(LOWER(Raw_from_worldbank!D23),"k",""))*1000,
       NA()))</f>
        <v>0.75</v>
      </c>
      <c r="G19">
        <f>IF(ISNUMBER(Raw_from_worldbank!E23),Raw_from_worldbank!E23,  IF(ISNUMBER(SEARCH("k",Raw_from_worldbank!E23)),
       VALUE(SUBSTITUTE(LOWER(Raw_from_worldbank!E23),"k",""))*1000,
       NA()))</f>
        <v>0.76</v>
      </c>
      <c r="H19">
        <f>IF(ISNUMBER(Raw_from_worldbank!F23),Raw_from_worldbank!F23,  IF(ISNUMBER(SEARCH("k",Raw_from_worldbank!F23)),
       VALUE(SUBSTITUTE(LOWER(Raw_from_worldbank!F23),"k",""))*1000,
       NA()))</f>
        <v>0.76</v>
      </c>
      <c r="I19">
        <f>IF(ISNUMBER(Raw_from_worldbank!G23),Raw_from_worldbank!G23,  IF(ISNUMBER(SEARCH("k",Raw_from_worldbank!G23)),
       VALUE(SUBSTITUTE(LOWER(Raw_from_worldbank!G23),"k",""))*1000,
       NA()))</f>
        <v>0.76</v>
      </c>
      <c r="J19">
        <f>IF(ISNUMBER(Raw_from_worldbank!H23),Raw_from_worldbank!H23,  IF(ISNUMBER(SEARCH("k",Raw_from_worldbank!H23)),
       VALUE(SUBSTITUTE(LOWER(Raw_from_worldbank!H23),"k",""))*1000,
       NA()))</f>
        <v>0.76</v>
      </c>
    </row>
    <row r="20" spans="1:10" x14ac:dyDescent="0.3">
      <c r="A20" t="str">
        <f>VLOOKUP(LOWER(B20),[1]country_name_iso_mapping!$A:$C,3, FALSE)</f>
        <v>BLZ</v>
      </c>
      <c r="B20" t="s">
        <v>19</v>
      </c>
      <c r="C20" t="s">
        <v>19</v>
      </c>
      <c r="D20">
        <f>IF(ISNUMBER(Raw_from_worldbank!B24),Raw_from_worldbank!B24,  IF(ISNUMBER(SEARCH("k",Raw_from_worldbank!B24)),
       VALUE(SUBSTITUTE(LOWER(Raw_from_worldbank!B24),"k",""))*1000,
       NA()))</f>
        <v>1.2</v>
      </c>
      <c r="E20">
        <f>IF(ISNUMBER(Raw_from_worldbank!C24),Raw_from_worldbank!C24,  IF(ISNUMBER(SEARCH("k",Raw_from_worldbank!C24)),
       VALUE(SUBSTITUTE(LOWER(Raw_from_worldbank!C24),"k",""))*1000,
       NA()))</f>
        <v>1.3</v>
      </c>
      <c r="F20">
        <f>IF(ISNUMBER(Raw_from_worldbank!D24),Raw_from_worldbank!D24,  IF(ISNUMBER(SEARCH("k",Raw_from_worldbank!D24)),
       VALUE(SUBSTITUTE(LOWER(Raw_from_worldbank!D24),"k",""))*1000,
       NA()))</f>
        <v>1.3</v>
      </c>
      <c r="G20">
        <f>IF(ISNUMBER(Raw_from_worldbank!E24),Raw_from_worldbank!E24,  IF(ISNUMBER(SEARCH("k",Raw_from_worldbank!E24)),
       VALUE(SUBSTITUTE(LOWER(Raw_from_worldbank!E24),"k",""))*1000,
       NA()))</f>
        <v>1.3</v>
      </c>
      <c r="H20">
        <f>IF(ISNUMBER(Raw_from_worldbank!F24),Raw_from_worldbank!F24,  IF(ISNUMBER(SEARCH("k",Raw_from_worldbank!F24)),
       VALUE(SUBSTITUTE(LOWER(Raw_from_worldbank!F24),"k",""))*1000,
       NA()))</f>
        <v>1.3</v>
      </c>
      <c r="I20">
        <f>IF(ISNUMBER(Raw_from_worldbank!G24),Raw_from_worldbank!G24,  IF(ISNUMBER(SEARCH("k",Raw_from_worldbank!G24)),
       VALUE(SUBSTITUTE(LOWER(Raw_from_worldbank!G24),"k",""))*1000,
       NA()))</f>
        <v>1.3</v>
      </c>
      <c r="J20">
        <f>IF(ISNUMBER(Raw_from_worldbank!H24),Raw_from_worldbank!H24,  IF(ISNUMBER(SEARCH("k",Raw_from_worldbank!H24)),
       VALUE(SUBSTITUTE(LOWER(Raw_from_worldbank!H24),"k",""))*1000,
       NA()))</f>
        <v>1.3</v>
      </c>
    </row>
    <row r="21" spans="1:10" x14ac:dyDescent="0.3">
      <c r="A21" t="str">
        <f>VLOOKUP(LOWER(B21),[1]country_name_iso_mapping!$A:$C,3, FALSE)</f>
        <v>BEN</v>
      </c>
      <c r="B21" t="s">
        <v>20</v>
      </c>
      <c r="C21" t="s">
        <v>20</v>
      </c>
      <c r="D21">
        <f>IF(ISNUMBER(Raw_from_worldbank!B25),Raw_from_worldbank!B25,  IF(ISNUMBER(SEARCH("k",Raw_from_worldbank!B25)),
       VALUE(SUBSTITUTE(LOWER(Raw_from_worldbank!B25),"k",""))*1000,
       NA()))</f>
        <v>206.2</v>
      </c>
      <c r="E21">
        <f>IF(ISNUMBER(Raw_from_worldbank!C25),Raw_from_worldbank!C25,  IF(ISNUMBER(SEARCH("k",Raw_from_worldbank!C25)),
       VALUE(SUBSTITUTE(LOWER(Raw_from_worldbank!C25),"k",""))*1000,
       NA()))</f>
        <v>200.6</v>
      </c>
      <c r="F21">
        <f>IF(ISNUMBER(Raw_from_worldbank!D25),Raw_from_worldbank!D25,  IF(ISNUMBER(SEARCH("k",Raw_from_worldbank!D25)),
       VALUE(SUBSTITUTE(LOWER(Raw_from_worldbank!D25),"k",""))*1000,
       NA()))</f>
        <v>198.3</v>
      </c>
      <c r="G21">
        <f>IF(ISNUMBER(Raw_from_worldbank!E25),Raw_from_worldbank!E25,  IF(ISNUMBER(SEARCH("k",Raw_from_worldbank!E25)),
       VALUE(SUBSTITUTE(LOWER(Raw_from_worldbank!E25),"k",""))*1000,
       NA()))</f>
        <v>199.4</v>
      </c>
      <c r="H21">
        <f>IF(ISNUMBER(Raw_from_worldbank!F25),Raw_from_worldbank!F25,  IF(ISNUMBER(SEARCH("k",Raw_from_worldbank!F25)),
       VALUE(SUBSTITUTE(LOWER(Raw_from_worldbank!F25),"k",""))*1000,
       NA()))</f>
        <v>199.9</v>
      </c>
      <c r="I21">
        <f>IF(ISNUMBER(Raw_from_worldbank!G25),Raw_from_worldbank!G25,  IF(ISNUMBER(SEARCH("k",Raw_from_worldbank!G25)),
       VALUE(SUBSTITUTE(LOWER(Raw_from_worldbank!G25),"k",""))*1000,
       NA()))</f>
        <v>200.1</v>
      </c>
      <c r="J21">
        <f>IF(ISNUMBER(Raw_from_worldbank!H25),Raw_from_worldbank!H25,  IF(ISNUMBER(SEARCH("k",Raw_from_worldbank!H25)),
       VALUE(SUBSTITUTE(LOWER(Raw_from_worldbank!H25),"k",""))*1000,
       NA()))</f>
        <v>200.3</v>
      </c>
    </row>
    <row r="22" spans="1:10" x14ac:dyDescent="0.3">
      <c r="A22" t="str">
        <f>VLOOKUP(LOWER(B22),[1]country_name_iso_mapping!$A:$C,3, FALSE)</f>
        <v>BTN</v>
      </c>
      <c r="B22" t="s">
        <v>21</v>
      </c>
      <c r="C22" t="s">
        <v>21</v>
      </c>
      <c r="D22">
        <f>IF(ISNUMBER(Raw_from_worldbank!B26),Raw_from_worldbank!B26,  IF(ISNUMBER(SEARCH("k",Raw_from_worldbank!B26)),
       VALUE(SUBSTITUTE(LOWER(Raw_from_worldbank!B26),"k",""))*1000,
       NA()))</f>
        <v>20.3</v>
      </c>
      <c r="E22">
        <f>IF(ISNUMBER(Raw_from_worldbank!C26),Raw_from_worldbank!C26,  IF(ISNUMBER(SEARCH("k",Raw_from_worldbank!C26)),
       VALUE(SUBSTITUTE(LOWER(Raw_from_worldbank!C26),"k",""))*1000,
       NA()))</f>
        <v>20.2</v>
      </c>
      <c r="F22">
        <f>IF(ISNUMBER(Raw_from_worldbank!D26),Raw_from_worldbank!D26,  IF(ISNUMBER(SEARCH("k",Raw_from_worldbank!D26)),
       VALUE(SUBSTITUTE(LOWER(Raw_from_worldbank!D26),"k",""))*1000,
       NA()))</f>
        <v>20.399999999999999</v>
      </c>
      <c r="G22">
        <f>IF(ISNUMBER(Raw_from_worldbank!E26),Raw_from_worldbank!E26,  IF(ISNUMBER(SEARCH("k",Raw_from_worldbank!E26)),
       VALUE(SUBSTITUTE(LOWER(Raw_from_worldbank!E26),"k",""))*1000,
       NA()))</f>
        <v>20.9</v>
      </c>
      <c r="H22">
        <f>IF(ISNUMBER(Raw_from_worldbank!F26),Raw_from_worldbank!F26,  IF(ISNUMBER(SEARCH("k",Raw_from_worldbank!F26)),
       VALUE(SUBSTITUTE(LOWER(Raw_from_worldbank!F26),"k",""))*1000,
       NA()))</f>
        <v>21.5</v>
      </c>
      <c r="I22">
        <f>IF(ISNUMBER(Raw_from_worldbank!G26),Raw_from_worldbank!G26,  IF(ISNUMBER(SEARCH("k",Raw_from_worldbank!G26)),
       VALUE(SUBSTITUTE(LOWER(Raw_from_worldbank!G26),"k",""))*1000,
       NA()))</f>
        <v>22</v>
      </c>
      <c r="J22">
        <f>IF(ISNUMBER(Raw_from_worldbank!H26),Raw_from_worldbank!H26,  IF(ISNUMBER(SEARCH("k",Raw_from_worldbank!H26)),
       VALUE(SUBSTITUTE(LOWER(Raw_from_worldbank!H26),"k",""))*1000,
       NA()))</f>
        <v>22.5</v>
      </c>
    </row>
    <row r="23" spans="1:10" x14ac:dyDescent="0.3">
      <c r="A23" t="str">
        <f>VLOOKUP(LOWER(B23),[1]country_name_iso_mapping!$A:$C,3, FALSE)</f>
        <v>BOL</v>
      </c>
      <c r="B23" t="s">
        <v>267</v>
      </c>
      <c r="C23" t="s">
        <v>22</v>
      </c>
      <c r="D23">
        <f>IF(ISNUMBER(Raw_from_worldbank!B27),Raw_from_worldbank!B27,  IF(ISNUMBER(SEARCH("k",Raw_from_worldbank!B27)),
       VALUE(SUBSTITUTE(LOWER(Raw_from_worldbank!B27),"k",""))*1000,
       NA()))</f>
        <v>2.6</v>
      </c>
      <c r="E23">
        <f>IF(ISNUMBER(Raw_from_worldbank!C27),Raw_from_worldbank!C27,  IF(ISNUMBER(SEARCH("k",Raw_from_worldbank!C27)),
       VALUE(SUBSTITUTE(LOWER(Raw_from_worldbank!C27),"k",""))*1000,
       NA()))</f>
        <v>2.6</v>
      </c>
      <c r="F23">
        <f>IF(ISNUMBER(Raw_from_worldbank!D27),Raw_from_worldbank!D27,  IF(ISNUMBER(SEARCH("k",Raw_from_worldbank!D27)),
       VALUE(SUBSTITUTE(LOWER(Raw_from_worldbank!D27),"k",""))*1000,
       NA()))</f>
        <v>2.5</v>
      </c>
      <c r="G23">
        <f>IF(ISNUMBER(Raw_from_worldbank!E27),Raw_from_worldbank!E27,  IF(ISNUMBER(SEARCH("k",Raw_from_worldbank!E27)),
       VALUE(SUBSTITUTE(LOWER(Raw_from_worldbank!E27),"k",""))*1000,
       NA()))</f>
        <v>2.6</v>
      </c>
      <c r="H23">
        <f>IF(ISNUMBER(Raw_from_worldbank!F27),Raw_from_worldbank!F27,  IF(ISNUMBER(SEARCH("k",Raw_from_worldbank!F27)),
       VALUE(SUBSTITUTE(LOWER(Raw_from_worldbank!F27),"k",""))*1000,
       NA()))</f>
        <v>2.6</v>
      </c>
      <c r="I23">
        <f>IF(ISNUMBER(Raw_from_worldbank!G27),Raw_from_worldbank!G27,  IF(ISNUMBER(SEARCH("k",Raw_from_worldbank!G27)),
       VALUE(SUBSTITUTE(LOWER(Raw_from_worldbank!G27),"k",""))*1000,
       NA()))</f>
        <v>2.7</v>
      </c>
      <c r="J23">
        <f>IF(ISNUMBER(Raw_from_worldbank!H27),Raw_from_worldbank!H27,  IF(ISNUMBER(SEARCH("k",Raw_from_worldbank!H27)),
       VALUE(SUBSTITUTE(LOWER(Raw_from_worldbank!H27),"k",""))*1000,
       NA()))</f>
        <v>2.7</v>
      </c>
    </row>
    <row r="24" spans="1:10" x14ac:dyDescent="0.3">
      <c r="A24" t="str">
        <f>VLOOKUP(LOWER(B24),[1]country_name_iso_mapping!$A:$C,3, FALSE)</f>
        <v>BIH</v>
      </c>
      <c r="B24" t="s">
        <v>23</v>
      </c>
      <c r="C24" t="s">
        <v>23</v>
      </c>
      <c r="D24">
        <f>IF(ISNUMBER(Raw_from_worldbank!B28),Raw_from_worldbank!B28,  IF(ISNUMBER(SEARCH("k",Raw_from_worldbank!B28)),
       VALUE(SUBSTITUTE(LOWER(Raw_from_worldbank!B28),"k",""))*1000,
       NA()))</f>
        <v>0.68</v>
      </c>
      <c r="E24">
        <f>IF(ISNUMBER(Raw_from_worldbank!C28),Raw_from_worldbank!C28,  IF(ISNUMBER(SEARCH("k",Raw_from_worldbank!C28)),
       VALUE(SUBSTITUTE(LOWER(Raw_from_worldbank!C28),"k",""))*1000,
       NA()))</f>
        <v>0.71</v>
      </c>
      <c r="F24">
        <f>IF(ISNUMBER(Raw_from_worldbank!D28),Raw_from_worldbank!D28,  IF(ISNUMBER(SEARCH("k",Raw_from_worldbank!D28)),
       VALUE(SUBSTITUTE(LOWER(Raw_from_worldbank!D28),"k",""))*1000,
       NA()))</f>
        <v>0.72</v>
      </c>
      <c r="G24">
        <f>IF(ISNUMBER(Raw_from_worldbank!E28),Raw_from_worldbank!E28,  IF(ISNUMBER(SEARCH("k",Raw_from_worldbank!E28)),
       VALUE(SUBSTITUTE(LOWER(Raw_from_worldbank!E28),"k",""))*1000,
       NA()))</f>
        <v>0.73</v>
      </c>
      <c r="H24">
        <f>IF(ISNUMBER(Raw_from_worldbank!F28),Raw_from_worldbank!F28,  IF(ISNUMBER(SEARCH("k",Raw_from_worldbank!F28)),
       VALUE(SUBSTITUTE(LOWER(Raw_from_worldbank!F28),"k",""))*1000,
       NA()))</f>
        <v>0.74</v>
      </c>
      <c r="I24">
        <f>IF(ISNUMBER(Raw_from_worldbank!G28),Raw_from_worldbank!G28,  IF(ISNUMBER(SEARCH("k",Raw_from_worldbank!G28)),
       VALUE(SUBSTITUTE(LOWER(Raw_from_worldbank!G28),"k",""))*1000,
       NA()))</f>
        <v>0.74</v>
      </c>
      <c r="J24">
        <f>IF(ISNUMBER(Raw_from_worldbank!H28),Raw_from_worldbank!H28,  IF(ISNUMBER(SEARCH("k",Raw_from_worldbank!H28)),
       VALUE(SUBSTITUTE(LOWER(Raw_from_worldbank!H28),"k",""))*1000,
       NA()))</f>
        <v>0.74</v>
      </c>
    </row>
    <row r="25" spans="1:10" x14ac:dyDescent="0.3">
      <c r="A25" t="str">
        <f>VLOOKUP(LOWER(B25),[1]country_name_iso_mapping!$A:$C,3, FALSE)</f>
        <v>BWA</v>
      </c>
      <c r="B25" t="s">
        <v>24</v>
      </c>
      <c r="C25" t="s">
        <v>24</v>
      </c>
      <c r="D25">
        <f>IF(ISNUMBER(Raw_from_worldbank!B29),Raw_from_worldbank!B29,  IF(ISNUMBER(SEARCH("k",Raw_from_worldbank!B29)),
       VALUE(SUBSTITUTE(LOWER(Raw_from_worldbank!B29),"k",""))*1000,
       NA()))</f>
        <v>4.9000000000000004</v>
      </c>
      <c r="E25">
        <f>IF(ISNUMBER(Raw_from_worldbank!C29),Raw_from_worldbank!C29,  IF(ISNUMBER(SEARCH("k",Raw_from_worldbank!C29)),
       VALUE(SUBSTITUTE(LOWER(Raw_from_worldbank!C29),"k",""))*1000,
       NA()))</f>
        <v>5.2</v>
      </c>
      <c r="F25">
        <f>IF(ISNUMBER(Raw_from_worldbank!D29),Raw_from_worldbank!D29,  IF(ISNUMBER(SEARCH("k",Raw_from_worldbank!D29)),
       VALUE(SUBSTITUTE(LOWER(Raw_from_worldbank!D29),"k",""))*1000,
       NA()))</f>
        <v>5.4</v>
      </c>
      <c r="G25">
        <f>IF(ISNUMBER(Raw_from_worldbank!E29),Raw_from_worldbank!E29,  IF(ISNUMBER(SEARCH("k",Raw_from_worldbank!E29)),
       VALUE(SUBSTITUTE(LOWER(Raw_from_worldbank!E29),"k",""))*1000,
       NA()))</f>
        <v>5.3</v>
      </c>
      <c r="H25">
        <f>IF(ISNUMBER(Raw_from_worldbank!F29),Raw_from_worldbank!F29,  IF(ISNUMBER(SEARCH("k",Raw_from_worldbank!F29)),
       VALUE(SUBSTITUTE(LOWER(Raw_from_worldbank!F29),"k",""))*1000,
       NA()))</f>
        <v>5.5</v>
      </c>
      <c r="I25">
        <f>IF(ISNUMBER(Raw_from_worldbank!G29),Raw_from_worldbank!G29,  IF(ISNUMBER(SEARCH("k",Raw_from_worldbank!G29)),
       VALUE(SUBSTITUTE(LOWER(Raw_from_worldbank!G29),"k",""))*1000,
       NA()))</f>
        <v>5.7</v>
      </c>
      <c r="J25">
        <f>IF(ISNUMBER(Raw_from_worldbank!H29),Raw_from_worldbank!H29,  IF(ISNUMBER(SEARCH("k",Raw_from_worldbank!H29)),
       VALUE(SUBSTITUTE(LOWER(Raw_from_worldbank!H29),"k",""))*1000,
       NA()))</f>
        <v>5.9</v>
      </c>
    </row>
    <row r="26" spans="1:10" x14ac:dyDescent="0.3">
      <c r="A26" t="str">
        <f>VLOOKUP(LOWER(B26),[1]country_name_iso_mapping!$A:$C,3, FALSE)</f>
        <v>BRA</v>
      </c>
      <c r="B26" t="s">
        <v>25</v>
      </c>
      <c r="C26" t="s">
        <v>25</v>
      </c>
      <c r="D26">
        <f>IF(ISNUMBER(Raw_from_worldbank!B30),Raw_from_worldbank!B30,  IF(ISNUMBER(SEARCH("k",Raw_from_worldbank!B30)),
       VALUE(SUBSTITUTE(LOWER(Raw_from_worldbank!B30),"k",""))*1000,
       NA()))</f>
        <v>2.6</v>
      </c>
      <c r="E26">
        <f>IF(ISNUMBER(Raw_from_worldbank!C30),Raw_from_worldbank!C30,  IF(ISNUMBER(SEARCH("k",Raw_from_worldbank!C30)),
       VALUE(SUBSTITUTE(LOWER(Raw_from_worldbank!C30),"k",""))*1000,
       NA()))</f>
        <v>2.6</v>
      </c>
      <c r="F26">
        <f>IF(ISNUMBER(Raw_from_worldbank!D30),Raw_from_worldbank!D30,  IF(ISNUMBER(SEARCH("k",Raw_from_worldbank!D30)),
       VALUE(SUBSTITUTE(LOWER(Raw_from_worldbank!D30),"k",""))*1000,
       NA()))</f>
        <v>2.7</v>
      </c>
      <c r="G26">
        <f>IF(ISNUMBER(Raw_from_worldbank!E30),Raw_from_worldbank!E30,  IF(ISNUMBER(SEARCH("k",Raw_from_worldbank!E30)),
       VALUE(SUBSTITUTE(LOWER(Raw_from_worldbank!E30),"k",""))*1000,
       NA()))</f>
        <v>2.7</v>
      </c>
      <c r="H26">
        <f>IF(ISNUMBER(Raw_from_worldbank!F30),Raw_from_worldbank!F30,  IF(ISNUMBER(SEARCH("k",Raw_from_worldbank!F30)),
       VALUE(SUBSTITUTE(LOWER(Raw_from_worldbank!F30),"k",""))*1000,
       NA()))</f>
        <v>2.8</v>
      </c>
      <c r="I26">
        <f>IF(ISNUMBER(Raw_from_worldbank!G30),Raw_from_worldbank!G30,  IF(ISNUMBER(SEARCH("k",Raw_from_worldbank!G30)),
       VALUE(SUBSTITUTE(LOWER(Raw_from_worldbank!G30),"k",""))*1000,
       NA()))</f>
        <v>2.8</v>
      </c>
      <c r="J26">
        <f>IF(ISNUMBER(Raw_from_worldbank!H30),Raw_from_worldbank!H30,  IF(ISNUMBER(SEARCH("k",Raw_from_worldbank!H30)),
       VALUE(SUBSTITUTE(LOWER(Raw_from_worldbank!H30),"k",""))*1000,
       NA()))</f>
        <v>2.9</v>
      </c>
    </row>
    <row r="27" spans="1:10" x14ac:dyDescent="0.3">
      <c r="A27" t="str">
        <f>VLOOKUP(LOWER(B27),[1]country_name_iso_mapping!$A:$C,3, FALSE)</f>
        <v>BRN</v>
      </c>
      <c r="B27" t="s">
        <v>26</v>
      </c>
      <c r="C27" t="s">
        <v>26</v>
      </c>
      <c r="D27">
        <f>IF(ISNUMBER(Raw_from_worldbank!B31),Raw_from_worldbank!B31,  IF(ISNUMBER(SEARCH("k",Raw_from_worldbank!B31)),
       VALUE(SUBSTITUTE(LOWER(Raw_from_worldbank!B31),"k",""))*1000,
       NA()))</f>
        <v>0.64</v>
      </c>
      <c r="E27">
        <f>IF(ISNUMBER(Raw_from_worldbank!C31),Raw_from_worldbank!C31,  IF(ISNUMBER(SEARCH("k",Raw_from_worldbank!C31)),
       VALUE(SUBSTITUTE(LOWER(Raw_from_worldbank!C31),"k",""))*1000,
       NA()))</f>
        <v>0.74</v>
      </c>
      <c r="F27">
        <f>IF(ISNUMBER(Raw_from_worldbank!D31),Raw_from_worldbank!D31,  IF(ISNUMBER(SEARCH("k",Raw_from_worldbank!D31)),
       VALUE(SUBSTITUTE(LOWER(Raw_from_worldbank!D31),"k",""))*1000,
       NA()))</f>
        <v>0.62</v>
      </c>
      <c r="G27">
        <f>IF(ISNUMBER(Raw_from_worldbank!E31),Raw_from_worldbank!E31,  IF(ISNUMBER(SEARCH("k",Raw_from_worldbank!E31)),
       VALUE(SUBSTITUTE(LOWER(Raw_from_worldbank!E31),"k",""))*1000,
       NA()))</f>
        <v>0.61</v>
      </c>
      <c r="H27">
        <f>IF(ISNUMBER(Raw_from_worldbank!F31),Raw_from_worldbank!F31,  IF(ISNUMBER(SEARCH("k",Raw_from_worldbank!F31)),
       VALUE(SUBSTITUTE(LOWER(Raw_from_worldbank!F31),"k",""))*1000,
       NA()))</f>
        <v>0.62</v>
      </c>
      <c r="I27">
        <f>IF(ISNUMBER(Raw_from_worldbank!G31),Raw_from_worldbank!G31,  IF(ISNUMBER(SEARCH("k",Raw_from_worldbank!G31)),
       VALUE(SUBSTITUTE(LOWER(Raw_from_worldbank!G31),"k",""))*1000,
       NA()))</f>
        <v>0.61</v>
      </c>
      <c r="J27">
        <f>IF(ISNUMBER(Raw_from_worldbank!H31),Raw_from_worldbank!H31,  IF(ISNUMBER(SEARCH("k",Raw_from_worldbank!H31)),
       VALUE(SUBSTITUTE(LOWER(Raw_from_worldbank!H31),"k",""))*1000,
       NA()))</f>
        <v>0.61</v>
      </c>
    </row>
    <row r="28" spans="1:10" x14ac:dyDescent="0.3">
      <c r="A28" t="str">
        <f>VLOOKUP(LOWER(B28),[1]country_name_iso_mapping!$A:$C,3, FALSE)</f>
        <v>BGR</v>
      </c>
      <c r="B28" t="s">
        <v>27</v>
      </c>
      <c r="C28" t="s">
        <v>27</v>
      </c>
      <c r="D28">
        <f>IF(ISNUMBER(Raw_from_worldbank!B32),Raw_from_worldbank!B32,  IF(ISNUMBER(SEARCH("k",Raw_from_worldbank!B32)),
       VALUE(SUBSTITUTE(LOWER(Raw_from_worldbank!B32),"k",""))*1000,
       NA()))</f>
        <v>0.75</v>
      </c>
      <c r="E28">
        <f>IF(ISNUMBER(Raw_from_worldbank!C32),Raw_from_worldbank!C32,  IF(ISNUMBER(SEARCH("k",Raw_from_worldbank!C32)),
       VALUE(SUBSTITUTE(LOWER(Raw_from_worldbank!C32),"k",""))*1000,
       NA()))</f>
        <v>0.81</v>
      </c>
      <c r="F28">
        <f>IF(ISNUMBER(Raw_from_worldbank!D32),Raw_from_worldbank!D32,  IF(ISNUMBER(SEARCH("k",Raw_from_worldbank!D32)),
       VALUE(SUBSTITUTE(LOWER(Raw_from_worldbank!D32),"k",""))*1000,
       NA()))</f>
        <v>0.84</v>
      </c>
      <c r="G28">
        <f>IF(ISNUMBER(Raw_from_worldbank!E32),Raw_from_worldbank!E32,  IF(ISNUMBER(SEARCH("k",Raw_from_worldbank!E32)),
       VALUE(SUBSTITUTE(LOWER(Raw_from_worldbank!E32),"k",""))*1000,
       NA()))</f>
        <v>0.85</v>
      </c>
      <c r="H28">
        <f>IF(ISNUMBER(Raw_from_worldbank!F32),Raw_from_worldbank!F32,  IF(ISNUMBER(SEARCH("k",Raw_from_worldbank!F32)),
       VALUE(SUBSTITUTE(LOWER(Raw_from_worldbank!F32),"k",""))*1000,
       NA()))</f>
        <v>0.87</v>
      </c>
      <c r="I28">
        <f>IF(ISNUMBER(Raw_from_worldbank!G32),Raw_from_worldbank!G32,  IF(ISNUMBER(SEARCH("k",Raw_from_worldbank!G32)),
       VALUE(SUBSTITUTE(LOWER(Raw_from_worldbank!G32),"k",""))*1000,
       NA()))</f>
        <v>0.87</v>
      </c>
      <c r="J28">
        <f>IF(ISNUMBER(Raw_from_worldbank!H32),Raw_from_worldbank!H32,  IF(ISNUMBER(SEARCH("k",Raw_from_worldbank!H32)),
       VALUE(SUBSTITUTE(LOWER(Raw_from_worldbank!H32),"k",""))*1000,
       NA()))</f>
        <v>0.88</v>
      </c>
    </row>
    <row r="29" spans="1:10" x14ac:dyDescent="0.3">
      <c r="A29" t="str">
        <f>VLOOKUP(LOWER(B29),[1]country_name_iso_mapping!$A:$C,3, FALSE)</f>
        <v>BFA</v>
      </c>
      <c r="B29" t="s">
        <v>28</v>
      </c>
      <c r="C29" t="s">
        <v>28</v>
      </c>
      <c r="D29">
        <f>IF(ISNUMBER(Raw_from_worldbank!B33),Raw_from_worldbank!B33,  IF(ISNUMBER(SEARCH("k",Raw_from_worldbank!B33)),
       VALUE(SUBSTITUTE(LOWER(Raw_from_worldbank!B33),"k",""))*1000,
       NA()))</f>
        <v>205.6</v>
      </c>
      <c r="E29">
        <f>IF(ISNUMBER(Raw_from_worldbank!C33),Raw_from_worldbank!C33,  IF(ISNUMBER(SEARCH("k",Raw_from_worldbank!C33)),
       VALUE(SUBSTITUTE(LOWER(Raw_from_worldbank!C33),"k",""))*1000,
       NA()))</f>
        <v>203.9</v>
      </c>
      <c r="F29">
        <f>IF(ISNUMBER(Raw_from_worldbank!D33),Raw_from_worldbank!D33,  IF(ISNUMBER(SEARCH("k",Raw_from_worldbank!D33)),
       VALUE(SUBSTITUTE(LOWER(Raw_from_worldbank!D33),"k",""))*1000,
       NA()))</f>
        <v>199.5</v>
      </c>
      <c r="G29">
        <f>IF(ISNUMBER(Raw_from_worldbank!E33),Raw_from_worldbank!E33,  IF(ISNUMBER(SEARCH("k",Raw_from_worldbank!E33)),
       VALUE(SUBSTITUTE(LOWER(Raw_from_worldbank!E33),"k",""))*1000,
       NA()))</f>
        <v>199.1</v>
      </c>
      <c r="H29">
        <f>IF(ISNUMBER(Raw_from_worldbank!F33),Raw_from_worldbank!F33,  IF(ISNUMBER(SEARCH("k",Raw_from_worldbank!F33)),
       VALUE(SUBSTITUTE(LOWER(Raw_from_worldbank!F33),"k",""))*1000,
       NA()))</f>
        <v>199.9</v>
      </c>
      <c r="I29">
        <f>IF(ISNUMBER(Raw_from_worldbank!G33),Raw_from_worldbank!G33,  IF(ISNUMBER(SEARCH("k",Raw_from_worldbank!G33)),
       VALUE(SUBSTITUTE(LOWER(Raw_from_worldbank!G33),"k",""))*1000,
       NA()))</f>
        <v>200.4</v>
      </c>
      <c r="J29">
        <f>IF(ISNUMBER(Raw_from_worldbank!H33),Raw_from_worldbank!H33,  IF(ISNUMBER(SEARCH("k",Raw_from_worldbank!H33)),
       VALUE(SUBSTITUTE(LOWER(Raw_from_worldbank!H33),"k",""))*1000,
       NA()))</f>
        <v>200.9</v>
      </c>
    </row>
    <row r="30" spans="1:10" x14ac:dyDescent="0.3">
      <c r="A30" t="str">
        <f>VLOOKUP(LOWER(B30),[1]country_name_iso_mapping!$A:$C,3, FALSE)</f>
        <v>BDI</v>
      </c>
      <c r="B30" t="s">
        <v>29</v>
      </c>
      <c r="C30" t="s">
        <v>29</v>
      </c>
      <c r="D30">
        <f>IF(ISNUMBER(Raw_from_worldbank!B34),Raw_from_worldbank!B34,  IF(ISNUMBER(SEARCH("k",Raw_from_worldbank!B34)),
       VALUE(SUBSTITUTE(LOWER(Raw_from_worldbank!B34),"k",""))*1000,
       NA()))</f>
        <v>669.1</v>
      </c>
      <c r="E30">
        <f>IF(ISNUMBER(Raw_from_worldbank!C34),Raw_from_worldbank!C34,  IF(ISNUMBER(SEARCH("k",Raw_from_worldbank!C34)),
       VALUE(SUBSTITUTE(LOWER(Raw_from_worldbank!C34),"k",""))*1000,
       NA()))</f>
        <v>739.7</v>
      </c>
      <c r="F30">
        <f>IF(ISNUMBER(Raw_from_worldbank!D34),Raw_from_worldbank!D34,  IF(ISNUMBER(SEARCH("k",Raw_from_worldbank!D34)),
       VALUE(SUBSTITUTE(LOWER(Raw_from_worldbank!D34),"k",""))*1000,
       NA()))</f>
        <v>950</v>
      </c>
      <c r="G30">
        <f>IF(ISNUMBER(Raw_from_worldbank!E34),Raw_from_worldbank!E34,  IF(ISNUMBER(SEARCH("k",Raw_from_worldbank!E34)),
       VALUE(SUBSTITUTE(LOWER(Raw_from_worldbank!E34),"k",""))*1000,
       NA()))</f>
        <v>1100</v>
      </c>
      <c r="H30">
        <f>IF(ISNUMBER(Raw_from_worldbank!F34),Raw_from_worldbank!F34,  IF(ISNUMBER(SEARCH("k",Raw_from_worldbank!F34)),
       VALUE(SUBSTITUTE(LOWER(Raw_from_worldbank!F34),"k",""))*1000,
       NA()))</f>
        <v>1300</v>
      </c>
      <c r="I30">
        <f>IF(ISNUMBER(Raw_from_worldbank!G34),Raw_from_worldbank!G34,  IF(ISNUMBER(SEARCH("k",Raw_from_worldbank!G34)),
       VALUE(SUBSTITUTE(LOWER(Raw_from_worldbank!G34),"k",""))*1000,
       NA()))</f>
        <v>1500</v>
      </c>
      <c r="J30">
        <f>IF(ISNUMBER(Raw_from_worldbank!H34),Raw_from_worldbank!H34,  IF(ISNUMBER(SEARCH("k",Raw_from_worldbank!H34)),
       VALUE(SUBSTITUTE(LOWER(Raw_from_worldbank!H34),"k",""))*1000,
       NA()))</f>
        <v>1600</v>
      </c>
    </row>
    <row r="31" spans="1:10" x14ac:dyDescent="0.3">
      <c r="A31" t="str">
        <f>VLOOKUP(LOWER(B31),[1]country_name_iso_mapping!$A:$C,3, FALSE)</f>
        <v>CPV</v>
      </c>
      <c r="B31" t="s">
        <v>30</v>
      </c>
      <c r="C31" t="s">
        <v>30</v>
      </c>
      <c r="D31">
        <f>IF(ISNUMBER(Raw_from_worldbank!B35),Raw_from_worldbank!B35,  IF(ISNUMBER(SEARCH("k",Raw_from_worldbank!B35)),
       VALUE(SUBSTITUTE(LOWER(Raw_from_worldbank!B35),"k",""))*1000,
       NA()))</f>
        <v>45.2</v>
      </c>
      <c r="E31">
        <f>IF(ISNUMBER(Raw_from_worldbank!C35),Raw_from_worldbank!C35,  IF(ISNUMBER(SEARCH("k",Raw_from_worldbank!C35)),
       VALUE(SUBSTITUTE(LOWER(Raw_from_worldbank!C35),"k",""))*1000,
       NA()))</f>
        <v>45.5</v>
      </c>
      <c r="F31">
        <f>IF(ISNUMBER(Raw_from_worldbank!D35),Raw_from_worldbank!D35,  IF(ISNUMBER(SEARCH("k",Raw_from_worldbank!D35)),
       VALUE(SUBSTITUTE(LOWER(Raw_from_worldbank!D35),"k",""))*1000,
       NA()))</f>
        <v>45.8</v>
      </c>
      <c r="G31">
        <f>IF(ISNUMBER(Raw_from_worldbank!E35),Raw_from_worldbank!E35,  IF(ISNUMBER(SEARCH("k",Raw_from_worldbank!E35)),
       VALUE(SUBSTITUTE(LOWER(Raw_from_worldbank!E35),"k",""))*1000,
       NA()))</f>
        <v>45.7</v>
      </c>
      <c r="H31">
        <f>IF(ISNUMBER(Raw_from_worldbank!F35),Raw_from_worldbank!F35,  IF(ISNUMBER(SEARCH("k",Raw_from_worldbank!F35)),
       VALUE(SUBSTITUTE(LOWER(Raw_from_worldbank!F35),"k",""))*1000,
       NA()))</f>
        <v>45.8</v>
      </c>
      <c r="I31">
        <f>IF(ISNUMBER(Raw_from_worldbank!G35),Raw_from_worldbank!G35,  IF(ISNUMBER(SEARCH("k",Raw_from_worldbank!G35)),
       VALUE(SUBSTITUTE(LOWER(Raw_from_worldbank!G35),"k",""))*1000,
       NA()))</f>
        <v>45.8</v>
      </c>
      <c r="J31">
        <f>IF(ISNUMBER(Raw_from_worldbank!H35),Raw_from_worldbank!H35,  IF(ISNUMBER(SEARCH("k",Raw_from_worldbank!H35)),
       VALUE(SUBSTITUTE(LOWER(Raw_from_worldbank!H35),"k",""))*1000,
       NA()))</f>
        <v>45.9</v>
      </c>
    </row>
    <row r="32" spans="1:10" x14ac:dyDescent="0.3">
      <c r="A32" t="str">
        <f>VLOOKUP(LOWER(B32),[1]country_name_iso_mapping!$A:$C,3, FALSE)</f>
        <v>KHM</v>
      </c>
      <c r="B32" t="s">
        <v>31</v>
      </c>
      <c r="C32" t="s">
        <v>31</v>
      </c>
      <c r="D32">
        <f>IF(ISNUMBER(Raw_from_worldbank!B36),Raw_from_worldbank!B36,  IF(ISNUMBER(SEARCH("k",Raw_from_worldbank!B36)),
       VALUE(SUBSTITUTE(LOWER(Raw_from_worldbank!B36),"k",""))*1000,
       NA()))</f>
        <v>1400</v>
      </c>
      <c r="E32">
        <f>IF(ISNUMBER(Raw_from_worldbank!C36),Raw_from_worldbank!C36,  IF(ISNUMBER(SEARCH("k",Raw_from_worldbank!C36)),
       VALUE(SUBSTITUTE(LOWER(Raw_from_worldbank!C36),"k",""))*1000,
       NA()))</f>
        <v>1400</v>
      </c>
      <c r="F32">
        <f>IF(ISNUMBER(Raw_from_worldbank!D36),Raw_from_worldbank!D36,  IF(ISNUMBER(SEARCH("k",Raw_from_worldbank!D36)),
       VALUE(SUBSTITUTE(LOWER(Raw_from_worldbank!D36),"k",""))*1000,
       NA()))</f>
        <v>1400</v>
      </c>
      <c r="G32">
        <f>IF(ISNUMBER(Raw_from_worldbank!E36),Raw_from_worldbank!E36,  IF(ISNUMBER(SEARCH("k",Raw_from_worldbank!E36)),
       VALUE(SUBSTITUTE(LOWER(Raw_from_worldbank!E36),"k",""))*1000,
       NA()))</f>
        <v>1400</v>
      </c>
      <c r="H32">
        <f>IF(ISNUMBER(Raw_from_worldbank!F36),Raw_from_worldbank!F36,  IF(ISNUMBER(SEARCH("k",Raw_from_worldbank!F36)),
       VALUE(SUBSTITUTE(LOWER(Raw_from_worldbank!F36),"k",""))*1000,
       NA()))</f>
        <v>1400</v>
      </c>
      <c r="I32">
        <f>IF(ISNUMBER(Raw_from_worldbank!G36),Raw_from_worldbank!G36,  IF(ISNUMBER(SEARCH("k",Raw_from_worldbank!G36)),
       VALUE(SUBSTITUTE(LOWER(Raw_from_worldbank!G36),"k",""))*1000,
       NA()))</f>
        <v>1400</v>
      </c>
      <c r="J32">
        <f>IF(ISNUMBER(Raw_from_worldbank!H36),Raw_from_worldbank!H36,  IF(ISNUMBER(SEARCH("k",Raw_from_worldbank!H36)),
       VALUE(SUBSTITUTE(LOWER(Raw_from_worldbank!H36),"k",""))*1000,
       NA()))</f>
        <v>1400</v>
      </c>
    </row>
    <row r="33" spans="1:10" x14ac:dyDescent="0.3">
      <c r="A33" t="str">
        <f>VLOOKUP(LOWER(B33),[1]country_name_iso_mapping!$A:$C,3, FALSE)</f>
        <v>CMR</v>
      </c>
      <c r="B33" t="s">
        <v>32</v>
      </c>
      <c r="C33" t="s">
        <v>32</v>
      </c>
      <c r="D33">
        <f>IF(ISNUMBER(Raw_from_worldbank!B37),Raw_from_worldbank!B37,  IF(ISNUMBER(SEARCH("k",Raw_from_worldbank!B37)),
       VALUE(SUBSTITUTE(LOWER(Raw_from_worldbank!B37),"k",""))*1000,
       NA()))</f>
        <v>226.1</v>
      </c>
      <c r="E33">
        <f>IF(ISNUMBER(Raw_from_worldbank!C37),Raw_from_worldbank!C37,  IF(ISNUMBER(SEARCH("k",Raw_from_worldbank!C37)),
       VALUE(SUBSTITUTE(LOWER(Raw_from_worldbank!C37),"k",""))*1000,
       NA()))</f>
        <v>224.6</v>
      </c>
      <c r="F33">
        <f>IF(ISNUMBER(Raw_from_worldbank!D37),Raw_from_worldbank!D37,  IF(ISNUMBER(SEARCH("k",Raw_from_worldbank!D37)),
       VALUE(SUBSTITUTE(LOWER(Raw_from_worldbank!D37),"k",""))*1000,
       NA()))</f>
        <v>223.4</v>
      </c>
      <c r="G33">
        <f>IF(ISNUMBER(Raw_from_worldbank!E37),Raw_from_worldbank!E37,  IF(ISNUMBER(SEARCH("k",Raw_from_worldbank!E37)),
       VALUE(SUBSTITUTE(LOWER(Raw_from_worldbank!E37),"k",""))*1000,
       NA()))</f>
        <v>225.3</v>
      </c>
      <c r="H33">
        <f>IF(ISNUMBER(Raw_from_worldbank!F37),Raw_from_worldbank!F37,  IF(ISNUMBER(SEARCH("k",Raw_from_worldbank!F37)),
       VALUE(SUBSTITUTE(LOWER(Raw_from_worldbank!F37),"k",""))*1000,
       NA()))</f>
        <v>229.8</v>
      </c>
      <c r="I33">
        <f>IF(ISNUMBER(Raw_from_worldbank!G37),Raw_from_worldbank!G37,  IF(ISNUMBER(SEARCH("k",Raw_from_worldbank!G37)),
       VALUE(SUBSTITUTE(LOWER(Raw_from_worldbank!G37),"k",""))*1000,
       NA()))</f>
        <v>232</v>
      </c>
      <c r="J33">
        <f>IF(ISNUMBER(Raw_from_worldbank!H37),Raw_from_worldbank!H37,  IF(ISNUMBER(SEARCH("k",Raw_from_worldbank!H37)),
       VALUE(SUBSTITUTE(LOWER(Raw_from_worldbank!H37),"k",""))*1000,
       NA()))</f>
        <v>233.4</v>
      </c>
    </row>
    <row r="34" spans="1:10" x14ac:dyDescent="0.3">
      <c r="A34" t="str">
        <f>VLOOKUP(LOWER(B34),[1]country_name_iso_mapping!$A:$C,3, FALSE)</f>
        <v>CAN</v>
      </c>
      <c r="B34" t="s">
        <v>33</v>
      </c>
      <c r="C34" t="s">
        <v>33</v>
      </c>
      <c r="D34">
        <f>IF(ISNUMBER(Raw_from_worldbank!B38),Raw_from_worldbank!B38,  IF(ISNUMBER(SEARCH("k",Raw_from_worldbank!B38)),
       VALUE(SUBSTITUTE(LOWER(Raw_from_worldbank!B38),"k",""))*1000,
       NA()))</f>
        <v>1.2</v>
      </c>
      <c r="E34">
        <f>IF(ISNUMBER(Raw_from_worldbank!C38),Raw_from_worldbank!C38,  IF(ISNUMBER(SEARCH("k",Raw_from_worldbank!C38)),
       VALUE(SUBSTITUTE(LOWER(Raw_from_worldbank!C38),"k",""))*1000,
       NA()))</f>
        <v>1.2</v>
      </c>
      <c r="F34">
        <f>IF(ISNUMBER(Raw_from_worldbank!D38),Raw_from_worldbank!D38,  IF(ISNUMBER(SEARCH("k",Raw_from_worldbank!D38)),
       VALUE(SUBSTITUTE(LOWER(Raw_from_worldbank!D38),"k",""))*1000,
       NA()))</f>
        <v>1.2</v>
      </c>
      <c r="G34">
        <f>IF(ISNUMBER(Raw_from_worldbank!E38),Raw_from_worldbank!E38,  IF(ISNUMBER(SEARCH("k",Raw_from_worldbank!E38)),
       VALUE(SUBSTITUTE(LOWER(Raw_from_worldbank!E38),"k",""))*1000,
       NA()))</f>
        <v>1.2</v>
      </c>
      <c r="H34">
        <f>IF(ISNUMBER(Raw_from_worldbank!F38),Raw_from_worldbank!F38,  IF(ISNUMBER(SEARCH("k",Raw_from_worldbank!F38)),
       VALUE(SUBSTITUTE(LOWER(Raw_from_worldbank!F38),"k",""))*1000,
       NA()))</f>
        <v>1.2</v>
      </c>
      <c r="I34">
        <f>IF(ISNUMBER(Raw_from_worldbank!G38),Raw_from_worldbank!G38,  IF(ISNUMBER(SEARCH("k",Raw_from_worldbank!G38)),
       VALUE(SUBSTITUTE(LOWER(Raw_from_worldbank!G38),"k",""))*1000,
       NA()))</f>
        <v>1.2</v>
      </c>
      <c r="J34">
        <f>IF(ISNUMBER(Raw_from_worldbank!H38),Raw_from_worldbank!H38,  IF(ISNUMBER(SEARCH("k",Raw_from_worldbank!H38)),
       VALUE(SUBSTITUTE(LOWER(Raw_from_worldbank!H38),"k",""))*1000,
       NA()))</f>
        <v>1.2</v>
      </c>
    </row>
    <row r="35" spans="1:10" x14ac:dyDescent="0.3">
      <c r="A35" t="str">
        <f>VLOOKUP(LOWER(B35),[1]country_name_iso_mapping!$A:$C,3, FALSE)</f>
        <v>CAF</v>
      </c>
      <c r="B35" t="s">
        <v>34</v>
      </c>
      <c r="C35" t="s">
        <v>34</v>
      </c>
      <c r="D35">
        <f>IF(ISNUMBER(Raw_from_worldbank!B39),Raw_from_worldbank!B39,  IF(ISNUMBER(SEARCH("k",Raw_from_worldbank!B39)),
       VALUE(SUBSTITUTE(LOWER(Raw_from_worldbank!B39),"k",""))*1000,
       NA()))</f>
        <v>284.2</v>
      </c>
      <c r="E35">
        <f>IF(ISNUMBER(Raw_from_worldbank!C39),Raw_from_worldbank!C39,  IF(ISNUMBER(SEARCH("k",Raw_from_worldbank!C39)),
       VALUE(SUBSTITUTE(LOWER(Raw_from_worldbank!C39),"k",""))*1000,
       NA()))</f>
        <v>282.39999999999998</v>
      </c>
      <c r="F35">
        <f>IF(ISNUMBER(Raw_from_worldbank!D39),Raw_from_worldbank!D39,  IF(ISNUMBER(SEARCH("k",Raw_from_worldbank!D39)),
       VALUE(SUBSTITUTE(LOWER(Raw_from_worldbank!D39),"k",""))*1000,
       NA()))</f>
        <v>281.89999999999998</v>
      </c>
      <c r="G35">
        <f>IF(ISNUMBER(Raw_from_worldbank!E39),Raw_from_worldbank!E39,  IF(ISNUMBER(SEARCH("k",Raw_from_worldbank!E39)),
       VALUE(SUBSTITUTE(LOWER(Raw_from_worldbank!E39),"k",""))*1000,
       NA()))</f>
        <v>291.60000000000002</v>
      </c>
      <c r="H35">
        <f>IF(ISNUMBER(Raw_from_worldbank!F39),Raw_from_worldbank!F39,  IF(ISNUMBER(SEARCH("k",Raw_from_worldbank!F39)),
       VALUE(SUBSTITUTE(LOWER(Raw_from_worldbank!F39),"k",""))*1000,
       NA()))</f>
        <v>299.39999999999998</v>
      </c>
      <c r="I35">
        <f>IF(ISNUMBER(Raw_from_worldbank!G39),Raw_from_worldbank!G39,  IF(ISNUMBER(SEARCH("k",Raw_from_worldbank!G39)),
       VALUE(SUBSTITUTE(LOWER(Raw_from_worldbank!G39),"k",""))*1000,
       NA()))</f>
        <v>305</v>
      </c>
      <c r="J35">
        <f>IF(ISNUMBER(Raw_from_worldbank!H39),Raw_from_worldbank!H39,  IF(ISNUMBER(SEARCH("k",Raw_from_worldbank!H39)),
       VALUE(SUBSTITUTE(LOWER(Raw_from_worldbank!H39),"k",""))*1000,
       NA()))</f>
        <v>308.8</v>
      </c>
    </row>
    <row r="36" spans="1:10" x14ac:dyDescent="0.3">
      <c r="A36" t="str">
        <f>VLOOKUP(LOWER(B36),[1]country_name_iso_mapping!$A:$C,3, FALSE)</f>
        <v>TCD</v>
      </c>
      <c r="B36" t="s">
        <v>35</v>
      </c>
      <c r="C36" t="s">
        <v>35</v>
      </c>
      <c r="D36">
        <f>IF(ISNUMBER(Raw_from_worldbank!B40),Raw_from_worldbank!B40,  IF(ISNUMBER(SEARCH("k",Raw_from_worldbank!B40)),
       VALUE(SUBSTITUTE(LOWER(Raw_from_worldbank!B40),"k",""))*1000,
       NA()))</f>
        <v>231.6</v>
      </c>
      <c r="E36">
        <f>IF(ISNUMBER(Raw_from_worldbank!C40),Raw_from_worldbank!C40,  IF(ISNUMBER(SEARCH("k",Raw_from_worldbank!C40)),
       VALUE(SUBSTITUTE(LOWER(Raw_from_worldbank!C40),"k",""))*1000,
       NA()))</f>
        <v>241.2</v>
      </c>
      <c r="F36">
        <f>IF(ISNUMBER(Raw_from_worldbank!D40),Raw_from_worldbank!D40,  IF(ISNUMBER(SEARCH("k",Raw_from_worldbank!D40)),
       VALUE(SUBSTITUTE(LOWER(Raw_from_worldbank!D40),"k",""))*1000,
       NA()))</f>
        <v>231.5</v>
      </c>
      <c r="G36">
        <f>IF(ISNUMBER(Raw_from_worldbank!E40),Raw_from_worldbank!E40,  IF(ISNUMBER(SEARCH("k",Raw_from_worldbank!E40)),
       VALUE(SUBSTITUTE(LOWER(Raw_from_worldbank!E40),"k",""))*1000,
       NA()))</f>
        <v>232.7</v>
      </c>
      <c r="H36">
        <f>IF(ISNUMBER(Raw_from_worldbank!F40),Raw_from_worldbank!F40,  IF(ISNUMBER(SEARCH("k",Raw_from_worldbank!F40)),
       VALUE(SUBSTITUTE(LOWER(Raw_from_worldbank!F40),"k",""))*1000,
       NA()))</f>
        <v>232.4</v>
      </c>
      <c r="I36">
        <f>IF(ISNUMBER(Raw_from_worldbank!G40),Raw_from_worldbank!G40,  IF(ISNUMBER(SEARCH("k",Raw_from_worldbank!G40)),
       VALUE(SUBSTITUTE(LOWER(Raw_from_worldbank!G40),"k",""))*1000,
       NA()))</f>
        <v>234.7</v>
      </c>
      <c r="J36">
        <f>IF(ISNUMBER(Raw_from_worldbank!H40),Raw_from_worldbank!H40,  IF(ISNUMBER(SEARCH("k",Raw_from_worldbank!H40)),
       VALUE(SUBSTITUTE(LOWER(Raw_from_worldbank!H40),"k",""))*1000,
       NA()))</f>
        <v>237.5</v>
      </c>
    </row>
    <row r="37" spans="1:10" x14ac:dyDescent="0.3">
      <c r="A37" t="str">
        <f>VLOOKUP(LOWER(B37),[1]country_name_iso_mapping!$A:$C,3, FALSE)</f>
        <v>CHL</v>
      </c>
      <c r="B37" t="s">
        <v>36</v>
      </c>
      <c r="C37" t="s">
        <v>36</v>
      </c>
      <c r="D37">
        <f>IF(ISNUMBER(Raw_from_worldbank!B41),Raw_from_worldbank!B41,  IF(ISNUMBER(SEARCH("k",Raw_from_worldbank!B41)),
       VALUE(SUBSTITUTE(LOWER(Raw_from_worldbank!B41),"k",""))*1000,
       NA()))</f>
        <v>455.9</v>
      </c>
      <c r="E37">
        <f>IF(ISNUMBER(Raw_from_worldbank!C41),Raw_from_worldbank!C41,  IF(ISNUMBER(SEARCH("k",Raw_from_worldbank!C41)),
       VALUE(SUBSTITUTE(LOWER(Raw_from_worldbank!C41),"k",""))*1000,
       NA()))</f>
        <v>459.6</v>
      </c>
      <c r="F37">
        <f>IF(ISNUMBER(Raw_from_worldbank!D41),Raw_from_worldbank!D41,  IF(ISNUMBER(SEARCH("k",Raw_from_worldbank!D41)),
       VALUE(SUBSTITUTE(LOWER(Raw_from_worldbank!D41),"k",""))*1000,
       NA()))</f>
        <v>472.7</v>
      </c>
      <c r="G37">
        <f>IF(ISNUMBER(Raw_from_worldbank!E41),Raw_from_worldbank!E41,  IF(ISNUMBER(SEARCH("k",Raw_from_worldbank!E41)),
       VALUE(SUBSTITUTE(LOWER(Raw_from_worldbank!E41),"k",""))*1000,
       NA()))</f>
        <v>475.3</v>
      </c>
      <c r="H37">
        <f>IF(ISNUMBER(Raw_from_worldbank!F41),Raw_from_worldbank!F41,  IF(ISNUMBER(SEARCH("k",Raw_from_worldbank!F41)),
       VALUE(SUBSTITUTE(LOWER(Raw_from_worldbank!F41),"k",""))*1000,
       NA()))</f>
        <v>481</v>
      </c>
      <c r="I37">
        <f>IF(ISNUMBER(Raw_from_worldbank!G41),Raw_from_worldbank!G41,  IF(ISNUMBER(SEARCH("k",Raw_from_worldbank!G41)),
       VALUE(SUBSTITUTE(LOWER(Raw_from_worldbank!G41),"k",""))*1000,
       NA()))</f>
        <v>486.2</v>
      </c>
      <c r="J37">
        <f>IF(ISNUMBER(Raw_from_worldbank!H41),Raw_from_worldbank!H41,  IF(ISNUMBER(SEARCH("k",Raw_from_worldbank!H41)),
       VALUE(SUBSTITUTE(LOWER(Raw_from_worldbank!H41),"k",""))*1000,
       NA()))</f>
        <v>491.4</v>
      </c>
    </row>
    <row r="38" spans="1:10" x14ac:dyDescent="0.3">
      <c r="A38" t="str">
        <f>VLOOKUP(LOWER(B38),[1]country_name_iso_mapping!$A:$C,3, FALSE)</f>
        <v>CHN</v>
      </c>
      <c r="B38" t="s">
        <v>37</v>
      </c>
      <c r="C38" t="s">
        <v>37</v>
      </c>
      <c r="D38">
        <f>IF(ISNUMBER(Raw_from_worldbank!B42),Raw_from_worldbank!B42,  IF(ISNUMBER(SEARCH("k",Raw_from_worldbank!B42)),
       VALUE(SUBSTITUTE(LOWER(Raw_from_worldbank!B42),"k",""))*1000,
       NA()))</f>
        <v>4.2</v>
      </c>
      <c r="E38">
        <f>IF(ISNUMBER(Raw_from_worldbank!C42),Raw_from_worldbank!C42,  IF(ISNUMBER(SEARCH("k",Raw_from_worldbank!C42)),
       VALUE(SUBSTITUTE(LOWER(Raw_from_worldbank!C42),"k",""))*1000,
       NA()))</f>
        <v>4</v>
      </c>
      <c r="F38">
        <f>IF(ISNUMBER(Raw_from_worldbank!D42),Raw_from_worldbank!D42,  IF(ISNUMBER(SEARCH("k",Raw_from_worldbank!D42)),
       VALUE(SUBSTITUTE(LOWER(Raw_from_worldbank!D42),"k",""))*1000,
       NA()))</f>
        <v>3.8</v>
      </c>
      <c r="G38">
        <f>IF(ISNUMBER(Raw_from_worldbank!E42),Raw_from_worldbank!E42,  IF(ISNUMBER(SEARCH("k",Raw_from_worldbank!E42)),
       VALUE(SUBSTITUTE(LOWER(Raw_from_worldbank!E42),"k",""))*1000,
       NA()))</f>
        <v>3.8</v>
      </c>
      <c r="H38">
        <f>IF(ISNUMBER(Raw_from_worldbank!F42),Raw_from_worldbank!F42,  IF(ISNUMBER(SEARCH("k",Raw_from_worldbank!F42)),
       VALUE(SUBSTITUTE(LOWER(Raw_from_worldbank!F42),"k",""))*1000,
       NA()))</f>
        <v>3.8</v>
      </c>
      <c r="I38">
        <f>IF(ISNUMBER(Raw_from_worldbank!G42),Raw_from_worldbank!G42,  IF(ISNUMBER(SEARCH("k",Raw_from_worldbank!G42)),
       VALUE(SUBSTITUTE(LOWER(Raw_from_worldbank!G42),"k",""))*1000,
       NA()))</f>
        <v>3.8</v>
      </c>
      <c r="J38">
        <f>IF(ISNUMBER(Raw_from_worldbank!H42),Raw_from_worldbank!H42,  IF(ISNUMBER(SEARCH("k",Raw_from_worldbank!H42)),
       VALUE(SUBSTITUTE(LOWER(Raw_from_worldbank!H42),"k",""))*1000,
       NA()))</f>
        <v>3.8</v>
      </c>
    </row>
    <row r="39" spans="1:10" x14ac:dyDescent="0.3">
      <c r="A39" t="str">
        <f>VLOOKUP(LOWER(B39),[1]country_name_iso_mapping!$A:$C,3, FALSE)</f>
        <v>COL</v>
      </c>
      <c r="B39" t="s">
        <v>38</v>
      </c>
      <c r="C39" t="s">
        <v>38</v>
      </c>
      <c r="D39">
        <f>IF(ISNUMBER(Raw_from_worldbank!B43),Raw_from_worldbank!B43,  IF(ISNUMBER(SEARCH("k",Raw_from_worldbank!B43)),
       VALUE(SUBSTITUTE(LOWER(Raw_from_worldbank!B43),"k",""))*1000,
       NA()))</f>
        <v>1400</v>
      </c>
      <c r="E39">
        <f>IF(ISNUMBER(Raw_from_worldbank!C43),Raw_from_worldbank!C43,  IF(ISNUMBER(SEARCH("k",Raw_from_worldbank!C43)),
       VALUE(SUBSTITUTE(LOWER(Raw_from_worldbank!C43),"k",""))*1000,
       NA()))</f>
        <v>1500</v>
      </c>
      <c r="F39">
        <f>IF(ISNUMBER(Raw_from_worldbank!D43),Raw_from_worldbank!D43,  IF(ISNUMBER(SEARCH("k",Raw_from_worldbank!D43)),
       VALUE(SUBSTITUTE(LOWER(Raw_from_worldbank!D43),"k",""))*1000,
       NA()))</f>
        <v>1600</v>
      </c>
      <c r="G39">
        <f>IF(ISNUMBER(Raw_from_worldbank!E43),Raw_from_worldbank!E43,  IF(ISNUMBER(SEARCH("k",Raw_from_worldbank!E43)),
       VALUE(SUBSTITUTE(LOWER(Raw_from_worldbank!E43),"k",""))*1000,
       NA()))</f>
        <v>1600</v>
      </c>
      <c r="H39">
        <f>IF(ISNUMBER(Raw_from_worldbank!F43),Raw_from_worldbank!F43,  IF(ISNUMBER(SEARCH("k",Raw_from_worldbank!F43)),
       VALUE(SUBSTITUTE(LOWER(Raw_from_worldbank!F43),"k",""))*1000,
       NA()))</f>
        <v>1600</v>
      </c>
      <c r="I39">
        <f>IF(ISNUMBER(Raw_from_worldbank!G43),Raw_from_worldbank!G43,  IF(ISNUMBER(SEARCH("k",Raw_from_worldbank!G43)),
       VALUE(SUBSTITUTE(LOWER(Raw_from_worldbank!G43),"k",""))*1000,
       NA()))</f>
        <v>1700</v>
      </c>
      <c r="J39">
        <f>IF(ISNUMBER(Raw_from_worldbank!H43),Raw_from_worldbank!H43,  IF(ISNUMBER(SEARCH("k",Raw_from_worldbank!H43)),
       VALUE(SUBSTITUTE(LOWER(Raw_from_worldbank!H43),"k",""))*1000,
       NA()))</f>
        <v>1700</v>
      </c>
    </row>
    <row r="40" spans="1:10" x14ac:dyDescent="0.3">
      <c r="A40" t="str">
        <f>VLOOKUP(LOWER(B40),[1]country_name_iso_mapping!$A:$C,3, FALSE)</f>
        <v>COM</v>
      </c>
      <c r="B40" t="s">
        <v>39</v>
      </c>
      <c r="C40" t="s">
        <v>39</v>
      </c>
      <c r="D40">
        <f>IF(ISNUMBER(Raw_from_worldbank!B44),Raw_from_worldbank!B44,  IF(ISNUMBER(SEARCH("k",Raw_from_worldbank!B44)),
       VALUE(SUBSTITUTE(LOWER(Raw_from_worldbank!B44),"k",""))*1000,
       NA()))</f>
        <v>181.2</v>
      </c>
      <c r="E40">
        <f>IF(ISNUMBER(Raw_from_worldbank!C44),Raw_from_worldbank!C44,  IF(ISNUMBER(SEARCH("k",Raw_from_worldbank!C44)),
       VALUE(SUBSTITUTE(LOWER(Raw_from_worldbank!C44),"k",""))*1000,
       NA()))</f>
        <v>178.2</v>
      </c>
      <c r="F40">
        <f>IF(ISNUMBER(Raw_from_worldbank!D44),Raw_from_worldbank!D44,  IF(ISNUMBER(SEARCH("k",Raw_from_worldbank!D44)),
       VALUE(SUBSTITUTE(LOWER(Raw_from_worldbank!D44),"k",""))*1000,
       NA()))</f>
        <v>177</v>
      </c>
      <c r="G40">
        <f>IF(ISNUMBER(Raw_from_worldbank!E44),Raw_from_worldbank!E44,  IF(ISNUMBER(SEARCH("k",Raw_from_worldbank!E44)),
       VALUE(SUBSTITUTE(LOWER(Raw_from_worldbank!E44),"k",""))*1000,
       NA()))</f>
        <v>176.3</v>
      </c>
      <c r="H40">
        <f>IF(ISNUMBER(Raw_from_worldbank!F44),Raw_from_worldbank!F44,  IF(ISNUMBER(SEARCH("k",Raw_from_worldbank!F44)),
       VALUE(SUBSTITUTE(LOWER(Raw_from_worldbank!F44),"k",""))*1000,
       NA()))</f>
        <v>176.9</v>
      </c>
      <c r="I40">
        <f>IF(ISNUMBER(Raw_from_worldbank!G44),Raw_from_worldbank!G44,  IF(ISNUMBER(SEARCH("k",Raw_from_worldbank!G44)),
       VALUE(SUBSTITUTE(LOWER(Raw_from_worldbank!G44),"k",""))*1000,
       NA()))</f>
        <v>177.2</v>
      </c>
      <c r="J40">
        <f>IF(ISNUMBER(Raw_from_worldbank!H44),Raw_from_worldbank!H44,  IF(ISNUMBER(SEARCH("k",Raw_from_worldbank!H44)),
       VALUE(SUBSTITUTE(LOWER(Raw_from_worldbank!H44),"k",""))*1000,
       NA()))</f>
        <v>177.4</v>
      </c>
    </row>
    <row r="41" spans="1:10" x14ac:dyDescent="0.3">
      <c r="A41" t="str">
        <f>VLOOKUP(LOWER(B41),[1]country_name_iso_mapping!$A:$C,3, FALSE)</f>
        <v>COD</v>
      </c>
      <c r="B41" t="s">
        <v>268</v>
      </c>
      <c r="C41" t="s">
        <v>40</v>
      </c>
      <c r="D41">
        <f>IF(ISNUMBER(Raw_from_worldbank!B45),Raw_from_worldbank!B45,  IF(ISNUMBER(SEARCH("k",Raw_from_worldbank!B45)),
       VALUE(SUBSTITUTE(LOWER(Raw_from_worldbank!B45),"k",""))*1000,
       NA()))</f>
        <v>992.7</v>
      </c>
      <c r="E41">
        <f>IF(ISNUMBER(Raw_from_worldbank!C45),Raw_from_worldbank!C45,  IF(ISNUMBER(SEARCH("k",Raw_from_worldbank!C45)),
       VALUE(SUBSTITUTE(LOWER(Raw_from_worldbank!C45),"k",""))*1000,
       NA()))</f>
        <v>974.3</v>
      </c>
      <c r="F41">
        <f>IF(ISNUMBER(Raw_from_worldbank!D45),Raw_from_worldbank!D45,  IF(ISNUMBER(SEARCH("k",Raw_from_worldbank!D45)),
       VALUE(SUBSTITUTE(LOWER(Raw_from_worldbank!D45),"k",""))*1000,
       NA()))</f>
        <v>1100</v>
      </c>
      <c r="G41">
        <f>IF(ISNUMBER(Raw_from_worldbank!E45),Raw_from_worldbank!E45,  IF(ISNUMBER(SEARCH("k",Raw_from_worldbank!E45)),
       VALUE(SUBSTITUTE(LOWER(Raw_from_worldbank!E45),"k",""))*1000,
       NA()))</f>
        <v>1300</v>
      </c>
      <c r="H41">
        <f>IF(ISNUMBER(Raw_from_worldbank!F45),Raw_from_worldbank!F45,  IF(ISNUMBER(SEARCH("k",Raw_from_worldbank!F45)),
       VALUE(SUBSTITUTE(LOWER(Raw_from_worldbank!F45),"k",""))*1000,
       NA()))</f>
        <v>1300</v>
      </c>
      <c r="I41">
        <f>IF(ISNUMBER(Raw_from_worldbank!G45),Raw_from_worldbank!G45,  IF(ISNUMBER(SEARCH("k",Raw_from_worldbank!G45)),
       VALUE(SUBSTITUTE(LOWER(Raw_from_worldbank!G45),"k",""))*1000,
       NA()))</f>
        <v>1400</v>
      </c>
      <c r="J41">
        <f>IF(ISNUMBER(Raw_from_worldbank!H45),Raw_from_worldbank!H45,  IF(ISNUMBER(SEARCH("k",Raw_from_worldbank!H45)),
       VALUE(SUBSTITUTE(LOWER(Raw_from_worldbank!H45),"k",""))*1000,
       NA()))</f>
        <v>1500</v>
      </c>
    </row>
    <row r="42" spans="1:10" x14ac:dyDescent="0.3">
      <c r="A42" t="str">
        <f>VLOOKUP(LOWER(B42),[1]country_name_iso_mapping!$A:$C,3, FALSE)</f>
        <v>COG</v>
      </c>
      <c r="B42" t="s">
        <v>269</v>
      </c>
      <c r="C42" t="s">
        <v>41</v>
      </c>
      <c r="D42">
        <f>IF(ISNUMBER(Raw_from_worldbank!B46),Raw_from_worldbank!B46,  IF(ISNUMBER(SEARCH("k",Raw_from_worldbank!B46)),
       VALUE(SUBSTITUTE(LOWER(Raw_from_worldbank!B46),"k",""))*1000,
       NA()))</f>
        <v>311.60000000000002</v>
      </c>
      <c r="E42">
        <f>IF(ISNUMBER(Raw_from_worldbank!C46),Raw_from_worldbank!C46,  IF(ISNUMBER(SEARCH("k",Raw_from_worldbank!C46)),
       VALUE(SUBSTITUTE(LOWER(Raw_from_worldbank!C46),"k",""))*1000,
       NA()))</f>
        <v>335.1</v>
      </c>
      <c r="F42">
        <f>IF(ISNUMBER(Raw_from_worldbank!D46),Raw_from_worldbank!D46,  IF(ISNUMBER(SEARCH("k",Raw_from_worldbank!D46)),
       VALUE(SUBSTITUTE(LOWER(Raw_from_worldbank!D46),"k",""))*1000,
       NA()))</f>
        <v>312.8</v>
      </c>
      <c r="G42">
        <f>IF(ISNUMBER(Raw_from_worldbank!E46),Raw_from_worldbank!E46,  IF(ISNUMBER(SEARCH("k",Raw_from_worldbank!E46)),
       VALUE(SUBSTITUTE(LOWER(Raw_from_worldbank!E46),"k",""))*1000,
       NA()))</f>
        <v>311.60000000000002</v>
      </c>
      <c r="H42">
        <f>IF(ISNUMBER(Raw_from_worldbank!F46),Raw_from_worldbank!F46,  IF(ISNUMBER(SEARCH("k",Raw_from_worldbank!F46)),
       VALUE(SUBSTITUTE(LOWER(Raw_from_worldbank!F46),"k",""))*1000,
       NA()))</f>
        <v>310.60000000000002</v>
      </c>
      <c r="I42">
        <f>IF(ISNUMBER(Raw_from_worldbank!G46),Raw_from_worldbank!G46,  IF(ISNUMBER(SEARCH("k",Raw_from_worldbank!G46)),
       VALUE(SUBSTITUTE(LOWER(Raw_from_worldbank!G46),"k",""))*1000,
       NA()))</f>
        <v>310</v>
      </c>
      <c r="J42">
        <f>IF(ISNUMBER(Raw_from_worldbank!H46),Raw_from_worldbank!H46,  IF(ISNUMBER(SEARCH("k",Raw_from_worldbank!H46)),
       VALUE(SUBSTITUTE(LOWER(Raw_from_worldbank!H46),"k",""))*1000,
       NA()))</f>
        <v>310.39999999999998</v>
      </c>
    </row>
    <row r="43" spans="1:10" x14ac:dyDescent="0.3">
      <c r="A43" t="str">
        <f>VLOOKUP(LOWER(B43),[1]country_name_iso_mapping!$A:$C,3, FALSE)</f>
        <v>CRI</v>
      </c>
      <c r="B43" t="s">
        <v>42</v>
      </c>
      <c r="C43" t="s">
        <v>42</v>
      </c>
      <c r="D43">
        <f>IF(ISNUMBER(Raw_from_worldbank!B47),Raw_from_worldbank!B47,  IF(ISNUMBER(SEARCH("k",Raw_from_worldbank!B47)),
       VALUE(SUBSTITUTE(LOWER(Raw_from_worldbank!B47),"k",""))*1000,
       NA()))</f>
        <v>344.2</v>
      </c>
      <c r="E43">
        <f>IF(ISNUMBER(Raw_from_worldbank!C47),Raw_from_worldbank!C47,  IF(ISNUMBER(SEARCH("k",Raw_from_worldbank!C47)),
       VALUE(SUBSTITUTE(LOWER(Raw_from_worldbank!C47),"k",""))*1000,
       NA()))</f>
        <v>341.8</v>
      </c>
      <c r="F43">
        <f>IF(ISNUMBER(Raw_from_worldbank!D47),Raw_from_worldbank!D47,  IF(ISNUMBER(SEARCH("k",Raw_from_worldbank!D47)),
       VALUE(SUBSTITUTE(LOWER(Raw_from_worldbank!D47),"k",""))*1000,
       NA()))</f>
        <v>329.4</v>
      </c>
      <c r="G43">
        <f>IF(ISNUMBER(Raw_from_worldbank!E47),Raw_from_worldbank!E47,  IF(ISNUMBER(SEARCH("k",Raw_from_worldbank!E47)),
       VALUE(SUBSTITUTE(LOWER(Raw_from_worldbank!E47),"k",""))*1000,
       NA()))</f>
        <v>325.7</v>
      </c>
      <c r="H43">
        <f>IF(ISNUMBER(Raw_from_worldbank!F47),Raw_from_worldbank!F47,  IF(ISNUMBER(SEARCH("k",Raw_from_worldbank!F47)),
       VALUE(SUBSTITUTE(LOWER(Raw_from_worldbank!F47),"k",""))*1000,
       NA()))</f>
        <v>330.3</v>
      </c>
      <c r="I43">
        <f>IF(ISNUMBER(Raw_from_worldbank!G47),Raw_from_worldbank!G47,  IF(ISNUMBER(SEARCH("k",Raw_from_worldbank!G47)),
       VALUE(SUBSTITUTE(LOWER(Raw_from_worldbank!G47),"k",""))*1000,
       NA()))</f>
        <v>334.5</v>
      </c>
      <c r="J43">
        <f>IF(ISNUMBER(Raw_from_worldbank!H47),Raw_from_worldbank!H47,  IF(ISNUMBER(SEARCH("k",Raw_from_worldbank!H47)),
       VALUE(SUBSTITUTE(LOWER(Raw_from_worldbank!H47),"k",""))*1000,
       NA()))</f>
        <v>338.8</v>
      </c>
    </row>
    <row r="44" spans="1:10" x14ac:dyDescent="0.3">
      <c r="A44" t="str">
        <f>VLOOKUP(LOWER(B44),[1]country_name_iso_mapping!$A:$C,3, FALSE)</f>
        <v>CIV</v>
      </c>
      <c r="B44" t="s">
        <v>270</v>
      </c>
      <c r="C44" t="s">
        <v>43</v>
      </c>
      <c r="D44">
        <f>IF(ISNUMBER(Raw_from_worldbank!B48),Raw_from_worldbank!B48,  IF(ISNUMBER(SEARCH("k",Raw_from_worldbank!B48)),
       VALUE(SUBSTITUTE(LOWER(Raw_from_worldbank!B48),"k",""))*1000,
       NA()))</f>
        <v>252.7</v>
      </c>
      <c r="E44">
        <f>IF(ISNUMBER(Raw_from_worldbank!C48),Raw_from_worldbank!C48,  IF(ISNUMBER(SEARCH("k",Raw_from_worldbank!C48)),
       VALUE(SUBSTITUTE(LOWER(Raw_from_worldbank!C48),"k",""))*1000,
       NA()))</f>
        <v>245.4</v>
      </c>
      <c r="F44">
        <f>IF(ISNUMBER(Raw_from_worldbank!D48),Raw_from_worldbank!D48,  IF(ISNUMBER(SEARCH("k",Raw_from_worldbank!D48)),
       VALUE(SUBSTITUTE(LOWER(Raw_from_worldbank!D48),"k",""))*1000,
       NA()))</f>
        <v>241.1</v>
      </c>
      <c r="G44">
        <f>IF(ISNUMBER(Raw_from_worldbank!E48),Raw_from_worldbank!E48,  IF(ISNUMBER(SEARCH("k",Raw_from_worldbank!E48)),
       VALUE(SUBSTITUTE(LOWER(Raw_from_worldbank!E48),"k",""))*1000,
       NA()))</f>
        <v>241</v>
      </c>
      <c r="H44">
        <f>IF(ISNUMBER(Raw_from_worldbank!F48),Raw_from_worldbank!F48,  IF(ISNUMBER(SEARCH("k",Raw_from_worldbank!F48)),
       VALUE(SUBSTITUTE(LOWER(Raw_from_worldbank!F48),"k",""))*1000,
       NA()))</f>
        <v>241.5</v>
      </c>
      <c r="I44">
        <f>IF(ISNUMBER(Raw_from_worldbank!G48),Raw_from_worldbank!G48,  IF(ISNUMBER(SEARCH("k",Raw_from_worldbank!G48)),
       VALUE(SUBSTITUTE(LOWER(Raw_from_worldbank!G48),"k",""))*1000,
       NA()))</f>
        <v>241.8</v>
      </c>
      <c r="J44">
        <f>IF(ISNUMBER(Raw_from_worldbank!H48),Raw_from_worldbank!H48,  IF(ISNUMBER(SEARCH("k",Raw_from_worldbank!H48)),
       VALUE(SUBSTITUTE(LOWER(Raw_from_worldbank!H48),"k",""))*1000,
       NA()))</f>
        <v>242.1</v>
      </c>
    </row>
    <row r="45" spans="1:10" x14ac:dyDescent="0.3">
      <c r="A45" t="str">
        <f>VLOOKUP(LOWER(B45),[1]country_name_iso_mapping!$A:$C,3, FALSE)</f>
        <v>HRV</v>
      </c>
      <c r="B45" t="s">
        <v>44</v>
      </c>
      <c r="C45" t="s">
        <v>44</v>
      </c>
      <c r="D45">
        <f>IF(ISNUMBER(Raw_from_worldbank!B49),Raw_from_worldbank!B49,  IF(ISNUMBER(SEARCH("k",Raw_from_worldbank!B49)),
       VALUE(SUBSTITUTE(LOWER(Raw_from_worldbank!B49),"k",""))*1000,
       NA()))</f>
        <v>0.43</v>
      </c>
      <c r="E45">
        <f>IF(ISNUMBER(Raw_from_worldbank!C49),Raw_from_worldbank!C49,  IF(ISNUMBER(SEARCH("k",Raw_from_worldbank!C49)),
       VALUE(SUBSTITUTE(LOWER(Raw_from_worldbank!C49),"k",""))*1000,
       NA()))</f>
        <v>0.44</v>
      </c>
      <c r="F45">
        <f>IF(ISNUMBER(Raw_from_worldbank!D49),Raw_from_worldbank!D49,  IF(ISNUMBER(SEARCH("k",Raw_from_worldbank!D49)),
       VALUE(SUBSTITUTE(LOWER(Raw_from_worldbank!D49),"k",""))*1000,
       NA()))</f>
        <v>0.46</v>
      </c>
      <c r="G45">
        <f>IF(ISNUMBER(Raw_from_worldbank!E49),Raw_from_worldbank!E49,  IF(ISNUMBER(SEARCH("k",Raw_from_worldbank!E49)),
       VALUE(SUBSTITUTE(LOWER(Raw_from_worldbank!E49),"k",""))*1000,
       NA()))</f>
        <v>0.47</v>
      </c>
      <c r="H45">
        <f>IF(ISNUMBER(Raw_from_worldbank!F49),Raw_from_worldbank!F49,  IF(ISNUMBER(SEARCH("k",Raw_from_worldbank!F49)),
       VALUE(SUBSTITUTE(LOWER(Raw_from_worldbank!F49),"k",""))*1000,
       NA()))</f>
        <v>0.47</v>
      </c>
      <c r="I45">
        <f>IF(ISNUMBER(Raw_from_worldbank!G49),Raw_from_worldbank!G49,  IF(ISNUMBER(SEARCH("k",Raw_from_worldbank!G49)),
       VALUE(SUBSTITUTE(LOWER(Raw_from_worldbank!G49),"k",""))*1000,
       NA()))</f>
        <v>0.47</v>
      </c>
      <c r="J45">
        <f>IF(ISNUMBER(Raw_from_worldbank!H49),Raw_from_worldbank!H49,  IF(ISNUMBER(SEARCH("k",Raw_from_worldbank!H49)),
       VALUE(SUBSTITUTE(LOWER(Raw_from_worldbank!H49),"k",""))*1000,
       NA()))</f>
        <v>0.47</v>
      </c>
    </row>
    <row r="46" spans="1:10" x14ac:dyDescent="0.3">
      <c r="A46" t="str">
        <f>VLOOKUP(LOWER(B46),[1]country_name_iso_mapping!$A:$C,3, FALSE)</f>
        <v>CYP</v>
      </c>
      <c r="B46" t="s">
        <v>45</v>
      </c>
      <c r="C46" t="s">
        <v>45</v>
      </c>
      <c r="D46">
        <f>IF(ISNUMBER(Raw_from_worldbank!B50),Raw_from_worldbank!B50,  IF(ISNUMBER(SEARCH("k",Raw_from_worldbank!B50)),
       VALUE(SUBSTITUTE(LOWER(Raw_from_worldbank!B50),"k",""))*1000,
       NA()))</f>
        <v>0.57999999999999996</v>
      </c>
      <c r="E46">
        <f>IF(ISNUMBER(Raw_from_worldbank!C50),Raw_from_worldbank!C50,  IF(ISNUMBER(SEARCH("k",Raw_from_worldbank!C50)),
       VALUE(SUBSTITUTE(LOWER(Raw_from_worldbank!C50),"k",""))*1000,
       NA()))</f>
        <v>0.56999999999999995</v>
      </c>
      <c r="F46">
        <f>IF(ISNUMBER(Raw_from_worldbank!D50),Raw_from_worldbank!D50,  IF(ISNUMBER(SEARCH("k",Raw_from_worldbank!D50)),
       VALUE(SUBSTITUTE(LOWER(Raw_from_worldbank!D50),"k",""))*1000,
       NA()))</f>
        <v>0.57999999999999996</v>
      </c>
      <c r="G46">
        <f>IF(ISNUMBER(Raw_from_worldbank!E50),Raw_from_worldbank!E50,  IF(ISNUMBER(SEARCH("k",Raw_from_worldbank!E50)),
       VALUE(SUBSTITUTE(LOWER(Raw_from_worldbank!E50),"k",""))*1000,
       NA()))</f>
        <v>0.59</v>
      </c>
      <c r="H46">
        <f>IF(ISNUMBER(Raw_from_worldbank!F50),Raw_from_worldbank!F50,  IF(ISNUMBER(SEARCH("k",Raw_from_worldbank!F50)),
       VALUE(SUBSTITUTE(LOWER(Raw_from_worldbank!F50),"k",""))*1000,
       NA()))</f>
        <v>0.59</v>
      </c>
      <c r="I46">
        <f>IF(ISNUMBER(Raw_from_worldbank!G50),Raw_from_worldbank!G50,  IF(ISNUMBER(SEARCH("k",Raw_from_worldbank!G50)),
       VALUE(SUBSTITUTE(LOWER(Raw_from_worldbank!G50),"k",""))*1000,
       NA()))</f>
        <v>0.59</v>
      </c>
      <c r="J46">
        <f>IF(ISNUMBER(Raw_from_worldbank!H50),Raw_from_worldbank!H50,  IF(ISNUMBER(SEARCH("k",Raw_from_worldbank!H50)),
       VALUE(SUBSTITUTE(LOWER(Raw_from_worldbank!H50),"k",""))*1000,
       NA()))</f>
        <v>0.6</v>
      </c>
    </row>
    <row r="47" spans="1:10" x14ac:dyDescent="0.3">
      <c r="A47" t="str">
        <f>VLOOKUP(LOWER(B47),[1]country_name_iso_mapping!$A:$C,3, FALSE)</f>
        <v>CZE</v>
      </c>
      <c r="B47" t="s">
        <v>46</v>
      </c>
      <c r="C47" t="s">
        <v>46</v>
      </c>
      <c r="D47">
        <f>IF(ISNUMBER(Raw_from_worldbank!B51),Raw_from_worldbank!B51,  IF(ISNUMBER(SEARCH("k",Raw_from_worldbank!B51)),
       VALUE(SUBSTITUTE(LOWER(Raw_from_worldbank!B51),"k",""))*1000,
       NA()))</f>
        <v>12.9</v>
      </c>
      <c r="E47">
        <f>IF(ISNUMBER(Raw_from_worldbank!C51),Raw_from_worldbank!C51,  IF(ISNUMBER(SEARCH("k",Raw_from_worldbank!C51)),
       VALUE(SUBSTITUTE(LOWER(Raw_from_worldbank!C51),"k",""))*1000,
       NA()))</f>
        <v>13.1</v>
      </c>
      <c r="F47">
        <f>IF(ISNUMBER(Raw_from_worldbank!D51),Raw_from_worldbank!D51,  IF(ISNUMBER(SEARCH("k",Raw_from_worldbank!D51)),
       VALUE(SUBSTITUTE(LOWER(Raw_from_worldbank!D51),"k",""))*1000,
       NA()))</f>
        <v>13.8</v>
      </c>
      <c r="G47">
        <f>IF(ISNUMBER(Raw_from_worldbank!E51),Raw_from_worldbank!E51,  IF(ISNUMBER(SEARCH("k",Raw_from_worldbank!E51)),
       VALUE(SUBSTITUTE(LOWER(Raw_from_worldbank!E51),"k",""))*1000,
       NA()))</f>
        <v>13.8</v>
      </c>
      <c r="H47">
        <f>IF(ISNUMBER(Raw_from_worldbank!F51),Raw_from_worldbank!F51,  IF(ISNUMBER(SEARCH("k",Raw_from_worldbank!F51)),
       VALUE(SUBSTITUTE(LOWER(Raw_from_worldbank!F51),"k",""))*1000,
       NA()))</f>
        <v>13.9</v>
      </c>
      <c r="I47">
        <f>IF(ISNUMBER(Raw_from_worldbank!G51),Raw_from_worldbank!G51,  IF(ISNUMBER(SEARCH("k",Raw_from_worldbank!G51)),
       VALUE(SUBSTITUTE(LOWER(Raw_from_worldbank!G51),"k",""))*1000,
       NA()))</f>
        <v>13.9</v>
      </c>
      <c r="J47">
        <f>IF(ISNUMBER(Raw_from_worldbank!H51),Raw_from_worldbank!H51,  IF(ISNUMBER(SEARCH("k",Raw_from_worldbank!H51)),
       VALUE(SUBSTITUTE(LOWER(Raw_from_worldbank!H51),"k",""))*1000,
       NA()))</f>
        <v>13.9</v>
      </c>
    </row>
    <row r="48" spans="1:10" x14ac:dyDescent="0.3">
      <c r="A48" t="str">
        <f>VLOOKUP(LOWER(B48),[1]country_name_iso_mapping!$A:$C,3, FALSE)</f>
        <v>DNK</v>
      </c>
      <c r="B48" t="s">
        <v>47</v>
      </c>
      <c r="C48" t="s">
        <v>47</v>
      </c>
      <c r="D48">
        <f>IF(ISNUMBER(Raw_from_worldbank!B52),Raw_from_worldbank!B52,  IF(ISNUMBER(SEARCH("k",Raw_from_worldbank!B52)),
       VALUE(SUBSTITUTE(LOWER(Raw_from_worldbank!B52),"k",""))*1000,
       NA()))</f>
        <v>6.7</v>
      </c>
      <c r="E48">
        <f>IF(ISNUMBER(Raw_from_worldbank!C52),Raw_from_worldbank!C52,  IF(ISNUMBER(SEARCH("k",Raw_from_worldbank!C52)),
       VALUE(SUBSTITUTE(LOWER(Raw_from_worldbank!C52),"k",""))*1000,
       NA()))</f>
        <v>6.8</v>
      </c>
      <c r="F48">
        <f>IF(ISNUMBER(Raw_from_worldbank!D52),Raw_from_worldbank!D52,  IF(ISNUMBER(SEARCH("k",Raw_from_worldbank!D52)),
       VALUE(SUBSTITUTE(LOWER(Raw_from_worldbank!D52),"k",""))*1000,
       NA()))</f>
        <v>6.3</v>
      </c>
      <c r="G48">
        <f>IF(ISNUMBER(Raw_from_worldbank!E52),Raw_from_worldbank!E52,  IF(ISNUMBER(SEARCH("k",Raw_from_worldbank!E52)),
       VALUE(SUBSTITUTE(LOWER(Raw_from_worldbank!E52),"k",""))*1000,
       NA()))</f>
        <v>6.1</v>
      </c>
      <c r="H48">
        <f>IF(ISNUMBER(Raw_from_worldbank!F52),Raw_from_worldbank!F52,  IF(ISNUMBER(SEARCH("k",Raw_from_worldbank!F52)),
       VALUE(SUBSTITUTE(LOWER(Raw_from_worldbank!F52),"k",""))*1000,
       NA()))</f>
        <v>6.1</v>
      </c>
      <c r="I48">
        <f>IF(ISNUMBER(Raw_from_worldbank!G52),Raw_from_worldbank!G52,  IF(ISNUMBER(SEARCH("k",Raw_from_worldbank!G52)),
       VALUE(SUBSTITUTE(LOWER(Raw_from_worldbank!G52),"k",""))*1000,
       NA()))</f>
        <v>6.2</v>
      </c>
      <c r="J48">
        <f>IF(ISNUMBER(Raw_from_worldbank!H52),Raw_from_worldbank!H52,  IF(ISNUMBER(SEARCH("k",Raw_from_worldbank!H52)),
       VALUE(SUBSTITUTE(LOWER(Raw_from_worldbank!H52),"k",""))*1000,
       NA()))</f>
        <v>6.2</v>
      </c>
    </row>
    <row r="49" spans="1:10" x14ac:dyDescent="0.3">
      <c r="A49" t="str">
        <f>VLOOKUP(LOWER(B49),[1]country_name_iso_mapping!$A:$C,3, FALSE)</f>
        <v>DJI</v>
      </c>
      <c r="B49" t="s">
        <v>48</v>
      </c>
      <c r="C49" t="s">
        <v>48</v>
      </c>
      <c r="D49">
        <f>IF(ISNUMBER(Raw_from_worldbank!B53),Raw_from_worldbank!B53,  IF(ISNUMBER(SEARCH("k",Raw_from_worldbank!B53)),
       VALUE(SUBSTITUTE(LOWER(Raw_from_worldbank!B53),"k",""))*1000,
       NA()))</f>
        <v>100.7</v>
      </c>
      <c r="E49">
        <f>IF(ISNUMBER(Raw_from_worldbank!C53),Raw_from_worldbank!C53,  IF(ISNUMBER(SEARCH("k",Raw_from_worldbank!C53)),
       VALUE(SUBSTITUTE(LOWER(Raw_from_worldbank!C53),"k",""))*1000,
       NA()))</f>
        <v>99.6</v>
      </c>
      <c r="F49">
        <f>IF(ISNUMBER(Raw_from_worldbank!D53),Raw_from_worldbank!D53,  IF(ISNUMBER(SEARCH("k",Raw_from_worldbank!D53)),
       VALUE(SUBSTITUTE(LOWER(Raw_from_worldbank!D53),"k",""))*1000,
       NA()))</f>
        <v>97</v>
      </c>
      <c r="G49">
        <f>IF(ISNUMBER(Raw_from_worldbank!E53),Raw_from_worldbank!E53,  IF(ISNUMBER(SEARCH("k",Raw_from_worldbank!E53)),
       VALUE(SUBSTITUTE(LOWER(Raw_from_worldbank!E53),"k",""))*1000,
       NA()))</f>
        <v>96.5</v>
      </c>
      <c r="H49">
        <f>IF(ISNUMBER(Raw_from_worldbank!F53),Raw_from_worldbank!F53,  IF(ISNUMBER(SEARCH("k",Raw_from_worldbank!F53)),
       VALUE(SUBSTITUTE(LOWER(Raw_from_worldbank!F53),"k",""))*1000,
       NA()))</f>
        <v>96.6</v>
      </c>
      <c r="I49">
        <f>IF(ISNUMBER(Raw_from_worldbank!G53),Raw_from_worldbank!G53,  IF(ISNUMBER(SEARCH("k",Raw_from_worldbank!G53)),
       VALUE(SUBSTITUTE(LOWER(Raw_from_worldbank!G53),"k",""))*1000,
       NA()))</f>
        <v>97.3</v>
      </c>
      <c r="J49">
        <f>IF(ISNUMBER(Raw_from_worldbank!H53),Raw_from_worldbank!H53,  IF(ISNUMBER(SEARCH("k",Raw_from_worldbank!H53)),
       VALUE(SUBSTITUTE(LOWER(Raw_from_worldbank!H53),"k",""))*1000,
       NA()))</f>
        <v>97.5</v>
      </c>
    </row>
    <row r="50" spans="1:10" x14ac:dyDescent="0.3">
      <c r="A50" t="str">
        <f>VLOOKUP(LOWER(B50),[1]country_name_iso_mapping!$A:$C,3, FALSE)</f>
        <v>DMA</v>
      </c>
      <c r="B50" t="s">
        <v>49</v>
      </c>
      <c r="C50" t="s">
        <v>49</v>
      </c>
      <c r="D50">
        <f>IF(ISNUMBER(Raw_from_worldbank!B54),Raw_from_worldbank!B54,  IF(ISNUMBER(SEARCH("k",Raw_from_worldbank!B54)),
       VALUE(SUBSTITUTE(LOWER(Raw_from_worldbank!B54),"k",""))*1000,
       NA()))</f>
        <v>1.7</v>
      </c>
      <c r="E50">
        <f>IF(ISNUMBER(Raw_from_worldbank!C54),Raw_from_worldbank!C54,  IF(ISNUMBER(SEARCH("k",Raw_from_worldbank!C54)),
       VALUE(SUBSTITUTE(LOWER(Raw_from_worldbank!C54),"k",""))*1000,
       NA()))</f>
        <v>1.7</v>
      </c>
      <c r="F50">
        <f>IF(ISNUMBER(Raw_from_worldbank!D54),Raw_from_worldbank!D54,  IF(ISNUMBER(SEARCH("k",Raw_from_worldbank!D54)),
       VALUE(SUBSTITUTE(LOWER(Raw_from_worldbank!D54),"k",""))*1000,
       NA()))</f>
        <v>1.7</v>
      </c>
      <c r="G50">
        <f>IF(ISNUMBER(Raw_from_worldbank!E54),Raw_from_worldbank!E54,  IF(ISNUMBER(SEARCH("k",Raw_from_worldbank!E54)),
       VALUE(SUBSTITUTE(LOWER(Raw_from_worldbank!E54),"k",""))*1000,
       NA()))</f>
        <v>1.7</v>
      </c>
      <c r="H50">
        <f>IF(ISNUMBER(Raw_from_worldbank!F54),Raw_from_worldbank!F54,  IF(ISNUMBER(SEARCH("k",Raw_from_worldbank!F54)),
       VALUE(SUBSTITUTE(LOWER(Raw_from_worldbank!F54),"k",""))*1000,
       NA()))</f>
        <v>1.7</v>
      </c>
      <c r="I50">
        <f>IF(ISNUMBER(Raw_from_worldbank!G54),Raw_from_worldbank!G54,  IF(ISNUMBER(SEARCH("k",Raw_from_worldbank!G54)),
       VALUE(SUBSTITUTE(LOWER(Raw_from_worldbank!G54),"k",""))*1000,
       NA()))</f>
        <v>1.7</v>
      </c>
      <c r="J50">
        <f>IF(ISNUMBER(Raw_from_worldbank!H54),Raw_from_worldbank!H54,  IF(ISNUMBER(SEARCH("k",Raw_from_worldbank!H54)),
       VALUE(SUBSTITUTE(LOWER(Raw_from_worldbank!H54),"k",""))*1000,
       NA()))</f>
        <v>1.7</v>
      </c>
    </row>
    <row r="51" spans="1:10" x14ac:dyDescent="0.3">
      <c r="A51" t="str">
        <f>VLOOKUP(LOWER(B51),[1]country_name_iso_mapping!$A:$C,3, FALSE)</f>
        <v>DOM</v>
      </c>
      <c r="B51" t="s">
        <v>50</v>
      </c>
      <c r="C51" t="s">
        <v>50</v>
      </c>
      <c r="D51">
        <f>IF(ISNUMBER(Raw_from_worldbank!B55),Raw_from_worldbank!B55,  IF(ISNUMBER(SEARCH("k",Raw_from_worldbank!B55)),
       VALUE(SUBSTITUTE(LOWER(Raw_from_worldbank!B55),"k",""))*1000,
       NA()))</f>
        <v>23.6</v>
      </c>
      <c r="E51">
        <f>IF(ISNUMBER(Raw_from_worldbank!C55),Raw_from_worldbank!C55,  IF(ISNUMBER(SEARCH("k",Raw_from_worldbank!C55)),
       VALUE(SUBSTITUTE(LOWER(Raw_from_worldbank!C55),"k",""))*1000,
       NA()))</f>
        <v>24.4</v>
      </c>
      <c r="F51">
        <f>IF(ISNUMBER(Raw_from_worldbank!D55),Raw_from_worldbank!D55,  IF(ISNUMBER(SEARCH("k",Raw_from_worldbank!D55)),
       VALUE(SUBSTITUTE(LOWER(Raw_from_worldbank!D55),"k",""))*1000,
       NA()))</f>
        <v>24.7</v>
      </c>
      <c r="G51">
        <f>IF(ISNUMBER(Raw_from_worldbank!E55),Raw_from_worldbank!E55,  IF(ISNUMBER(SEARCH("k",Raw_from_worldbank!E55)),
       VALUE(SUBSTITUTE(LOWER(Raw_from_worldbank!E55),"k",""))*1000,
       NA()))</f>
        <v>25.1</v>
      </c>
      <c r="H51">
        <f>IF(ISNUMBER(Raw_from_worldbank!F55),Raw_from_worldbank!F55,  IF(ISNUMBER(SEARCH("k",Raw_from_worldbank!F55)),
       VALUE(SUBSTITUTE(LOWER(Raw_from_worldbank!F55),"k",""))*1000,
       NA()))</f>
        <v>25.7</v>
      </c>
      <c r="I51">
        <f>IF(ISNUMBER(Raw_from_worldbank!G55),Raw_from_worldbank!G55,  IF(ISNUMBER(SEARCH("k",Raw_from_worldbank!G55)),
       VALUE(SUBSTITUTE(LOWER(Raw_from_worldbank!G55),"k",""))*1000,
       NA()))</f>
        <v>26.2</v>
      </c>
      <c r="J51">
        <f>IF(ISNUMBER(Raw_from_worldbank!H55),Raw_from_worldbank!H55,  IF(ISNUMBER(SEARCH("k",Raw_from_worldbank!H55)),
       VALUE(SUBSTITUTE(LOWER(Raw_from_worldbank!H55),"k",""))*1000,
       NA()))</f>
        <v>26.8</v>
      </c>
    </row>
    <row r="52" spans="1:10" x14ac:dyDescent="0.3">
      <c r="A52" t="str">
        <f>VLOOKUP(LOWER(B52),[1]country_name_iso_mapping!$A:$C,3, FALSE)</f>
        <v>ECU</v>
      </c>
      <c r="B52" t="s">
        <v>51</v>
      </c>
      <c r="C52" t="s">
        <v>51</v>
      </c>
      <c r="D52">
        <f>IF(ISNUMBER(Raw_from_worldbank!B56),Raw_from_worldbank!B56,  IF(ISNUMBER(SEARCH("k",Raw_from_worldbank!B56)),
       VALUE(SUBSTITUTE(LOWER(Raw_from_worldbank!B56),"k",""))*1000,
       NA()))</f>
        <v>0.49</v>
      </c>
      <c r="E52">
        <f>IF(ISNUMBER(Raw_from_worldbank!C56),Raw_from_worldbank!C56,  IF(ISNUMBER(SEARCH("k",Raw_from_worldbank!C56)),
       VALUE(SUBSTITUTE(LOWER(Raw_from_worldbank!C56),"k",""))*1000,
       NA()))</f>
        <v>0.47</v>
      </c>
      <c r="F52">
        <f>IF(ISNUMBER(Raw_from_worldbank!D56),Raw_from_worldbank!D56,  IF(ISNUMBER(SEARCH("k",Raw_from_worldbank!D56)),
       VALUE(SUBSTITUTE(LOWER(Raw_from_worldbank!D56),"k",""))*1000,
       NA()))</f>
        <v>0.46</v>
      </c>
      <c r="G52">
        <f>IF(ISNUMBER(Raw_from_worldbank!E56),Raw_from_worldbank!E56,  IF(ISNUMBER(SEARCH("k",Raw_from_worldbank!E56)),
       VALUE(SUBSTITUTE(LOWER(Raw_from_worldbank!E56),"k",""))*1000,
       NA()))</f>
        <v>0.45</v>
      </c>
      <c r="H52">
        <f>IF(ISNUMBER(Raw_from_worldbank!F56),Raw_from_worldbank!F56,  IF(ISNUMBER(SEARCH("k",Raw_from_worldbank!F56)),
       VALUE(SUBSTITUTE(LOWER(Raw_from_worldbank!F56),"k",""))*1000,
       NA()))</f>
        <v>0.45</v>
      </c>
      <c r="I52">
        <f>IF(ISNUMBER(Raw_from_worldbank!G56),Raw_from_worldbank!G56,  IF(ISNUMBER(SEARCH("k",Raw_from_worldbank!G56)),
       VALUE(SUBSTITUTE(LOWER(Raw_from_worldbank!G56),"k",""))*1000,
       NA()))</f>
        <v>0.45</v>
      </c>
      <c r="J52">
        <f>IF(ISNUMBER(Raw_from_worldbank!H56),Raw_from_worldbank!H56,  IF(ISNUMBER(SEARCH("k",Raw_from_worldbank!H56)),
       VALUE(SUBSTITUTE(LOWER(Raw_from_worldbank!H56),"k",""))*1000,
       NA()))</f>
        <v>0.45</v>
      </c>
    </row>
    <row r="53" spans="1:10" x14ac:dyDescent="0.3">
      <c r="A53" t="str">
        <f>VLOOKUP(LOWER(B53),[1]country_name_iso_mapping!$A:$C,3, FALSE)</f>
        <v>EGY</v>
      </c>
      <c r="B53" t="s">
        <v>271</v>
      </c>
      <c r="C53" t="s">
        <v>52</v>
      </c>
      <c r="D53">
        <f>IF(ISNUMBER(Raw_from_worldbank!B57),Raw_from_worldbank!B57,  IF(ISNUMBER(SEARCH("k",Raw_from_worldbank!B57)),
       VALUE(SUBSTITUTE(LOWER(Raw_from_worldbank!B57),"k",""))*1000,
       NA()))</f>
        <v>4.5</v>
      </c>
      <c r="E53">
        <f>IF(ISNUMBER(Raw_from_worldbank!C57),Raw_from_worldbank!C57,  IF(ISNUMBER(SEARCH("k",Raw_from_worldbank!C57)),
       VALUE(SUBSTITUTE(LOWER(Raw_from_worldbank!C57),"k",""))*1000,
       NA()))</f>
        <v>4.7</v>
      </c>
      <c r="F53">
        <f>IF(ISNUMBER(Raw_from_worldbank!D57),Raw_from_worldbank!D57,  IF(ISNUMBER(SEARCH("k",Raw_from_worldbank!D57)),
       VALUE(SUBSTITUTE(LOWER(Raw_from_worldbank!D57),"k",""))*1000,
       NA()))</f>
        <v>5.6</v>
      </c>
      <c r="G53">
        <f>IF(ISNUMBER(Raw_from_worldbank!E57),Raw_from_worldbank!E57,  IF(ISNUMBER(SEARCH("k",Raw_from_worldbank!E57)),
       VALUE(SUBSTITUTE(LOWER(Raw_from_worldbank!E57),"k",""))*1000,
       NA()))</f>
        <v>7.3</v>
      </c>
      <c r="H53">
        <f>IF(ISNUMBER(Raw_from_worldbank!F57),Raw_from_worldbank!F57,  IF(ISNUMBER(SEARCH("k",Raw_from_worldbank!F57)),
       VALUE(SUBSTITUTE(LOWER(Raw_from_worldbank!F57),"k",""))*1000,
       NA()))</f>
        <v>9.1999999999999993</v>
      </c>
      <c r="I53">
        <f>IF(ISNUMBER(Raw_from_worldbank!G57),Raw_from_worldbank!G57,  IF(ISNUMBER(SEARCH("k",Raw_from_worldbank!G57)),
       VALUE(SUBSTITUTE(LOWER(Raw_from_worldbank!G57),"k",""))*1000,
       NA()))</f>
        <v>10.1</v>
      </c>
      <c r="J53">
        <f>IF(ISNUMBER(Raw_from_worldbank!H57),Raw_from_worldbank!H57,  IF(ISNUMBER(SEARCH("k",Raw_from_worldbank!H57)),
       VALUE(SUBSTITUTE(LOWER(Raw_from_worldbank!H57),"k",""))*1000,
       NA()))</f>
        <v>11</v>
      </c>
    </row>
    <row r="54" spans="1:10" x14ac:dyDescent="0.3">
      <c r="A54" t="str">
        <f>VLOOKUP(LOWER(B54),[1]country_name_iso_mapping!$A:$C,3, FALSE)</f>
        <v>SLV</v>
      </c>
      <c r="B54" t="s">
        <v>53</v>
      </c>
      <c r="C54" t="s">
        <v>53</v>
      </c>
      <c r="D54">
        <f>IF(ISNUMBER(Raw_from_worldbank!B58),Raw_from_worldbank!B58,  IF(ISNUMBER(SEARCH("k",Raw_from_worldbank!B58)),
       VALUE(SUBSTITUTE(LOWER(Raw_from_worldbank!B58),"k",""))*1000,
       NA()))</f>
        <v>0.45</v>
      </c>
      <c r="E54">
        <f>IF(ISNUMBER(Raw_from_worldbank!C58),Raw_from_worldbank!C58,  IF(ISNUMBER(SEARCH("k",Raw_from_worldbank!C58)),
       VALUE(SUBSTITUTE(LOWER(Raw_from_worldbank!C58),"k",""))*1000,
       NA()))</f>
        <v>0.45</v>
      </c>
      <c r="F54">
        <f>IF(ISNUMBER(Raw_from_worldbank!D58),Raw_from_worldbank!D58,  IF(ISNUMBER(SEARCH("k",Raw_from_worldbank!D58)),
       VALUE(SUBSTITUTE(LOWER(Raw_from_worldbank!D58),"k",""))*1000,
       NA()))</f>
        <v>0.45</v>
      </c>
      <c r="G54">
        <f>IF(ISNUMBER(Raw_from_worldbank!E58),Raw_from_worldbank!E58,  IF(ISNUMBER(SEARCH("k",Raw_from_worldbank!E58)),
       VALUE(SUBSTITUTE(LOWER(Raw_from_worldbank!E58),"k",""))*1000,
       NA()))</f>
        <v>0.44</v>
      </c>
      <c r="H54">
        <f>IF(ISNUMBER(Raw_from_worldbank!F58),Raw_from_worldbank!F58,  IF(ISNUMBER(SEARCH("k",Raw_from_worldbank!F58)),
       VALUE(SUBSTITUTE(LOWER(Raw_from_worldbank!F58),"k",""))*1000,
       NA()))</f>
        <v>0.44</v>
      </c>
      <c r="I54">
        <f>IF(ISNUMBER(Raw_from_worldbank!G58),Raw_from_worldbank!G58,  IF(ISNUMBER(SEARCH("k",Raw_from_worldbank!G58)),
       VALUE(SUBSTITUTE(LOWER(Raw_from_worldbank!G58),"k",""))*1000,
       NA()))</f>
        <v>0.45</v>
      </c>
      <c r="J54">
        <f>IF(ISNUMBER(Raw_from_worldbank!H58),Raw_from_worldbank!H58,  IF(ISNUMBER(SEARCH("k",Raw_from_worldbank!H58)),
       VALUE(SUBSTITUTE(LOWER(Raw_from_worldbank!H58),"k",""))*1000,
       NA()))</f>
        <v>0.45</v>
      </c>
    </row>
    <row r="55" spans="1:10" x14ac:dyDescent="0.3">
      <c r="A55" t="str">
        <f>VLOOKUP(LOWER(B55),[1]country_name_iso_mapping!$A:$C,3, FALSE)</f>
        <v>GNQ</v>
      </c>
      <c r="B55" t="s">
        <v>54</v>
      </c>
      <c r="C55" t="s">
        <v>54</v>
      </c>
      <c r="D55">
        <f>IF(ISNUMBER(Raw_from_worldbank!B59),Raw_from_worldbank!B59,  IF(ISNUMBER(SEARCH("k",Raw_from_worldbank!B59)),
       VALUE(SUBSTITUTE(LOWER(Raw_from_worldbank!B59),"k",""))*1000,
       NA()))</f>
        <v>258</v>
      </c>
      <c r="E55">
        <f>IF(ISNUMBER(Raw_from_worldbank!C59),Raw_from_worldbank!C59,  IF(ISNUMBER(SEARCH("k",Raw_from_worldbank!C59)),
       VALUE(SUBSTITUTE(LOWER(Raw_from_worldbank!C59),"k",""))*1000,
       NA()))</f>
        <v>251.9</v>
      </c>
      <c r="F55">
        <f>IF(ISNUMBER(Raw_from_worldbank!D59),Raw_from_worldbank!D59,  IF(ISNUMBER(SEARCH("k",Raw_from_worldbank!D59)),
       VALUE(SUBSTITUTE(LOWER(Raw_from_worldbank!D59),"k",""))*1000,
       NA()))</f>
        <v>219.6</v>
      </c>
      <c r="G55">
        <f>IF(ISNUMBER(Raw_from_worldbank!E59),Raw_from_worldbank!E59,  IF(ISNUMBER(SEARCH("k",Raw_from_worldbank!E59)),
       VALUE(SUBSTITUTE(LOWER(Raw_from_worldbank!E59),"k",""))*1000,
       NA()))</f>
        <v>222.9</v>
      </c>
      <c r="H55">
        <f>IF(ISNUMBER(Raw_from_worldbank!F59),Raw_from_worldbank!F59,  IF(ISNUMBER(SEARCH("k",Raw_from_worldbank!F59)),
       VALUE(SUBSTITUTE(LOWER(Raw_from_worldbank!F59),"k",""))*1000,
       NA()))</f>
        <v>231.1</v>
      </c>
      <c r="I55">
        <f>IF(ISNUMBER(Raw_from_worldbank!G59),Raw_from_worldbank!G59,  IF(ISNUMBER(SEARCH("k",Raw_from_worldbank!G59)),
       VALUE(SUBSTITUTE(LOWER(Raw_from_worldbank!G59),"k",""))*1000,
       NA()))</f>
        <v>238.7</v>
      </c>
      <c r="J55">
        <f>IF(ISNUMBER(Raw_from_worldbank!H59),Raw_from_worldbank!H59,  IF(ISNUMBER(SEARCH("k",Raw_from_worldbank!H59)),
       VALUE(SUBSTITUTE(LOWER(Raw_from_worldbank!H59),"k",""))*1000,
       NA()))</f>
        <v>241.5</v>
      </c>
    </row>
    <row r="56" spans="1:10" x14ac:dyDescent="0.3">
      <c r="A56" t="str">
        <f>VLOOKUP(LOWER(B56),[1]country_name_iso_mapping!$A:$C,3, FALSE)</f>
        <v>ERI</v>
      </c>
      <c r="B56" t="s">
        <v>55</v>
      </c>
      <c r="C56" t="s">
        <v>55</v>
      </c>
      <c r="D56" t="e">
        <f>IF(ISNUMBER(Raw_from_worldbank!B60),Raw_from_worldbank!B60,  IF(ISNUMBER(SEARCH("k",Raw_from_worldbank!B60)),
       VALUE(SUBSTITUTE(LOWER(Raw_from_worldbank!B60),"k",""))*1000,
       NA()))</f>
        <v>#N/A</v>
      </c>
      <c r="E56" t="e">
        <f>IF(ISNUMBER(Raw_from_worldbank!C60),Raw_from_worldbank!C60,  IF(ISNUMBER(SEARCH("k",Raw_from_worldbank!C60)),
       VALUE(SUBSTITUTE(LOWER(Raw_from_worldbank!C60),"k",""))*1000,
       NA()))</f>
        <v>#N/A</v>
      </c>
      <c r="F56" t="e">
        <f>IF(ISNUMBER(Raw_from_worldbank!D60),Raw_from_worldbank!D60,  IF(ISNUMBER(SEARCH("k",Raw_from_worldbank!D60)),
       VALUE(SUBSTITUTE(LOWER(Raw_from_worldbank!D60),"k",""))*1000,
       NA()))</f>
        <v>#N/A</v>
      </c>
      <c r="G56" t="e">
        <f>IF(ISNUMBER(Raw_from_worldbank!E60),Raw_from_worldbank!E60,  IF(ISNUMBER(SEARCH("k",Raw_from_worldbank!E60)),
       VALUE(SUBSTITUTE(LOWER(Raw_from_worldbank!E60),"k",""))*1000,
       NA()))</f>
        <v>#N/A</v>
      </c>
      <c r="H56" t="e">
        <f>IF(ISNUMBER(Raw_from_worldbank!F60),Raw_from_worldbank!F60,  IF(ISNUMBER(SEARCH("k",Raw_from_worldbank!F60)),
       VALUE(SUBSTITUTE(LOWER(Raw_from_worldbank!F60),"k",""))*1000,
       NA()))</f>
        <v>#N/A</v>
      </c>
      <c r="I56" t="e">
        <f>IF(ISNUMBER(Raw_from_worldbank!G60),Raw_from_worldbank!G60,  IF(ISNUMBER(SEARCH("k",Raw_from_worldbank!G60)),
       VALUE(SUBSTITUTE(LOWER(Raw_from_worldbank!G60),"k",""))*1000,
       NA()))</f>
        <v>#N/A</v>
      </c>
      <c r="J56" t="e">
        <f>IF(ISNUMBER(Raw_from_worldbank!H60),Raw_from_worldbank!H60,  IF(ISNUMBER(SEARCH("k",Raw_from_worldbank!H60)),
       VALUE(SUBSTITUTE(LOWER(Raw_from_worldbank!H60),"k",""))*1000,
       NA()))</f>
        <v>#N/A</v>
      </c>
    </row>
    <row r="57" spans="1:10" x14ac:dyDescent="0.3">
      <c r="A57" t="str">
        <f>VLOOKUP(LOWER(B57),[1]country_name_iso_mapping!$A:$C,3, FALSE)</f>
        <v>EST</v>
      </c>
      <c r="B57" t="s">
        <v>56</v>
      </c>
      <c r="C57" t="s">
        <v>56</v>
      </c>
      <c r="D57">
        <f>IF(ISNUMBER(Raw_from_worldbank!B61),Raw_from_worldbank!B61,  IF(ISNUMBER(SEARCH("k",Raw_from_worldbank!B61)),
       VALUE(SUBSTITUTE(LOWER(Raw_from_worldbank!B61),"k",""))*1000,
       NA()))</f>
        <v>0.55000000000000004</v>
      </c>
      <c r="E57">
        <f>IF(ISNUMBER(Raw_from_worldbank!C61),Raw_from_worldbank!C61,  IF(ISNUMBER(SEARCH("k",Raw_from_worldbank!C61)),
       VALUE(SUBSTITUTE(LOWER(Raw_from_worldbank!C61),"k",""))*1000,
       NA()))</f>
        <v>0.6</v>
      </c>
      <c r="F57">
        <f>IF(ISNUMBER(Raw_from_worldbank!D61),Raw_from_worldbank!D61,  IF(ISNUMBER(SEARCH("k",Raw_from_worldbank!D61)),
       VALUE(SUBSTITUTE(LOWER(Raw_from_worldbank!D61),"k",""))*1000,
       NA()))</f>
        <v>0.62</v>
      </c>
      <c r="G57">
        <f>IF(ISNUMBER(Raw_from_worldbank!E61),Raw_from_worldbank!E61,  IF(ISNUMBER(SEARCH("k",Raw_from_worldbank!E61)),
       VALUE(SUBSTITUTE(LOWER(Raw_from_worldbank!E61),"k",""))*1000,
       NA()))</f>
        <v>0.66</v>
      </c>
      <c r="H57">
        <f>IF(ISNUMBER(Raw_from_worldbank!F61),Raw_from_worldbank!F61,  IF(ISNUMBER(SEARCH("k",Raw_from_worldbank!F61)),
       VALUE(SUBSTITUTE(LOWER(Raw_from_worldbank!F61),"k",""))*1000,
       NA()))</f>
        <v>0.66</v>
      </c>
      <c r="I57">
        <f>IF(ISNUMBER(Raw_from_worldbank!G61),Raw_from_worldbank!G61,  IF(ISNUMBER(SEARCH("k",Raw_from_worldbank!G61)),
       VALUE(SUBSTITUTE(LOWER(Raw_from_worldbank!G61),"k",""))*1000,
       NA()))</f>
        <v>0.67</v>
      </c>
      <c r="J57">
        <f>IF(ISNUMBER(Raw_from_worldbank!H61),Raw_from_worldbank!H61,  IF(ISNUMBER(SEARCH("k",Raw_from_worldbank!H61)),
       VALUE(SUBSTITUTE(LOWER(Raw_from_worldbank!H61),"k",""))*1000,
       NA()))</f>
        <v>0.68</v>
      </c>
    </row>
    <row r="58" spans="1:10" x14ac:dyDescent="0.3">
      <c r="A58" t="str">
        <f>VLOOKUP(LOWER(B58),[1]country_name_iso_mapping!$A:$C,3, FALSE)</f>
        <v>SWZ</v>
      </c>
      <c r="B58" t="s">
        <v>57</v>
      </c>
      <c r="C58" t="s">
        <v>57</v>
      </c>
      <c r="D58">
        <f>IF(ISNUMBER(Raw_from_worldbank!B62),Raw_from_worldbank!B62,  IF(ISNUMBER(SEARCH("k",Raw_from_worldbank!B62)),
       VALUE(SUBSTITUTE(LOWER(Raw_from_worldbank!B62),"k",""))*1000,
       NA()))</f>
        <v>6</v>
      </c>
      <c r="E58">
        <f>IF(ISNUMBER(Raw_from_worldbank!C62),Raw_from_worldbank!C62,  IF(ISNUMBER(SEARCH("k",Raw_from_worldbank!C62)),
       VALUE(SUBSTITUTE(LOWER(Raw_from_worldbank!C62),"k",""))*1000,
       NA()))</f>
        <v>6.1</v>
      </c>
      <c r="F58">
        <f>IF(ISNUMBER(Raw_from_worldbank!D62),Raw_from_worldbank!D62,  IF(ISNUMBER(SEARCH("k",Raw_from_worldbank!D62)),
       VALUE(SUBSTITUTE(LOWER(Raw_from_worldbank!D62),"k",""))*1000,
       NA()))</f>
        <v>6.4</v>
      </c>
      <c r="G58">
        <f>IF(ISNUMBER(Raw_from_worldbank!E62),Raw_from_worldbank!E62,  IF(ISNUMBER(SEARCH("k",Raw_from_worldbank!E62)),
       VALUE(SUBSTITUTE(LOWER(Raw_from_worldbank!E62),"k",""))*1000,
       NA()))</f>
        <v>6.6</v>
      </c>
      <c r="H58">
        <f>IF(ISNUMBER(Raw_from_worldbank!F62),Raw_from_worldbank!F62,  IF(ISNUMBER(SEARCH("k",Raw_from_worldbank!F62)),
       VALUE(SUBSTITUTE(LOWER(Raw_from_worldbank!F62),"k",""))*1000,
       NA()))</f>
        <v>6.7</v>
      </c>
      <c r="I58">
        <f>IF(ISNUMBER(Raw_from_worldbank!G62),Raw_from_worldbank!G62,  IF(ISNUMBER(SEARCH("k",Raw_from_worldbank!G62)),
       VALUE(SUBSTITUTE(LOWER(Raw_from_worldbank!G62),"k",""))*1000,
       NA()))</f>
        <v>6.8</v>
      </c>
      <c r="J58">
        <f>IF(ISNUMBER(Raw_from_worldbank!H62),Raw_from_worldbank!H62,  IF(ISNUMBER(SEARCH("k",Raw_from_worldbank!H62)),
       VALUE(SUBSTITUTE(LOWER(Raw_from_worldbank!H62),"k",""))*1000,
       NA()))</f>
        <v>6.9</v>
      </c>
    </row>
    <row r="59" spans="1:10" x14ac:dyDescent="0.3">
      <c r="A59" t="str">
        <f>VLOOKUP(LOWER(B59),[1]country_name_iso_mapping!$A:$C,3, FALSE)</f>
        <v>ETH</v>
      </c>
      <c r="B59" t="s">
        <v>58</v>
      </c>
      <c r="C59" t="s">
        <v>58</v>
      </c>
      <c r="D59">
        <f>IF(ISNUMBER(Raw_from_worldbank!B63),Raw_from_worldbank!B63,  IF(ISNUMBER(SEARCH("k",Raw_from_worldbank!B63)),
       VALUE(SUBSTITUTE(LOWER(Raw_from_worldbank!B63),"k",""))*1000,
       NA()))</f>
        <v>13.8</v>
      </c>
      <c r="E59">
        <f>IF(ISNUMBER(Raw_from_worldbank!C63),Raw_from_worldbank!C63,  IF(ISNUMBER(SEARCH("k",Raw_from_worldbank!C63)),
       VALUE(SUBSTITUTE(LOWER(Raw_from_worldbank!C63),"k",""))*1000,
       NA()))</f>
        <v>17.2</v>
      </c>
      <c r="F59">
        <f>IF(ISNUMBER(Raw_from_worldbank!D63),Raw_from_worldbank!D63,  IF(ISNUMBER(SEARCH("k",Raw_from_worldbank!D63)),
       VALUE(SUBSTITUTE(LOWER(Raw_from_worldbank!D63),"k",""))*1000,
       NA()))</f>
        <v>22</v>
      </c>
      <c r="G59">
        <f>IF(ISNUMBER(Raw_from_worldbank!E63),Raw_from_worldbank!E63,  IF(ISNUMBER(SEARCH("k",Raw_from_worldbank!E63)),
       VALUE(SUBSTITUTE(LOWER(Raw_from_worldbank!E63),"k",""))*1000,
       NA()))</f>
        <v>27.5</v>
      </c>
      <c r="H59">
        <f>IF(ISNUMBER(Raw_from_worldbank!F63),Raw_from_worldbank!F63,  IF(ISNUMBER(SEARCH("k",Raw_from_worldbank!F63)),
       VALUE(SUBSTITUTE(LOWER(Raw_from_worldbank!F63),"k",""))*1000,
       NA()))</f>
        <v>32.700000000000003</v>
      </c>
      <c r="I59">
        <f>IF(ISNUMBER(Raw_from_worldbank!G63),Raw_from_worldbank!G63,  IF(ISNUMBER(SEARCH("k",Raw_from_worldbank!G63)),
       VALUE(SUBSTITUTE(LOWER(Raw_from_worldbank!G63),"k",""))*1000,
       NA()))</f>
        <v>37.299999999999997</v>
      </c>
      <c r="J59">
        <f>IF(ISNUMBER(Raw_from_worldbank!H63),Raw_from_worldbank!H63,  IF(ISNUMBER(SEARCH("k",Raw_from_worldbank!H63)),
       VALUE(SUBSTITUTE(LOWER(Raw_from_worldbank!H63),"k",""))*1000,
       NA()))</f>
        <v>41.8</v>
      </c>
    </row>
    <row r="60" spans="1:10" x14ac:dyDescent="0.3">
      <c r="A60" t="str">
        <f>VLOOKUP(LOWER(B60),[1]country_name_iso_mapping!$A:$C,3, FALSE)</f>
        <v>FJI</v>
      </c>
      <c r="B60" t="s">
        <v>59</v>
      </c>
      <c r="C60" t="s">
        <v>59</v>
      </c>
      <c r="D60">
        <f>IF(ISNUMBER(Raw_from_worldbank!B64),Raw_from_worldbank!B64,  IF(ISNUMBER(SEARCH("k",Raw_from_worldbank!B64)),
       VALUE(SUBSTITUTE(LOWER(Raw_from_worldbank!B64),"k",""))*1000,
       NA()))</f>
        <v>0.84</v>
      </c>
      <c r="E60">
        <f>IF(ISNUMBER(Raw_from_worldbank!C64),Raw_from_worldbank!C64,  IF(ISNUMBER(SEARCH("k",Raw_from_worldbank!C64)),
       VALUE(SUBSTITUTE(LOWER(Raw_from_worldbank!C64),"k",""))*1000,
       NA()))</f>
        <v>0.81</v>
      </c>
      <c r="F60">
        <f>IF(ISNUMBER(Raw_from_worldbank!D64),Raw_from_worldbank!D64,  IF(ISNUMBER(SEARCH("k",Raw_from_worldbank!D64)),
       VALUE(SUBSTITUTE(LOWER(Raw_from_worldbank!D64),"k",""))*1000,
       NA()))</f>
        <v>0.81</v>
      </c>
      <c r="G60">
        <f>IF(ISNUMBER(Raw_from_worldbank!E64),Raw_from_worldbank!E64,  IF(ISNUMBER(SEARCH("k",Raw_from_worldbank!E64)),
       VALUE(SUBSTITUTE(LOWER(Raw_from_worldbank!E64),"k",""))*1000,
       NA()))</f>
        <v>0.83</v>
      </c>
      <c r="H60">
        <f>IF(ISNUMBER(Raw_from_worldbank!F64),Raw_from_worldbank!F64,  IF(ISNUMBER(SEARCH("k",Raw_from_worldbank!F64)),
       VALUE(SUBSTITUTE(LOWER(Raw_from_worldbank!F64),"k",""))*1000,
       NA()))</f>
        <v>0.84</v>
      </c>
      <c r="I60">
        <f>IF(ISNUMBER(Raw_from_worldbank!G64),Raw_from_worldbank!G64,  IF(ISNUMBER(SEARCH("k",Raw_from_worldbank!G64)),
       VALUE(SUBSTITUTE(LOWER(Raw_from_worldbank!G64),"k",""))*1000,
       NA()))</f>
        <v>0.85</v>
      </c>
      <c r="J60">
        <f>IF(ISNUMBER(Raw_from_worldbank!H64),Raw_from_worldbank!H64,  IF(ISNUMBER(SEARCH("k",Raw_from_worldbank!H64)),
       VALUE(SUBSTITUTE(LOWER(Raw_from_worldbank!H64),"k",""))*1000,
       NA()))</f>
        <v>0.86</v>
      </c>
    </row>
    <row r="61" spans="1:10" x14ac:dyDescent="0.3">
      <c r="A61" t="str">
        <f>VLOOKUP(LOWER(B61),[1]country_name_iso_mapping!$A:$C,3, FALSE)</f>
        <v>FIN</v>
      </c>
      <c r="B61" t="s">
        <v>60</v>
      </c>
      <c r="C61" t="s">
        <v>60</v>
      </c>
      <c r="D61">
        <f>IF(ISNUMBER(Raw_from_worldbank!B65),Raw_from_worldbank!B65,  IF(ISNUMBER(SEARCH("k",Raw_from_worldbank!B65)),
       VALUE(SUBSTITUTE(LOWER(Raw_from_worldbank!B65),"k",""))*1000,
       NA()))</f>
        <v>0.84</v>
      </c>
      <c r="E61">
        <f>IF(ISNUMBER(Raw_from_worldbank!C65),Raw_from_worldbank!C65,  IF(ISNUMBER(SEARCH("k",Raw_from_worldbank!C65)),
       VALUE(SUBSTITUTE(LOWER(Raw_from_worldbank!C65),"k",""))*1000,
       NA()))</f>
        <v>0.83</v>
      </c>
      <c r="F61">
        <f>IF(ISNUMBER(Raw_from_worldbank!D65),Raw_from_worldbank!D65,  IF(ISNUMBER(SEARCH("k",Raw_from_worldbank!D65)),
       VALUE(SUBSTITUTE(LOWER(Raw_from_worldbank!D65),"k",""))*1000,
       NA()))</f>
        <v>0.84</v>
      </c>
      <c r="G61">
        <f>IF(ISNUMBER(Raw_from_worldbank!E65),Raw_from_worldbank!E65,  IF(ISNUMBER(SEARCH("k",Raw_from_worldbank!E65)),
       VALUE(SUBSTITUTE(LOWER(Raw_from_worldbank!E65),"k",""))*1000,
       NA()))</f>
        <v>0.84</v>
      </c>
      <c r="H61">
        <f>IF(ISNUMBER(Raw_from_worldbank!F65),Raw_from_worldbank!F65,  IF(ISNUMBER(SEARCH("k",Raw_from_worldbank!F65)),
       VALUE(SUBSTITUTE(LOWER(Raw_from_worldbank!F65),"k",""))*1000,
       NA()))</f>
        <v>0.84</v>
      </c>
      <c r="I61">
        <f>IF(ISNUMBER(Raw_from_worldbank!G65),Raw_from_worldbank!G65,  IF(ISNUMBER(SEARCH("k",Raw_from_worldbank!G65)),
       VALUE(SUBSTITUTE(LOWER(Raw_from_worldbank!G65),"k",""))*1000,
       NA()))</f>
        <v>0.84</v>
      </c>
      <c r="J61">
        <f>IF(ISNUMBER(Raw_from_worldbank!H65),Raw_from_worldbank!H65,  IF(ISNUMBER(SEARCH("k",Raw_from_worldbank!H65)),
       VALUE(SUBSTITUTE(LOWER(Raw_from_worldbank!H65),"k",""))*1000,
       NA()))</f>
        <v>0.84</v>
      </c>
    </row>
    <row r="62" spans="1:10" x14ac:dyDescent="0.3">
      <c r="A62" t="str">
        <f>VLOOKUP(LOWER(B62),[1]country_name_iso_mapping!$A:$C,3, FALSE)</f>
        <v>FRA</v>
      </c>
      <c r="B62" t="s">
        <v>61</v>
      </c>
      <c r="C62" t="s">
        <v>61</v>
      </c>
      <c r="D62">
        <f>IF(ISNUMBER(Raw_from_worldbank!B66),Raw_from_worldbank!B66,  IF(ISNUMBER(SEARCH("k",Raw_from_worldbank!B66)),
       VALUE(SUBSTITUTE(LOWER(Raw_from_worldbank!B66),"k",""))*1000,
       NA()))</f>
        <v>0.74</v>
      </c>
      <c r="E62">
        <f>IF(ISNUMBER(Raw_from_worldbank!C66),Raw_from_worldbank!C66,  IF(ISNUMBER(SEARCH("k",Raw_from_worldbank!C66)),
       VALUE(SUBSTITUTE(LOWER(Raw_from_worldbank!C66),"k",""))*1000,
       NA()))</f>
        <v>0.71</v>
      </c>
      <c r="F62">
        <f>IF(ISNUMBER(Raw_from_worldbank!D66),Raw_from_worldbank!D66,  IF(ISNUMBER(SEARCH("k",Raw_from_worldbank!D66)),
       VALUE(SUBSTITUTE(LOWER(Raw_from_worldbank!D66),"k",""))*1000,
       NA()))</f>
        <v>0.72</v>
      </c>
      <c r="G62">
        <f>IF(ISNUMBER(Raw_from_worldbank!E66),Raw_from_worldbank!E66,  IF(ISNUMBER(SEARCH("k",Raw_from_worldbank!E66)),
       VALUE(SUBSTITUTE(LOWER(Raw_from_worldbank!E66),"k",""))*1000,
       NA()))</f>
        <v>0.73</v>
      </c>
      <c r="H62">
        <f>IF(ISNUMBER(Raw_from_worldbank!F66),Raw_from_worldbank!F66,  IF(ISNUMBER(SEARCH("k",Raw_from_worldbank!F66)),
       VALUE(SUBSTITUTE(LOWER(Raw_from_worldbank!F66),"k",""))*1000,
       NA()))</f>
        <v>0.73</v>
      </c>
      <c r="I62">
        <f>IF(ISNUMBER(Raw_from_worldbank!G66),Raw_from_worldbank!G66,  IF(ISNUMBER(SEARCH("k",Raw_from_worldbank!G66)),
       VALUE(SUBSTITUTE(LOWER(Raw_from_worldbank!G66),"k",""))*1000,
       NA()))</f>
        <v>0.73</v>
      </c>
      <c r="J62">
        <f>IF(ISNUMBER(Raw_from_worldbank!H66),Raw_from_worldbank!H66,  IF(ISNUMBER(SEARCH("k",Raw_from_worldbank!H66)),
       VALUE(SUBSTITUTE(LOWER(Raw_from_worldbank!H66),"k",""))*1000,
       NA()))</f>
        <v>0.73</v>
      </c>
    </row>
    <row r="63" spans="1:10" x14ac:dyDescent="0.3">
      <c r="A63" t="str">
        <f>VLOOKUP(LOWER(B63),[1]country_name_iso_mapping!$A:$C,3, FALSE)</f>
        <v>GAB</v>
      </c>
      <c r="B63" t="s">
        <v>62</v>
      </c>
      <c r="C63" t="s">
        <v>62</v>
      </c>
      <c r="D63">
        <f>IF(ISNUMBER(Raw_from_worldbank!B67),Raw_from_worldbank!B67,  IF(ISNUMBER(SEARCH("k",Raw_from_worldbank!B67)),
       VALUE(SUBSTITUTE(LOWER(Raw_from_worldbank!B67),"k",""))*1000,
       NA()))</f>
        <v>314.5</v>
      </c>
      <c r="E63">
        <f>IF(ISNUMBER(Raw_from_worldbank!C67),Raw_from_worldbank!C67,  IF(ISNUMBER(SEARCH("k",Raw_from_worldbank!C67)),
       VALUE(SUBSTITUTE(LOWER(Raw_from_worldbank!C67),"k",""))*1000,
       NA()))</f>
        <v>333.7</v>
      </c>
      <c r="F63">
        <f>IF(ISNUMBER(Raw_from_worldbank!D67),Raw_from_worldbank!D67,  IF(ISNUMBER(SEARCH("k",Raw_from_worldbank!D67)),
       VALUE(SUBSTITUTE(LOWER(Raw_from_worldbank!D67),"k",""))*1000,
       NA()))</f>
        <v>298.7</v>
      </c>
      <c r="G63">
        <f>IF(ISNUMBER(Raw_from_worldbank!E67),Raw_from_worldbank!E67,  IF(ISNUMBER(SEARCH("k",Raw_from_worldbank!E67)),
       VALUE(SUBSTITUTE(LOWER(Raw_from_worldbank!E67),"k",""))*1000,
       NA()))</f>
        <v>291.10000000000002</v>
      </c>
      <c r="H63">
        <f>IF(ISNUMBER(Raw_from_worldbank!F67),Raw_from_worldbank!F67,  IF(ISNUMBER(SEARCH("k",Raw_from_worldbank!F67)),
       VALUE(SUBSTITUTE(LOWER(Raw_from_worldbank!F67),"k",""))*1000,
       NA()))</f>
        <v>281</v>
      </c>
      <c r="I63">
        <f>IF(ISNUMBER(Raw_from_worldbank!G67),Raw_from_worldbank!G67,  IF(ISNUMBER(SEARCH("k",Raw_from_worldbank!G67)),
       VALUE(SUBSTITUTE(LOWER(Raw_from_worldbank!G67),"k",""))*1000,
       NA()))</f>
        <v>273.3</v>
      </c>
      <c r="J63">
        <f>IF(ISNUMBER(Raw_from_worldbank!H67),Raw_from_worldbank!H67,  IF(ISNUMBER(SEARCH("k",Raw_from_worldbank!H67)),
       VALUE(SUBSTITUTE(LOWER(Raw_from_worldbank!H67),"k",""))*1000,
       NA()))</f>
        <v>266.8</v>
      </c>
    </row>
    <row r="64" spans="1:10" x14ac:dyDescent="0.3">
      <c r="A64" t="str">
        <f>VLOOKUP(LOWER(B64),[1]country_name_iso_mapping!$A:$C,3, FALSE)</f>
        <v>GMB</v>
      </c>
      <c r="B64" t="s">
        <v>272</v>
      </c>
      <c r="C64" t="s">
        <v>63</v>
      </c>
      <c r="D64">
        <f>IF(ISNUMBER(Raw_from_worldbank!B68),Raw_from_worldbank!B68,  IF(ISNUMBER(SEARCH("k",Raw_from_worldbank!B68)),
       VALUE(SUBSTITUTE(LOWER(Raw_from_worldbank!B68),"k",""))*1000,
       NA()))</f>
        <v>17.3</v>
      </c>
      <c r="E64">
        <f>IF(ISNUMBER(Raw_from_worldbank!C68),Raw_from_worldbank!C68,  IF(ISNUMBER(SEARCH("k",Raw_from_worldbank!C68)),
       VALUE(SUBSTITUTE(LOWER(Raw_from_worldbank!C68),"k",""))*1000,
       NA()))</f>
        <v>17.899999999999999</v>
      </c>
      <c r="F64">
        <f>IF(ISNUMBER(Raw_from_worldbank!D68),Raw_from_worldbank!D68,  IF(ISNUMBER(SEARCH("k",Raw_from_worldbank!D68)),
       VALUE(SUBSTITUTE(LOWER(Raw_from_worldbank!D68),"k",""))*1000,
       NA()))</f>
        <v>19.7</v>
      </c>
      <c r="G64">
        <f>IF(ISNUMBER(Raw_from_worldbank!E68),Raw_from_worldbank!E68,  IF(ISNUMBER(SEARCH("k",Raw_from_worldbank!E68)),
       VALUE(SUBSTITUTE(LOWER(Raw_from_worldbank!E68),"k",""))*1000,
       NA()))</f>
        <v>21.4</v>
      </c>
      <c r="H64">
        <f>IF(ISNUMBER(Raw_from_worldbank!F68),Raw_from_worldbank!F68,  IF(ISNUMBER(SEARCH("k",Raw_from_worldbank!F68)),
       VALUE(SUBSTITUTE(LOWER(Raw_from_worldbank!F68),"k",""))*1000,
       NA()))</f>
        <v>22.5</v>
      </c>
      <c r="I64">
        <f>IF(ISNUMBER(Raw_from_worldbank!G68),Raw_from_worldbank!G68,  IF(ISNUMBER(SEARCH("k",Raw_from_worldbank!G68)),
       VALUE(SUBSTITUTE(LOWER(Raw_from_worldbank!G68),"k",""))*1000,
       NA()))</f>
        <v>23.2</v>
      </c>
      <c r="J64">
        <f>IF(ISNUMBER(Raw_from_worldbank!H68),Raw_from_worldbank!H68,  IF(ISNUMBER(SEARCH("k",Raw_from_worldbank!H68)),
       VALUE(SUBSTITUTE(LOWER(Raw_from_worldbank!H68),"k",""))*1000,
       NA()))</f>
        <v>23.7</v>
      </c>
    </row>
    <row r="65" spans="1:10" x14ac:dyDescent="0.3">
      <c r="A65" t="str">
        <f>VLOOKUP(LOWER(B65),[1]country_name_iso_mapping!$A:$C,3, FALSE)</f>
        <v>GEO</v>
      </c>
      <c r="B65" t="s">
        <v>64</v>
      </c>
      <c r="C65" t="s">
        <v>64</v>
      </c>
      <c r="D65">
        <f>IF(ISNUMBER(Raw_from_worldbank!B69),Raw_from_worldbank!B69,  IF(ISNUMBER(SEARCH("k",Raw_from_worldbank!B69)),
       VALUE(SUBSTITUTE(LOWER(Raw_from_worldbank!B69),"k",""))*1000,
       NA()))</f>
        <v>0.93</v>
      </c>
      <c r="E65">
        <f>IF(ISNUMBER(Raw_from_worldbank!C69),Raw_from_worldbank!C69,  IF(ISNUMBER(SEARCH("k",Raw_from_worldbank!C69)),
       VALUE(SUBSTITUTE(LOWER(Raw_from_worldbank!C69),"k",""))*1000,
       NA()))</f>
        <v>0.94</v>
      </c>
      <c r="F65">
        <f>IF(ISNUMBER(Raw_from_worldbank!D69),Raw_from_worldbank!D69,  IF(ISNUMBER(SEARCH("k",Raw_from_worldbank!D69)),
       VALUE(SUBSTITUTE(LOWER(Raw_from_worldbank!D69),"k",""))*1000,
       NA()))</f>
        <v>0.92</v>
      </c>
      <c r="G65">
        <f>IF(ISNUMBER(Raw_from_worldbank!E69),Raw_from_worldbank!E69,  IF(ISNUMBER(SEARCH("k",Raw_from_worldbank!E69)),
       VALUE(SUBSTITUTE(LOWER(Raw_from_worldbank!E69),"k",""))*1000,
       NA()))</f>
        <v>0.94</v>
      </c>
      <c r="H65">
        <f>IF(ISNUMBER(Raw_from_worldbank!F69),Raw_from_worldbank!F69,  IF(ISNUMBER(SEARCH("k",Raw_from_worldbank!F69)),
       VALUE(SUBSTITUTE(LOWER(Raw_from_worldbank!F69),"k",""))*1000,
       NA()))</f>
        <v>0.97</v>
      </c>
      <c r="I65">
        <f>IF(ISNUMBER(Raw_from_worldbank!G69),Raw_from_worldbank!G69,  IF(ISNUMBER(SEARCH("k",Raw_from_worldbank!G69)),
       VALUE(SUBSTITUTE(LOWER(Raw_from_worldbank!G69),"k",""))*1000,
       NA()))</f>
        <v>0.99</v>
      </c>
      <c r="J65">
        <f>IF(ISNUMBER(Raw_from_worldbank!H69),Raw_from_worldbank!H69,  IF(ISNUMBER(SEARCH("k",Raw_from_worldbank!H69)),
       VALUE(SUBSTITUTE(LOWER(Raw_from_worldbank!H69),"k",""))*1000,
       NA()))</f>
        <v>1</v>
      </c>
    </row>
    <row r="66" spans="1:10" x14ac:dyDescent="0.3">
      <c r="A66" t="str">
        <f>VLOOKUP(LOWER(B66),[1]country_name_iso_mapping!$A:$C,3, FALSE)</f>
        <v>DEU</v>
      </c>
      <c r="B66" t="s">
        <v>65</v>
      </c>
      <c r="C66" t="s">
        <v>65</v>
      </c>
      <c r="D66">
        <f>IF(ISNUMBER(Raw_from_worldbank!B70),Raw_from_worldbank!B70,  IF(ISNUMBER(SEARCH("k",Raw_from_worldbank!B70)),
       VALUE(SUBSTITUTE(LOWER(Raw_from_worldbank!B70),"k",""))*1000,
       NA()))</f>
        <v>0.73</v>
      </c>
      <c r="E66">
        <f>IF(ISNUMBER(Raw_from_worldbank!C70),Raw_from_worldbank!C70,  IF(ISNUMBER(SEARCH("k",Raw_from_worldbank!C70)),
       VALUE(SUBSTITUTE(LOWER(Raw_from_worldbank!C70),"k",""))*1000,
       NA()))</f>
        <v>0.72</v>
      </c>
      <c r="F66">
        <f>IF(ISNUMBER(Raw_from_worldbank!D70),Raw_from_worldbank!D70,  IF(ISNUMBER(SEARCH("k",Raw_from_worldbank!D70)),
       VALUE(SUBSTITUTE(LOWER(Raw_from_worldbank!D70),"k",""))*1000,
       NA()))</f>
        <v>0.74</v>
      </c>
      <c r="G66">
        <f>IF(ISNUMBER(Raw_from_worldbank!E70),Raw_from_worldbank!E70,  IF(ISNUMBER(SEARCH("k",Raw_from_worldbank!E70)),
       VALUE(SUBSTITUTE(LOWER(Raw_from_worldbank!E70),"k",""))*1000,
       NA()))</f>
        <v>0.75</v>
      </c>
      <c r="H66">
        <f>IF(ISNUMBER(Raw_from_worldbank!F70),Raw_from_worldbank!F70,  IF(ISNUMBER(SEARCH("k",Raw_from_worldbank!F70)),
       VALUE(SUBSTITUTE(LOWER(Raw_from_worldbank!F70),"k",""))*1000,
       NA()))</f>
        <v>0.76</v>
      </c>
      <c r="I66">
        <f>IF(ISNUMBER(Raw_from_worldbank!G70),Raw_from_worldbank!G70,  IF(ISNUMBER(SEARCH("k",Raw_from_worldbank!G70)),
       VALUE(SUBSTITUTE(LOWER(Raw_from_worldbank!G70),"k",""))*1000,
       NA()))</f>
        <v>0.76</v>
      </c>
      <c r="J66">
        <f>IF(ISNUMBER(Raw_from_worldbank!H70),Raw_from_worldbank!H70,  IF(ISNUMBER(SEARCH("k",Raw_from_worldbank!H70)),
       VALUE(SUBSTITUTE(LOWER(Raw_from_worldbank!H70),"k",""))*1000,
       NA()))</f>
        <v>0.76</v>
      </c>
    </row>
    <row r="67" spans="1:10" x14ac:dyDescent="0.3">
      <c r="A67" t="str">
        <f>VLOOKUP(LOWER(B67),[1]country_name_iso_mapping!$A:$C,3, FALSE)</f>
        <v>GHA</v>
      </c>
      <c r="B67" t="s">
        <v>66</v>
      </c>
      <c r="C67" t="s">
        <v>66</v>
      </c>
      <c r="D67">
        <f>IF(ISNUMBER(Raw_from_worldbank!B71),Raw_from_worldbank!B71,  IF(ISNUMBER(SEARCH("k",Raw_from_worldbank!B71)),
       VALUE(SUBSTITUTE(LOWER(Raw_from_worldbank!B71),"k",""))*1000,
       NA()))</f>
        <v>2.4</v>
      </c>
      <c r="E67">
        <f>IF(ISNUMBER(Raw_from_worldbank!C71),Raw_from_worldbank!C71,  IF(ISNUMBER(SEARCH("k",Raw_from_worldbank!C71)),
       VALUE(SUBSTITUTE(LOWER(Raw_from_worldbank!C71),"k",""))*1000,
       NA()))</f>
        <v>2.8</v>
      </c>
      <c r="F67">
        <f>IF(ISNUMBER(Raw_from_worldbank!D71),Raw_from_worldbank!D71,  IF(ISNUMBER(SEARCH("k",Raw_from_worldbank!D71)),
       VALUE(SUBSTITUTE(LOWER(Raw_from_worldbank!D71),"k",""))*1000,
       NA()))</f>
        <v>3.7</v>
      </c>
      <c r="G67">
        <f>IF(ISNUMBER(Raw_from_worldbank!E71),Raw_from_worldbank!E71,  IF(ISNUMBER(SEARCH("k",Raw_from_worldbank!E71)),
       VALUE(SUBSTITUTE(LOWER(Raw_from_worldbank!E71),"k",""))*1000,
       NA()))</f>
        <v>4.4000000000000004</v>
      </c>
      <c r="H67">
        <f>IF(ISNUMBER(Raw_from_worldbank!F71),Raw_from_worldbank!F71,  IF(ISNUMBER(SEARCH("k",Raw_from_worldbank!F71)),
       VALUE(SUBSTITUTE(LOWER(Raw_from_worldbank!F71),"k",""))*1000,
       NA()))</f>
        <v>4.7</v>
      </c>
      <c r="I67">
        <f>IF(ISNUMBER(Raw_from_worldbank!G71),Raw_from_worldbank!G71,  IF(ISNUMBER(SEARCH("k",Raw_from_worldbank!G71)),
       VALUE(SUBSTITUTE(LOWER(Raw_from_worldbank!G71),"k",""))*1000,
       NA()))</f>
        <v>5</v>
      </c>
      <c r="J67">
        <f>IF(ISNUMBER(Raw_from_worldbank!H71),Raw_from_worldbank!H71,  IF(ISNUMBER(SEARCH("k",Raw_from_worldbank!H71)),
       VALUE(SUBSTITUTE(LOWER(Raw_from_worldbank!H71),"k",""))*1000,
       NA()))</f>
        <v>5.3</v>
      </c>
    </row>
    <row r="68" spans="1:10" x14ac:dyDescent="0.3">
      <c r="A68" t="str">
        <f>VLOOKUP(LOWER(B68),[1]country_name_iso_mapping!$A:$C,3, FALSE)</f>
        <v>GRC</v>
      </c>
      <c r="B68" t="s">
        <v>67</v>
      </c>
      <c r="C68" t="s">
        <v>67</v>
      </c>
      <c r="D68">
        <f>IF(ISNUMBER(Raw_from_worldbank!B72),Raw_from_worldbank!B72,  IF(ISNUMBER(SEARCH("k",Raw_from_worldbank!B72)),
       VALUE(SUBSTITUTE(LOWER(Raw_from_worldbank!B72),"k",""))*1000,
       NA()))</f>
        <v>0.53</v>
      </c>
      <c r="E68">
        <f>IF(ISNUMBER(Raw_from_worldbank!C72),Raw_from_worldbank!C72,  IF(ISNUMBER(SEARCH("k",Raw_from_worldbank!C72)),
       VALUE(SUBSTITUTE(LOWER(Raw_from_worldbank!C72),"k",""))*1000,
       NA()))</f>
        <v>0.53</v>
      </c>
      <c r="F68">
        <f>IF(ISNUMBER(Raw_from_worldbank!D72),Raw_from_worldbank!D72,  IF(ISNUMBER(SEARCH("k",Raw_from_worldbank!D72)),
       VALUE(SUBSTITUTE(LOWER(Raw_from_worldbank!D72),"k",""))*1000,
       NA()))</f>
        <v>0.54</v>
      </c>
      <c r="G68">
        <f>IF(ISNUMBER(Raw_from_worldbank!E72),Raw_from_worldbank!E72,  IF(ISNUMBER(SEARCH("k",Raw_from_worldbank!E72)),
       VALUE(SUBSTITUTE(LOWER(Raw_from_worldbank!E72),"k",""))*1000,
       NA()))</f>
        <v>0.54</v>
      </c>
      <c r="H68">
        <f>IF(ISNUMBER(Raw_from_worldbank!F72),Raw_from_worldbank!F72,  IF(ISNUMBER(SEARCH("k",Raw_from_worldbank!F72)),
       VALUE(SUBSTITUTE(LOWER(Raw_from_worldbank!F72),"k",""))*1000,
       NA()))</f>
        <v>0.54</v>
      </c>
      <c r="I68">
        <f>IF(ISNUMBER(Raw_from_worldbank!G72),Raw_from_worldbank!G72,  IF(ISNUMBER(SEARCH("k",Raw_from_worldbank!G72)),
       VALUE(SUBSTITUTE(LOWER(Raw_from_worldbank!G72),"k",""))*1000,
       NA()))</f>
        <v>0.55000000000000004</v>
      </c>
      <c r="J68">
        <f>IF(ISNUMBER(Raw_from_worldbank!H72),Raw_from_worldbank!H72,  IF(ISNUMBER(SEARCH("k",Raw_from_worldbank!H72)),
       VALUE(SUBSTITUTE(LOWER(Raw_from_worldbank!H72),"k",""))*1000,
       NA()))</f>
        <v>0.55000000000000004</v>
      </c>
    </row>
    <row r="69" spans="1:10" x14ac:dyDescent="0.3">
      <c r="A69" t="str">
        <f>VLOOKUP(LOWER(B69),[1]country_name_iso_mapping!$A:$C,3, FALSE)</f>
        <v>GRD</v>
      </c>
      <c r="B69" t="s">
        <v>68</v>
      </c>
      <c r="C69" t="s">
        <v>68</v>
      </c>
      <c r="D69">
        <f>IF(ISNUMBER(Raw_from_worldbank!B73),Raw_from_worldbank!B73,  IF(ISNUMBER(SEARCH("k",Raw_from_worldbank!B73)),
       VALUE(SUBSTITUTE(LOWER(Raw_from_worldbank!B73),"k",""))*1000,
       NA()))</f>
        <v>1.6</v>
      </c>
      <c r="E69">
        <f>IF(ISNUMBER(Raw_from_worldbank!C73),Raw_from_worldbank!C73,  IF(ISNUMBER(SEARCH("k",Raw_from_worldbank!C73)),
       VALUE(SUBSTITUTE(LOWER(Raw_from_worldbank!C73),"k",""))*1000,
       NA()))</f>
        <v>1.5</v>
      </c>
      <c r="F69">
        <f>IF(ISNUMBER(Raw_from_worldbank!D73),Raw_from_worldbank!D73,  IF(ISNUMBER(SEARCH("k",Raw_from_worldbank!D73)),
       VALUE(SUBSTITUTE(LOWER(Raw_from_worldbank!D73),"k",""))*1000,
       NA()))</f>
        <v>1.5</v>
      </c>
      <c r="G69">
        <f>IF(ISNUMBER(Raw_from_worldbank!E73),Raw_from_worldbank!E73,  IF(ISNUMBER(SEARCH("k",Raw_from_worldbank!E73)),
       VALUE(SUBSTITUTE(LOWER(Raw_from_worldbank!E73),"k",""))*1000,
       NA()))</f>
        <v>1.5</v>
      </c>
      <c r="H69">
        <f>IF(ISNUMBER(Raw_from_worldbank!F73),Raw_from_worldbank!F73,  IF(ISNUMBER(SEARCH("k",Raw_from_worldbank!F73)),
       VALUE(SUBSTITUTE(LOWER(Raw_from_worldbank!F73),"k",""))*1000,
       NA()))</f>
        <v>1.5</v>
      </c>
      <c r="I69">
        <f>IF(ISNUMBER(Raw_from_worldbank!G73),Raw_from_worldbank!G73,  IF(ISNUMBER(SEARCH("k",Raw_from_worldbank!G73)),
       VALUE(SUBSTITUTE(LOWER(Raw_from_worldbank!G73),"k",""))*1000,
       NA()))</f>
        <v>1.5</v>
      </c>
      <c r="J69">
        <f>IF(ISNUMBER(Raw_from_worldbank!H73),Raw_from_worldbank!H73,  IF(ISNUMBER(SEARCH("k",Raw_from_worldbank!H73)),
       VALUE(SUBSTITUTE(LOWER(Raw_from_worldbank!H73),"k",""))*1000,
       NA()))</f>
        <v>1.5</v>
      </c>
    </row>
    <row r="70" spans="1:10" x14ac:dyDescent="0.3">
      <c r="A70" t="str">
        <f>VLOOKUP(LOWER(B70),[1]country_name_iso_mapping!$A:$C,3, FALSE)</f>
        <v>GTM</v>
      </c>
      <c r="B70" t="s">
        <v>69</v>
      </c>
      <c r="C70" t="s">
        <v>69</v>
      </c>
      <c r="D70">
        <f>IF(ISNUMBER(Raw_from_worldbank!B74),Raw_from_worldbank!B74,  IF(ISNUMBER(SEARCH("k",Raw_from_worldbank!B74)),
       VALUE(SUBSTITUTE(LOWER(Raw_from_worldbank!B74),"k",""))*1000,
       NA()))</f>
        <v>4</v>
      </c>
      <c r="E70">
        <f>IF(ISNUMBER(Raw_from_worldbank!C74),Raw_from_worldbank!C74,  IF(ISNUMBER(SEARCH("k",Raw_from_worldbank!C74)),
       VALUE(SUBSTITUTE(LOWER(Raw_from_worldbank!C74),"k",""))*1000,
       NA()))</f>
        <v>3.9</v>
      </c>
      <c r="F70">
        <f>IF(ISNUMBER(Raw_from_worldbank!D74),Raw_from_worldbank!D74,  IF(ISNUMBER(SEARCH("k",Raw_from_worldbank!D74)),
       VALUE(SUBSTITUTE(LOWER(Raw_from_worldbank!D74),"k",""))*1000,
       NA()))</f>
        <v>4</v>
      </c>
      <c r="G70">
        <f>IF(ISNUMBER(Raw_from_worldbank!E74),Raw_from_worldbank!E74,  IF(ISNUMBER(SEARCH("k",Raw_from_worldbank!E74)),
       VALUE(SUBSTITUTE(LOWER(Raw_from_worldbank!E74),"k",""))*1000,
       NA()))</f>
        <v>4</v>
      </c>
      <c r="H70">
        <f>IF(ISNUMBER(Raw_from_worldbank!F74),Raw_from_worldbank!F74,  IF(ISNUMBER(SEARCH("k",Raw_from_worldbank!F74)),
       VALUE(SUBSTITUTE(LOWER(Raw_from_worldbank!F74),"k",""))*1000,
       NA()))</f>
        <v>4.0999999999999996</v>
      </c>
      <c r="I70">
        <f>IF(ISNUMBER(Raw_from_worldbank!G74),Raw_from_worldbank!G74,  IF(ISNUMBER(SEARCH("k",Raw_from_worldbank!G74)),
       VALUE(SUBSTITUTE(LOWER(Raw_from_worldbank!G74),"k",""))*1000,
       NA()))</f>
        <v>4.2</v>
      </c>
      <c r="J70">
        <f>IF(ISNUMBER(Raw_from_worldbank!H74),Raw_from_worldbank!H74,  IF(ISNUMBER(SEARCH("k",Raw_from_worldbank!H74)),
       VALUE(SUBSTITUTE(LOWER(Raw_from_worldbank!H74),"k",""))*1000,
       NA()))</f>
        <v>4.2</v>
      </c>
    </row>
    <row r="71" spans="1:10" x14ac:dyDescent="0.3">
      <c r="A71" t="str">
        <f>VLOOKUP(LOWER(B71),[1]country_name_iso_mapping!$A:$C,3, FALSE)</f>
        <v>GIN</v>
      </c>
      <c r="B71" t="s">
        <v>70</v>
      </c>
      <c r="C71" t="s">
        <v>70</v>
      </c>
      <c r="D71">
        <f>IF(ISNUMBER(Raw_from_worldbank!B75),Raw_from_worldbank!B75,  IF(ISNUMBER(SEARCH("k",Raw_from_worldbank!B75)),
       VALUE(SUBSTITUTE(LOWER(Raw_from_worldbank!B75),"k",""))*1000,
       NA()))</f>
        <v>4000</v>
      </c>
      <c r="E71">
        <f>IF(ISNUMBER(Raw_from_worldbank!C75),Raw_from_worldbank!C75,  IF(ISNUMBER(SEARCH("k",Raw_from_worldbank!C75)),
       VALUE(SUBSTITUTE(LOWER(Raw_from_worldbank!C75),"k",""))*1000,
       NA()))</f>
        <v>3800</v>
      </c>
      <c r="F71">
        <f>IF(ISNUMBER(Raw_from_worldbank!D75),Raw_from_worldbank!D75,  IF(ISNUMBER(SEARCH("k",Raw_from_worldbank!D75)),
       VALUE(SUBSTITUTE(LOWER(Raw_from_worldbank!D75),"k",""))*1000,
       NA()))</f>
        <v>4000</v>
      </c>
      <c r="G71">
        <f>IF(ISNUMBER(Raw_from_worldbank!E75),Raw_from_worldbank!E75,  IF(ISNUMBER(SEARCH("k",Raw_from_worldbank!E75)),
       VALUE(SUBSTITUTE(LOWER(Raw_from_worldbank!E75),"k",""))*1000,
       NA()))</f>
        <v>4400</v>
      </c>
      <c r="H71">
        <f>IF(ISNUMBER(Raw_from_worldbank!F75),Raw_from_worldbank!F75,  IF(ISNUMBER(SEARCH("k",Raw_from_worldbank!F75)),
       VALUE(SUBSTITUTE(LOWER(Raw_from_worldbank!F75),"k",""))*1000,
       NA()))</f>
        <v>4700</v>
      </c>
      <c r="I71">
        <f>IF(ISNUMBER(Raw_from_worldbank!G75),Raw_from_worldbank!G75,  IF(ISNUMBER(SEARCH("k",Raw_from_worldbank!G75)),
       VALUE(SUBSTITUTE(LOWER(Raw_from_worldbank!G75),"k",""))*1000,
       NA()))</f>
        <v>5000</v>
      </c>
      <c r="J71">
        <f>IF(ISNUMBER(Raw_from_worldbank!H75),Raw_from_worldbank!H75,  IF(ISNUMBER(SEARCH("k",Raw_from_worldbank!H75)),
       VALUE(SUBSTITUTE(LOWER(Raw_from_worldbank!H75),"k",""))*1000,
       NA()))</f>
        <v>5400</v>
      </c>
    </row>
    <row r="72" spans="1:10" x14ac:dyDescent="0.3">
      <c r="A72" t="str">
        <f>VLOOKUP(LOWER(B72),[1]country_name_iso_mapping!$A:$C,3, FALSE)</f>
        <v>GNB</v>
      </c>
      <c r="B72" t="s">
        <v>273</v>
      </c>
      <c r="C72" t="s">
        <v>71</v>
      </c>
      <c r="D72">
        <f>IF(ISNUMBER(Raw_from_worldbank!B76),Raw_from_worldbank!B76,  IF(ISNUMBER(SEARCH("k",Raw_from_worldbank!B76)),
       VALUE(SUBSTITUTE(LOWER(Raw_from_worldbank!B76),"k",""))*1000,
       NA()))</f>
        <v>193.4</v>
      </c>
      <c r="E72">
        <f>IF(ISNUMBER(Raw_from_worldbank!C76),Raw_from_worldbank!C76,  IF(ISNUMBER(SEARCH("k",Raw_from_worldbank!C76)),
       VALUE(SUBSTITUTE(LOWER(Raw_from_worldbank!C76),"k",""))*1000,
       NA()))</f>
        <v>193.8</v>
      </c>
      <c r="F72">
        <f>IF(ISNUMBER(Raw_from_worldbank!D76),Raw_from_worldbank!D76,  IF(ISNUMBER(SEARCH("k",Raw_from_worldbank!D76)),
       VALUE(SUBSTITUTE(LOWER(Raw_from_worldbank!D76),"k",""))*1000,
       NA()))</f>
        <v>200.5</v>
      </c>
      <c r="G72">
        <f>IF(ISNUMBER(Raw_from_worldbank!E76),Raw_from_worldbank!E76,  IF(ISNUMBER(SEARCH("k",Raw_from_worldbank!E76)),
       VALUE(SUBSTITUTE(LOWER(Raw_from_worldbank!E76),"k",""))*1000,
       NA()))</f>
        <v>201.8</v>
      </c>
      <c r="H72">
        <f>IF(ISNUMBER(Raw_from_worldbank!F76),Raw_from_worldbank!F76,  IF(ISNUMBER(SEARCH("k",Raw_from_worldbank!F76)),
       VALUE(SUBSTITUTE(LOWER(Raw_from_worldbank!F76),"k",""))*1000,
       NA()))</f>
        <v>203.9</v>
      </c>
      <c r="I72">
        <f>IF(ISNUMBER(Raw_from_worldbank!G76),Raw_from_worldbank!G76,  IF(ISNUMBER(SEARCH("k",Raw_from_worldbank!G76)),
       VALUE(SUBSTITUTE(LOWER(Raw_from_worldbank!G76),"k",""))*1000,
       NA()))</f>
        <v>205.7</v>
      </c>
      <c r="J72">
        <f>IF(ISNUMBER(Raw_from_worldbank!H76),Raw_from_worldbank!H76,  IF(ISNUMBER(SEARCH("k",Raw_from_worldbank!H76)),
       VALUE(SUBSTITUTE(LOWER(Raw_from_worldbank!H76),"k",""))*1000,
       NA()))</f>
        <v>207.6</v>
      </c>
    </row>
    <row r="73" spans="1:10" x14ac:dyDescent="0.3">
      <c r="A73" t="str">
        <f>VLOOKUP(LOWER(B73),[1]country_name_iso_mapping!$A:$C,3, FALSE)</f>
        <v>GUY</v>
      </c>
      <c r="B73" t="s">
        <v>72</v>
      </c>
      <c r="C73" t="s">
        <v>72</v>
      </c>
      <c r="D73">
        <f>IF(ISNUMBER(Raw_from_worldbank!B77),Raw_from_worldbank!B77,  IF(ISNUMBER(SEARCH("k",Raw_from_worldbank!B77)),
       VALUE(SUBSTITUTE(LOWER(Raw_from_worldbank!B77),"k",""))*1000,
       NA()))</f>
        <v>82.2</v>
      </c>
      <c r="E73">
        <f>IF(ISNUMBER(Raw_from_worldbank!C77),Raw_from_worldbank!C77,  IF(ISNUMBER(SEARCH("k",Raw_from_worldbank!C77)),
       VALUE(SUBSTITUTE(LOWER(Raw_from_worldbank!C77),"k",""))*1000,
       NA()))</f>
        <v>89.7</v>
      </c>
      <c r="F73">
        <f>IF(ISNUMBER(Raw_from_worldbank!D77),Raw_from_worldbank!D77,  IF(ISNUMBER(SEARCH("k",Raw_from_worldbank!D77)),
       VALUE(SUBSTITUTE(LOWER(Raw_from_worldbank!D77),"k",""))*1000,
       NA()))</f>
        <v>76.400000000000006</v>
      </c>
      <c r="G73">
        <f>IF(ISNUMBER(Raw_from_worldbank!E77),Raw_from_worldbank!E77,  IF(ISNUMBER(SEARCH("k",Raw_from_worldbank!E77)),
       VALUE(SUBSTITUTE(LOWER(Raw_from_worldbank!E77),"k",""))*1000,
       NA()))</f>
        <v>69.2</v>
      </c>
      <c r="H73">
        <f>IF(ISNUMBER(Raw_from_worldbank!F77),Raw_from_worldbank!F77,  IF(ISNUMBER(SEARCH("k",Raw_from_worldbank!F77)),
       VALUE(SUBSTITUTE(LOWER(Raw_from_worldbank!F77),"k",""))*1000,
       NA()))</f>
        <v>64</v>
      </c>
      <c r="I73">
        <f>IF(ISNUMBER(Raw_from_worldbank!G77),Raw_from_worldbank!G77,  IF(ISNUMBER(SEARCH("k",Raw_from_worldbank!G77)),
       VALUE(SUBSTITUTE(LOWER(Raw_from_worldbank!G77),"k",""))*1000,
       NA()))</f>
        <v>61.4</v>
      </c>
      <c r="J73">
        <f>IF(ISNUMBER(Raw_from_worldbank!H77),Raw_from_worldbank!H77,  IF(ISNUMBER(SEARCH("k",Raw_from_worldbank!H77)),
       VALUE(SUBSTITUTE(LOWER(Raw_from_worldbank!H77),"k",""))*1000,
       NA()))</f>
        <v>51.5</v>
      </c>
    </row>
    <row r="74" spans="1:10" x14ac:dyDescent="0.3">
      <c r="A74" t="str">
        <f>VLOOKUP(LOWER(B74),[1]country_name_iso_mapping!$A:$C,3, FALSE)</f>
        <v>HTI</v>
      </c>
      <c r="B74" t="s">
        <v>73</v>
      </c>
      <c r="C74" t="s">
        <v>73</v>
      </c>
      <c r="D74">
        <f>IF(ISNUMBER(Raw_from_worldbank!B78),Raw_from_worldbank!B78,  IF(ISNUMBER(SEARCH("k",Raw_from_worldbank!B78)),
       VALUE(SUBSTITUTE(LOWER(Raw_from_worldbank!B78),"k",""))*1000,
       NA()))</f>
        <v>46.9</v>
      </c>
      <c r="E74">
        <f>IF(ISNUMBER(Raw_from_worldbank!C78),Raw_from_worldbank!C78,  IF(ISNUMBER(SEARCH("k",Raw_from_worldbank!C78)),
       VALUE(SUBSTITUTE(LOWER(Raw_from_worldbank!C78),"k",""))*1000,
       NA()))</f>
        <v>56.9</v>
      </c>
      <c r="F74">
        <f>IF(ISNUMBER(Raw_from_worldbank!D78),Raw_from_worldbank!D78,  IF(ISNUMBER(SEARCH("k",Raw_from_worldbank!D78)),
       VALUE(SUBSTITUTE(LOWER(Raw_from_worldbank!D78),"k",""))*1000,
       NA()))</f>
        <v>79.3</v>
      </c>
      <c r="G74">
        <f>IF(ISNUMBER(Raw_from_worldbank!E78),Raw_from_worldbank!E78,  IF(ISNUMBER(SEARCH("k",Raw_from_worldbank!E78)),
       VALUE(SUBSTITUTE(LOWER(Raw_from_worldbank!E78),"k",""))*1000,
       NA()))</f>
        <v>94.5</v>
      </c>
      <c r="H74">
        <f>IF(ISNUMBER(Raw_from_worldbank!F78),Raw_from_worldbank!F78,  IF(ISNUMBER(SEARCH("k",Raw_from_worldbank!F78)),
       VALUE(SUBSTITUTE(LOWER(Raw_from_worldbank!F78),"k",""))*1000,
       NA()))</f>
        <v>102</v>
      </c>
      <c r="I74">
        <f>IF(ISNUMBER(Raw_from_worldbank!G78),Raw_from_worldbank!G78,  IF(ISNUMBER(SEARCH("k",Raw_from_worldbank!G78)),
       VALUE(SUBSTITUTE(LOWER(Raw_from_worldbank!G78),"k",""))*1000,
       NA()))</f>
        <v>107.9</v>
      </c>
      <c r="J74">
        <f>IF(ISNUMBER(Raw_from_worldbank!H78),Raw_from_worldbank!H78,  IF(ISNUMBER(SEARCH("k",Raw_from_worldbank!H78)),
       VALUE(SUBSTITUTE(LOWER(Raw_from_worldbank!H78),"k",""))*1000,
       NA()))</f>
        <v>113.8</v>
      </c>
    </row>
    <row r="75" spans="1:10" x14ac:dyDescent="0.3">
      <c r="A75" t="str">
        <f>VLOOKUP(LOWER(B75),[1]country_name_iso_mapping!$A:$C,3, FALSE)</f>
        <v>HND</v>
      </c>
      <c r="B75" t="s">
        <v>74</v>
      </c>
      <c r="C75" t="s">
        <v>74</v>
      </c>
      <c r="D75">
        <f>IF(ISNUMBER(Raw_from_worldbank!B79),Raw_from_worldbank!B79,  IF(ISNUMBER(SEARCH("k",Raw_from_worldbank!B79)),
       VALUE(SUBSTITUTE(LOWER(Raw_from_worldbank!B79),"k",""))*1000,
       NA()))</f>
        <v>10.8</v>
      </c>
      <c r="E75">
        <f>IF(ISNUMBER(Raw_from_worldbank!C79),Raw_from_worldbank!C79,  IF(ISNUMBER(SEARCH("k",Raw_from_worldbank!C79)),
       VALUE(SUBSTITUTE(LOWER(Raw_from_worldbank!C79),"k",""))*1000,
       NA()))</f>
        <v>11.1</v>
      </c>
      <c r="F75">
        <f>IF(ISNUMBER(Raw_from_worldbank!D79),Raw_from_worldbank!D79,  IF(ISNUMBER(SEARCH("k",Raw_from_worldbank!D79)),
       VALUE(SUBSTITUTE(LOWER(Raw_from_worldbank!D79),"k",""))*1000,
       NA()))</f>
        <v>11.4</v>
      </c>
      <c r="G75">
        <f>IF(ISNUMBER(Raw_from_worldbank!E79),Raw_from_worldbank!E79,  IF(ISNUMBER(SEARCH("k",Raw_from_worldbank!E79)),
       VALUE(SUBSTITUTE(LOWER(Raw_from_worldbank!E79),"k",""))*1000,
       NA()))</f>
        <v>11.6</v>
      </c>
      <c r="H75">
        <f>IF(ISNUMBER(Raw_from_worldbank!F79),Raw_from_worldbank!F79,  IF(ISNUMBER(SEARCH("k",Raw_from_worldbank!F79)),
       VALUE(SUBSTITUTE(LOWER(Raw_from_worldbank!F79),"k",""))*1000,
       NA()))</f>
        <v>12</v>
      </c>
      <c r="I75">
        <f>IF(ISNUMBER(Raw_from_worldbank!G79),Raw_from_worldbank!G79,  IF(ISNUMBER(SEARCH("k",Raw_from_worldbank!G79)),
       VALUE(SUBSTITUTE(LOWER(Raw_from_worldbank!G79),"k",""))*1000,
       NA()))</f>
        <v>12.2</v>
      </c>
      <c r="J75">
        <f>IF(ISNUMBER(Raw_from_worldbank!H79),Raw_from_worldbank!H79,  IF(ISNUMBER(SEARCH("k",Raw_from_worldbank!H79)),
       VALUE(SUBSTITUTE(LOWER(Raw_from_worldbank!H79),"k",""))*1000,
       NA()))</f>
        <v>12.5</v>
      </c>
    </row>
    <row r="76" spans="1:10" x14ac:dyDescent="0.3">
      <c r="A76" t="str">
        <f>VLOOKUP(LOWER(B76),[1]country_name_iso_mapping!$A:$C,3, FALSE)</f>
        <v>HKG</v>
      </c>
      <c r="B76" t="s">
        <v>274</v>
      </c>
      <c r="C76" t="s">
        <v>75</v>
      </c>
      <c r="D76">
        <f>IF(ISNUMBER(Raw_from_worldbank!B80),Raw_from_worldbank!B80,  IF(ISNUMBER(SEARCH("k",Raw_from_worldbank!B80)),
       VALUE(SUBSTITUTE(LOWER(Raw_from_worldbank!B80),"k",""))*1000,
       NA()))</f>
        <v>5.8</v>
      </c>
      <c r="E76">
        <f>IF(ISNUMBER(Raw_from_worldbank!C80),Raw_from_worldbank!C80,  IF(ISNUMBER(SEARCH("k",Raw_from_worldbank!C80)),
       VALUE(SUBSTITUTE(LOWER(Raw_from_worldbank!C80),"k",""))*1000,
       NA()))</f>
        <v>5.6</v>
      </c>
      <c r="F76">
        <f>IF(ISNUMBER(Raw_from_worldbank!D80),Raw_from_worldbank!D80,  IF(ISNUMBER(SEARCH("k",Raw_from_worldbank!D80)),
       VALUE(SUBSTITUTE(LOWER(Raw_from_worldbank!D80),"k",""))*1000,
       NA()))</f>
        <v>5.5</v>
      </c>
      <c r="G76">
        <f>IF(ISNUMBER(Raw_from_worldbank!E80),Raw_from_worldbank!E80,  IF(ISNUMBER(SEARCH("k",Raw_from_worldbank!E80)),
       VALUE(SUBSTITUTE(LOWER(Raw_from_worldbank!E80),"k",""))*1000,
       NA()))</f>
        <v>5.6</v>
      </c>
      <c r="H76">
        <f>IF(ISNUMBER(Raw_from_worldbank!F80),Raw_from_worldbank!F80,  IF(ISNUMBER(SEARCH("k",Raw_from_worldbank!F80)),
       VALUE(SUBSTITUTE(LOWER(Raw_from_worldbank!F80),"k",""))*1000,
       NA()))</f>
        <v>5.6</v>
      </c>
      <c r="I76">
        <f>IF(ISNUMBER(Raw_from_worldbank!G80),Raw_from_worldbank!G80,  IF(ISNUMBER(SEARCH("k",Raw_from_worldbank!G80)),
       VALUE(SUBSTITUTE(LOWER(Raw_from_worldbank!G80),"k",""))*1000,
       NA()))</f>
        <v>5.6</v>
      </c>
      <c r="J76">
        <f>IF(ISNUMBER(Raw_from_worldbank!H80),Raw_from_worldbank!H80,  IF(ISNUMBER(SEARCH("k",Raw_from_worldbank!H80)),
       VALUE(SUBSTITUTE(LOWER(Raw_from_worldbank!H80),"k",""))*1000,
       NA()))</f>
        <v>5.7</v>
      </c>
    </row>
    <row r="77" spans="1:10" x14ac:dyDescent="0.3">
      <c r="A77" t="str">
        <f>VLOOKUP(LOWER(B77),[1]country_name_iso_mapping!$A:$C,3, FALSE)</f>
        <v>HUN</v>
      </c>
      <c r="B77" t="s">
        <v>76</v>
      </c>
      <c r="C77" t="s">
        <v>76</v>
      </c>
      <c r="D77">
        <f>IF(ISNUMBER(Raw_from_worldbank!B81),Raw_from_worldbank!B81,  IF(ISNUMBER(SEARCH("k",Raw_from_worldbank!B81)),
       VALUE(SUBSTITUTE(LOWER(Raw_from_worldbank!B81),"k",""))*1000,
       NA()))</f>
        <v>151.69999999999999</v>
      </c>
      <c r="E77">
        <f>IF(ISNUMBER(Raw_from_worldbank!C81),Raw_from_worldbank!C81,  IF(ISNUMBER(SEARCH("k",Raw_from_worldbank!C81)),
       VALUE(SUBSTITUTE(LOWER(Raw_from_worldbank!C81),"k",""))*1000,
       NA()))</f>
        <v>162.30000000000001</v>
      </c>
      <c r="F77">
        <f>IF(ISNUMBER(Raw_from_worldbank!D81),Raw_from_worldbank!D81,  IF(ISNUMBER(SEARCH("k",Raw_from_worldbank!D81)),
       VALUE(SUBSTITUTE(LOWER(Raw_from_worldbank!D81),"k",""))*1000,
       NA()))</f>
        <v>179.4</v>
      </c>
      <c r="G77">
        <f>IF(ISNUMBER(Raw_from_worldbank!E81),Raw_from_worldbank!E81,  IF(ISNUMBER(SEARCH("k",Raw_from_worldbank!E81)),
       VALUE(SUBSTITUTE(LOWER(Raw_from_worldbank!E81),"k",""))*1000,
       NA()))</f>
        <v>180.7</v>
      </c>
      <c r="H77">
        <f>IF(ISNUMBER(Raw_from_worldbank!F81),Raw_from_worldbank!F81,  IF(ISNUMBER(SEARCH("k",Raw_from_worldbank!F81)),
       VALUE(SUBSTITUTE(LOWER(Raw_from_worldbank!F81),"k",""))*1000,
       NA()))</f>
        <v>185.5</v>
      </c>
      <c r="I77">
        <f>IF(ISNUMBER(Raw_from_worldbank!G81),Raw_from_worldbank!G81,  IF(ISNUMBER(SEARCH("k",Raw_from_worldbank!G81)),
       VALUE(SUBSTITUTE(LOWER(Raw_from_worldbank!G81),"k",""))*1000,
       NA()))</f>
        <v>187.7</v>
      </c>
      <c r="J77">
        <f>IF(ISNUMBER(Raw_from_worldbank!H81),Raw_from_worldbank!H81,  IF(ISNUMBER(SEARCH("k",Raw_from_worldbank!H81)),
       VALUE(SUBSTITUTE(LOWER(Raw_from_worldbank!H81),"k",""))*1000,
       NA()))</f>
        <v>189.7</v>
      </c>
    </row>
    <row r="78" spans="1:10" x14ac:dyDescent="0.3">
      <c r="A78" t="str">
        <f>VLOOKUP(LOWER(B78),[1]country_name_iso_mapping!$A:$C,3, FALSE)</f>
        <v>ISL</v>
      </c>
      <c r="B78" t="s">
        <v>77</v>
      </c>
      <c r="C78" t="s">
        <v>77</v>
      </c>
      <c r="D78">
        <f>IF(ISNUMBER(Raw_from_worldbank!B82),Raw_from_worldbank!B82,  IF(ISNUMBER(SEARCH("k",Raw_from_worldbank!B82)),
       VALUE(SUBSTITUTE(LOWER(Raw_from_worldbank!B82),"k",""))*1000,
       NA()))</f>
        <v>147.6</v>
      </c>
      <c r="E78">
        <f>IF(ISNUMBER(Raw_from_worldbank!C82),Raw_from_worldbank!C82,  IF(ISNUMBER(SEARCH("k",Raw_from_worldbank!C82)),
       VALUE(SUBSTITUTE(LOWER(Raw_from_worldbank!C82),"k",""))*1000,
       NA()))</f>
        <v>150.1</v>
      </c>
      <c r="F78">
        <f>IF(ISNUMBER(Raw_from_worldbank!D82),Raw_from_worldbank!D82,  IF(ISNUMBER(SEARCH("k",Raw_from_worldbank!D82)),
       VALUE(SUBSTITUTE(LOWER(Raw_from_worldbank!D82),"k",""))*1000,
       NA()))</f>
        <v>153.30000000000001</v>
      </c>
      <c r="G78">
        <f>IF(ISNUMBER(Raw_from_worldbank!E82),Raw_from_worldbank!E82,  IF(ISNUMBER(SEARCH("k",Raw_from_worldbank!E82)),
       VALUE(SUBSTITUTE(LOWER(Raw_from_worldbank!E82),"k",""))*1000,
       NA()))</f>
        <v>156.6</v>
      </c>
      <c r="H78">
        <f>IF(ISNUMBER(Raw_from_worldbank!F82),Raw_from_worldbank!F82,  IF(ISNUMBER(SEARCH("k",Raw_from_worldbank!F82)),
       VALUE(SUBSTITUTE(LOWER(Raw_from_worldbank!F82),"k",""))*1000,
       NA()))</f>
        <v>158.9</v>
      </c>
      <c r="I78">
        <f>IF(ISNUMBER(Raw_from_worldbank!G82),Raw_from_worldbank!G82,  IF(ISNUMBER(SEARCH("k",Raw_from_worldbank!G82)),
       VALUE(SUBSTITUTE(LOWER(Raw_from_worldbank!G82),"k",""))*1000,
       NA()))</f>
        <v>161.1</v>
      </c>
      <c r="J78">
        <f>IF(ISNUMBER(Raw_from_worldbank!H82),Raw_from_worldbank!H82,  IF(ISNUMBER(SEARCH("k",Raw_from_worldbank!H82)),
       VALUE(SUBSTITUTE(LOWER(Raw_from_worldbank!H82),"k",""))*1000,
       NA()))</f>
        <v>163.5</v>
      </c>
    </row>
    <row r="79" spans="1:10" x14ac:dyDescent="0.3">
      <c r="A79" t="str">
        <f>VLOOKUP(LOWER(B79),[1]country_name_iso_mapping!$A:$C,3, FALSE)</f>
        <v>IND</v>
      </c>
      <c r="B79" t="s">
        <v>78</v>
      </c>
      <c r="C79" t="s">
        <v>78</v>
      </c>
      <c r="D79">
        <f>IF(ISNUMBER(Raw_from_worldbank!B83),Raw_from_worldbank!B83,  IF(ISNUMBER(SEARCH("k",Raw_from_worldbank!B83)),
       VALUE(SUBSTITUTE(LOWER(Raw_from_worldbank!B83),"k",""))*1000,
       NA()))</f>
        <v>22.6</v>
      </c>
      <c r="E79">
        <f>IF(ISNUMBER(Raw_from_worldbank!C83),Raw_from_worldbank!C83,  IF(ISNUMBER(SEARCH("k",Raw_from_worldbank!C83)),
       VALUE(SUBSTITUTE(LOWER(Raw_from_worldbank!C83),"k",""))*1000,
       NA()))</f>
        <v>22.6</v>
      </c>
      <c r="F79">
        <f>IF(ISNUMBER(Raw_from_worldbank!D83),Raw_from_worldbank!D83,  IF(ISNUMBER(SEARCH("k",Raw_from_worldbank!D83)),
       VALUE(SUBSTITUTE(LOWER(Raw_from_worldbank!D83),"k",""))*1000,
       NA()))</f>
        <v>22.2</v>
      </c>
      <c r="G79">
        <f>IF(ISNUMBER(Raw_from_worldbank!E83),Raw_from_worldbank!E83,  IF(ISNUMBER(SEARCH("k",Raw_from_worldbank!E83)),
       VALUE(SUBSTITUTE(LOWER(Raw_from_worldbank!E83),"k",""))*1000,
       NA()))</f>
        <v>22.4</v>
      </c>
      <c r="H79">
        <f>IF(ISNUMBER(Raw_from_worldbank!F83),Raw_from_worldbank!F83,  IF(ISNUMBER(SEARCH("k",Raw_from_worldbank!F83)),
       VALUE(SUBSTITUTE(LOWER(Raw_from_worldbank!F83),"k",""))*1000,
       NA()))</f>
        <v>22.9</v>
      </c>
      <c r="I79">
        <f>IF(ISNUMBER(Raw_from_worldbank!G83),Raw_from_worldbank!G83,  IF(ISNUMBER(SEARCH("k",Raw_from_worldbank!G83)),
       VALUE(SUBSTITUTE(LOWER(Raw_from_worldbank!G83),"k",""))*1000,
       NA()))</f>
        <v>23.4</v>
      </c>
      <c r="J79">
        <f>IF(ISNUMBER(Raw_from_worldbank!H83),Raw_from_worldbank!H83,  IF(ISNUMBER(SEARCH("k",Raw_from_worldbank!H83)),
       VALUE(SUBSTITUTE(LOWER(Raw_from_worldbank!H83),"k",""))*1000,
       NA()))</f>
        <v>23.9</v>
      </c>
    </row>
    <row r="80" spans="1:10" x14ac:dyDescent="0.3">
      <c r="A80" t="str">
        <f>VLOOKUP(LOWER(B80),[1]country_name_iso_mapping!$A:$C,3, FALSE)</f>
        <v>IDN</v>
      </c>
      <c r="B80" t="s">
        <v>79</v>
      </c>
      <c r="C80" t="s">
        <v>79</v>
      </c>
      <c r="D80">
        <f>IF(ISNUMBER(Raw_from_worldbank!B84),Raw_from_worldbank!B84,  IF(ISNUMBER(SEARCH("k",Raw_from_worldbank!B84)),
       VALUE(SUBSTITUTE(LOWER(Raw_from_worldbank!B84),"k",""))*1000,
       NA()))</f>
        <v>4700</v>
      </c>
      <c r="E80">
        <f>IF(ISNUMBER(Raw_from_worldbank!C84),Raw_from_worldbank!C84,  IF(ISNUMBER(SEARCH("k",Raw_from_worldbank!C84)),
       VALUE(SUBSTITUTE(LOWER(Raw_from_worldbank!C84),"k",""))*1000,
       NA()))</f>
        <v>4900</v>
      </c>
      <c r="F80">
        <f>IF(ISNUMBER(Raw_from_worldbank!D84),Raw_from_worldbank!D84,  IF(ISNUMBER(SEARCH("k",Raw_from_worldbank!D84)),
       VALUE(SUBSTITUTE(LOWER(Raw_from_worldbank!D84),"k",""))*1000,
       NA()))</f>
        <v>4800</v>
      </c>
      <c r="G80">
        <f>IF(ISNUMBER(Raw_from_worldbank!E84),Raw_from_worldbank!E84,  IF(ISNUMBER(SEARCH("k",Raw_from_worldbank!E84)),
       VALUE(SUBSTITUTE(LOWER(Raw_from_worldbank!E84),"k",""))*1000,
       NA()))</f>
        <v>4800</v>
      </c>
      <c r="H80">
        <f>IF(ISNUMBER(Raw_from_worldbank!F84),Raw_from_worldbank!F84,  IF(ISNUMBER(SEARCH("k",Raw_from_worldbank!F84)),
       VALUE(SUBSTITUTE(LOWER(Raw_from_worldbank!F84),"k",""))*1000,
       NA()))</f>
        <v>4800</v>
      </c>
      <c r="I80">
        <f>IF(ISNUMBER(Raw_from_worldbank!G84),Raw_from_worldbank!G84,  IF(ISNUMBER(SEARCH("k",Raw_from_worldbank!G84)),
       VALUE(SUBSTITUTE(LOWER(Raw_from_worldbank!G84),"k",""))*1000,
       NA()))</f>
        <v>4800</v>
      </c>
      <c r="J80">
        <f>IF(ISNUMBER(Raw_from_worldbank!H84),Raw_from_worldbank!H84,  IF(ISNUMBER(SEARCH("k",Raw_from_worldbank!H84)),
       VALUE(SUBSTITUTE(LOWER(Raw_from_worldbank!H84),"k",""))*1000,
       NA()))</f>
        <v>4900</v>
      </c>
    </row>
    <row r="81" spans="1:10" x14ac:dyDescent="0.3">
      <c r="A81" t="str">
        <f>VLOOKUP(LOWER(B81),[1]country_name_iso_mapping!$A:$C,3, FALSE)</f>
        <v>IRN</v>
      </c>
      <c r="B81" t="s">
        <v>275</v>
      </c>
      <c r="C81" t="s">
        <v>80</v>
      </c>
      <c r="D81">
        <f>IF(ISNUMBER(Raw_from_worldbank!B85),Raw_from_worldbank!B85,  IF(ISNUMBER(SEARCH("k",Raw_from_worldbank!B85)),
       VALUE(SUBSTITUTE(LOWER(Raw_from_worldbank!B85),"k",""))*1000,
       NA()))</f>
        <v>45900</v>
      </c>
      <c r="E81">
        <f>IF(ISNUMBER(Raw_from_worldbank!C85),Raw_from_worldbank!C85,  IF(ISNUMBER(SEARCH("k",Raw_from_worldbank!C85)),
       VALUE(SUBSTITUTE(LOWER(Raw_from_worldbank!C85),"k",""))*1000,
       NA()))</f>
        <v>64599.999999999993</v>
      </c>
      <c r="F81">
        <f>IF(ISNUMBER(Raw_from_worldbank!D85),Raw_from_worldbank!D85,  IF(ISNUMBER(SEARCH("k",Raw_from_worldbank!D85)),
       VALUE(SUBSTITUTE(LOWER(Raw_from_worldbank!D85),"k",""))*1000,
       NA()))</f>
        <v>87500</v>
      </c>
      <c r="G81">
        <f>IF(ISNUMBER(Raw_from_worldbank!E85),Raw_from_worldbank!E85,  IF(ISNUMBER(SEARCH("k",Raw_from_worldbank!E85)),
       VALUE(SUBSTITUTE(LOWER(Raw_from_worldbank!E85),"k",""))*1000,
       NA()))</f>
        <v>115700</v>
      </c>
      <c r="H81">
        <f>IF(ISNUMBER(Raw_from_worldbank!F85),Raw_from_worldbank!F85,  IF(ISNUMBER(SEARCH("k",Raw_from_worldbank!F85)),
       VALUE(SUBSTITUTE(LOWER(Raw_from_worldbank!F85),"k",""))*1000,
       NA()))</f>
        <v>149500</v>
      </c>
      <c r="I81">
        <f>IF(ISNUMBER(Raw_from_worldbank!G85),Raw_from_worldbank!G85,  IF(ISNUMBER(SEARCH("k",Raw_from_worldbank!G85)),
       VALUE(SUBSTITUTE(LOWER(Raw_from_worldbank!G85),"k",""))*1000,
       NA()))</f>
        <v>186100</v>
      </c>
      <c r="J81">
        <f>IF(ISNUMBER(Raw_from_worldbank!H85),Raw_from_worldbank!H85,  IF(ISNUMBER(SEARCH("k",Raw_from_worldbank!H85)),
       VALUE(SUBSTITUTE(LOWER(Raw_from_worldbank!H85),"k",""))*1000,
       NA()))</f>
        <v>228000</v>
      </c>
    </row>
    <row r="82" spans="1:10" x14ac:dyDescent="0.3">
      <c r="A82" t="str">
        <f>VLOOKUP(LOWER(B82),[1]country_name_iso_mapping!$A:$C,3, FALSE)</f>
        <v>IRQ</v>
      </c>
      <c r="B82" t="s">
        <v>81</v>
      </c>
      <c r="C82" t="s">
        <v>81</v>
      </c>
      <c r="D82">
        <f>IF(ISNUMBER(Raw_from_worldbank!B86),Raw_from_worldbank!B86,  IF(ISNUMBER(SEARCH("k",Raw_from_worldbank!B86)),
       VALUE(SUBSTITUTE(LOWER(Raw_from_worldbank!B86),"k",""))*1000,
       NA()))</f>
        <v>679.5</v>
      </c>
      <c r="E82">
        <f>IF(ISNUMBER(Raw_from_worldbank!C86),Raw_from_worldbank!C86,  IF(ISNUMBER(SEARCH("k",Raw_from_worldbank!C86)),
       VALUE(SUBSTITUTE(LOWER(Raw_from_worldbank!C86),"k",""))*1000,
       NA()))</f>
        <v>751.5</v>
      </c>
      <c r="F82">
        <f>IF(ISNUMBER(Raw_from_worldbank!D86),Raw_from_worldbank!D86,  IF(ISNUMBER(SEARCH("k",Raw_from_worldbank!D86)),
       VALUE(SUBSTITUTE(LOWER(Raw_from_worldbank!D86),"k",""))*1000,
       NA()))</f>
        <v>654.79999999999995</v>
      </c>
      <c r="G82">
        <f>IF(ISNUMBER(Raw_from_worldbank!E86),Raw_from_worldbank!E86,  IF(ISNUMBER(SEARCH("k",Raw_from_worldbank!E86)),
       VALUE(SUBSTITUTE(LOWER(Raw_from_worldbank!E86),"k",""))*1000,
       NA()))</f>
        <v>651.1</v>
      </c>
      <c r="H82">
        <f>IF(ISNUMBER(Raw_from_worldbank!F86),Raw_from_worldbank!F86,  IF(ISNUMBER(SEARCH("k",Raw_from_worldbank!F86)),
       VALUE(SUBSTITUTE(LOWER(Raw_from_worldbank!F86),"k",""))*1000,
       NA()))</f>
        <v>637.1</v>
      </c>
      <c r="I82">
        <f>IF(ISNUMBER(Raw_from_worldbank!G86),Raw_from_worldbank!G86,  IF(ISNUMBER(SEARCH("k",Raw_from_worldbank!G86)),
       VALUE(SUBSTITUTE(LOWER(Raw_from_worldbank!G86),"k",""))*1000,
       NA()))</f>
        <v>631.4</v>
      </c>
      <c r="J82">
        <f>IF(ISNUMBER(Raw_from_worldbank!H86),Raw_from_worldbank!H86,  IF(ISNUMBER(SEARCH("k",Raw_from_worldbank!H86)),
       VALUE(SUBSTITUTE(LOWER(Raw_from_worldbank!H86),"k",""))*1000,
       NA()))</f>
        <v>629.9</v>
      </c>
    </row>
    <row r="83" spans="1:10" x14ac:dyDescent="0.3">
      <c r="A83" t="str">
        <f>VLOOKUP(LOWER(B83),[1]country_name_iso_mapping!$A:$C,3, FALSE)</f>
        <v>IRL</v>
      </c>
      <c r="B83" t="s">
        <v>82</v>
      </c>
      <c r="C83" t="s">
        <v>82</v>
      </c>
      <c r="D83">
        <f>IF(ISNUMBER(Raw_from_worldbank!B87),Raw_from_worldbank!B87,  IF(ISNUMBER(SEARCH("k",Raw_from_worldbank!B87)),
       VALUE(SUBSTITUTE(LOWER(Raw_from_worldbank!B87),"k",""))*1000,
       NA()))</f>
        <v>0.74</v>
      </c>
      <c r="E83">
        <f>IF(ISNUMBER(Raw_from_worldbank!C87),Raw_from_worldbank!C87,  IF(ISNUMBER(SEARCH("k",Raw_from_worldbank!C87)),
       VALUE(SUBSTITUTE(LOWER(Raw_from_worldbank!C87),"k",""))*1000,
       NA()))</f>
        <v>0.74</v>
      </c>
      <c r="F83">
        <f>IF(ISNUMBER(Raw_from_worldbank!D87),Raw_from_worldbank!D87,  IF(ISNUMBER(SEARCH("k",Raw_from_worldbank!D87)),
       VALUE(SUBSTITUTE(LOWER(Raw_from_worldbank!D87),"k",""))*1000,
       NA()))</f>
        <v>0.74</v>
      </c>
      <c r="G83">
        <f>IF(ISNUMBER(Raw_from_worldbank!E87),Raw_from_worldbank!E87,  IF(ISNUMBER(SEARCH("k",Raw_from_worldbank!E87)),
       VALUE(SUBSTITUTE(LOWER(Raw_from_worldbank!E87),"k",""))*1000,
       NA()))</f>
        <v>0.73</v>
      </c>
      <c r="H83">
        <f>IF(ISNUMBER(Raw_from_worldbank!F87),Raw_from_worldbank!F87,  IF(ISNUMBER(SEARCH("k",Raw_from_worldbank!F87)),
       VALUE(SUBSTITUTE(LOWER(Raw_from_worldbank!F87),"k",""))*1000,
       NA()))</f>
        <v>0.74</v>
      </c>
      <c r="I83">
        <f>IF(ISNUMBER(Raw_from_worldbank!G87),Raw_from_worldbank!G87,  IF(ISNUMBER(SEARCH("k",Raw_from_worldbank!G87)),
       VALUE(SUBSTITUTE(LOWER(Raw_from_worldbank!G87),"k",""))*1000,
       NA()))</f>
        <v>0.74</v>
      </c>
      <c r="J83">
        <f>IF(ISNUMBER(Raw_from_worldbank!H87),Raw_from_worldbank!H87,  IF(ISNUMBER(SEARCH("k",Raw_from_worldbank!H87)),
       VALUE(SUBSTITUTE(LOWER(Raw_from_worldbank!H87),"k",""))*1000,
       NA()))</f>
        <v>0.74</v>
      </c>
    </row>
    <row r="84" spans="1:10" x14ac:dyDescent="0.3">
      <c r="A84" t="str">
        <f>VLOOKUP(LOWER(B84),[1]country_name_iso_mapping!$A:$C,3, FALSE)</f>
        <v>ISR</v>
      </c>
      <c r="B84" t="s">
        <v>83</v>
      </c>
      <c r="C84" t="s">
        <v>83</v>
      </c>
      <c r="D84">
        <f>IF(ISNUMBER(Raw_from_worldbank!B88),Raw_from_worldbank!B88,  IF(ISNUMBER(SEARCH("k",Raw_from_worldbank!B88)),
       VALUE(SUBSTITUTE(LOWER(Raw_from_worldbank!B88),"k",""))*1000,
       NA()))</f>
        <v>3.6</v>
      </c>
      <c r="E84">
        <f>IF(ISNUMBER(Raw_from_worldbank!C88),Raw_from_worldbank!C88,  IF(ISNUMBER(SEARCH("k",Raw_from_worldbank!C88)),
       VALUE(SUBSTITUTE(LOWER(Raw_from_worldbank!C88),"k",""))*1000,
       NA()))</f>
        <v>3.5</v>
      </c>
      <c r="F84">
        <f>IF(ISNUMBER(Raw_from_worldbank!D88),Raw_from_worldbank!D88,  IF(ISNUMBER(SEARCH("k",Raw_from_worldbank!D88)),
       VALUE(SUBSTITUTE(LOWER(Raw_from_worldbank!D88),"k",""))*1000,
       NA()))</f>
        <v>3.5</v>
      </c>
      <c r="G84">
        <f>IF(ISNUMBER(Raw_from_worldbank!E88),Raw_from_worldbank!E88,  IF(ISNUMBER(SEARCH("k",Raw_from_worldbank!E88)),
       VALUE(SUBSTITUTE(LOWER(Raw_from_worldbank!E88),"k",""))*1000,
       NA()))</f>
        <v>3.5</v>
      </c>
      <c r="H84">
        <f>IF(ISNUMBER(Raw_from_worldbank!F88),Raw_from_worldbank!F88,  IF(ISNUMBER(SEARCH("k",Raw_from_worldbank!F88)),
       VALUE(SUBSTITUTE(LOWER(Raw_from_worldbank!F88),"k",""))*1000,
       NA()))</f>
        <v>3.6</v>
      </c>
      <c r="I84">
        <f>IF(ISNUMBER(Raw_from_worldbank!G88),Raw_from_worldbank!G88,  IF(ISNUMBER(SEARCH("k",Raw_from_worldbank!G88)),
       VALUE(SUBSTITUTE(LOWER(Raw_from_worldbank!G88),"k",""))*1000,
       NA()))</f>
        <v>3.6</v>
      </c>
      <c r="J84">
        <f>IF(ISNUMBER(Raw_from_worldbank!H88),Raw_from_worldbank!H88,  IF(ISNUMBER(SEARCH("k",Raw_from_worldbank!H88)),
       VALUE(SUBSTITUTE(LOWER(Raw_from_worldbank!H88),"k",""))*1000,
       NA()))</f>
        <v>3.6</v>
      </c>
    </row>
    <row r="85" spans="1:10" x14ac:dyDescent="0.3">
      <c r="A85" t="str">
        <f>VLOOKUP(LOWER(B85),[1]country_name_iso_mapping!$A:$C,3, FALSE)</f>
        <v>ITA</v>
      </c>
      <c r="B85" t="s">
        <v>84</v>
      </c>
      <c r="C85" t="s">
        <v>84</v>
      </c>
      <c r="D85">
        <f>IF(ISNUMBER(Raw_from_worldbank!B89),Raw_from_worldbank!B89,  IF(ISNUMBER(SEARCH("k",Raw_from_worldbank!B89)),
       VALUE(SUBSTITUTE(LOWER(Raw_from_worldbank!B89),"k",""))*1000,
       NA()))</f>
        <v>0.65</v>
      </c>
      <c r="E85">
        <f>IF(ISNUMBER(Raw_from_worldbank!C89),Raw_from_worldbank!C89,  IF(ISNUMBER(SEARCH("k",Raw_from_worldbank!C89)),
       VALUE(SUBSTITUTE(LOWER(Raw_from_worldbank!C89),"k",""))*1000,
       NA()))</f>
        <v>0.63</v>
      </c>
      <c r="F85">
        <f>IF(ISNUMBER(Raw_from_worldbank!D89),Raw_from_worldbank!D89,  IF(ISNUMBER(SEARCH("k",Raw_from_worldbank!D89)),
       VALUE(SUBSTITUTE(LOWER(Raw_from_worldbank!D89),"k",""))*1000,
       NA()))</f>
        <v>0.64</v>
      </c>
      <c r="G85">
        <f>IF(ISNUMBER(Raw_from_worldbank!E89),Raw_from_worldbank!E89,  IF(ISNUMBER(SEARCH("k",Raw_from_worldbank!E89)),
       VALUE(SUBSTITUTE(LOWER(Raw_from_worldbank!E89),"k",""))*1000,
       NA()))</f>
        <v>0.65</v>
      </c>
      <c r="H85">
        <f>IF(ISNUMBER(Raw_from_worldbank!F89),Raw_from_worldbank!F89,  IF(ISNUMBER(SEARCH("k",Raw_from_worldbank!F89)),
       VALUE(SUBSTITUTE(LOWER(Raw_from_worldbank!F89),"k",""))*1000,
       NA()))</f>
        <v>0.65</v>
      </c>
      <c r="I85">
        <f>IF(ISNUMBER(Raw_from_worldbank!G89),Raw_from_worldbank!G89,  IF(ISNUMBER(SEARCH("k",Raw_from_worldbank!G89)),
       VALUE(SUBSTITUTE(LOWER(Raw_from_worldbank!G89),"k",""))*1000,
       NA()))</f>
        <v>0.65</v>
      </c>
      <c r="J85">
        <f>IF(ISNUMBER(Raw_from_worldbank!H89),Raw_from_worldbank!H89,  IF(ISNUMBER(SEARCH("k",Raw_from_worldbank!H89)),
       VALUE(SUBSTITUTE(LOWER(Raw_from_worldbank!H89),"k",""))*1000,
       NA()))</f>
        <v>0.65</v>
      </c>
    </row>
    <row r="86" spans="1:10" x14ac:dyDescent="0.3">
      <c r="A86" t="str">
        <f>VLOOKUP(LOWER(B86),[1]country_name_iso_mapping!$A:$C,3, FALSE)</f>
        <v>JAM</v>
      </c>
      <c r="B86" t="s">
        <v>85</v>
      </c>
      <c r="C86" t="s">
        <v>85</v>
      </c>
      <c r="D86">
        <f>IF(ISNUMBER(Raw_from_worldbank!B90),Raw_from_worldbank!B90,  IF(ISNUMBER(SEARCH("k",Raw_from_worldbank!B90)),
       VALUE(SUBSTITUTE(LOWER(Raw_from_worldbank!B90),"k",""))*1000,
       NA()))</f>
        <v>73.8</v>
      </c>
      <c r="E86">
        <f>IF(ISNUMBER(Raw_from_worldbank!C90),Raw_from_worldbank!C90,  IF(ISNUMBER(SEARCH("k",Raw_from_worldbank!C90)),
       VALUE(SUBSTITUTE(LOWER(Raw_from_worldbank!C90),"k",""))*1000,
       NA()))</f>
        <v>77.8</v>
      </c>
      <c r="F86">
        <f>IF(ISNUMBER(Raw_from_worldbank!D90),Raw_from_worldbank!D90,  IF(ISNUMBER(SEARCH("k",Raw_from_worldbank!D90)),
       VALUE(SUBSTITUTE(LOWER(Raw_from_worldbank!D90),"k",""))*1000,
       NA()))</f>
        <v>82</v>
      </c>
      <c r="G86">
        <f>IF(ISNUMBER(Raw_from_worldbank!E90),Raw_from_worldbank!E90,  IF(ISNUMBER(SEARCH("k",Raw_from_worldbank!E90)),
       VALUE(SUBSTITUTE(LOWER(Raw_from_worldbank!E90),"k",""))*1000,
       NA()))</f>
        <v>84.4</v>
      </c>
      <c r="H86">
        <f>IF(ISNUMBER(Raw_from_worldbank!F90),Raw_from_worldbank!F90,  IF(ISNUMBER(SEARCH("k",Raw_from_worldbank!F90)),
       VALUE(SUBSTITUTE(LOWER(Raw_from_worldbank!F90),"k",""))*1000,
       NA()))</f>
        <v>86.9</v>
      </c>
      <c r="I86">
        <f>IF(ISNUMBER(Raw_from_worldbank!G90),Raw_from_worldbank!G90,  IF(ISNUMBER(SEARCH("k",Raw_from_worldbank!G90)),
       VALUE(SUBSTITUTE(LOWER(Raw_from_worldbank!G90),"k",""))*1000,
       NA()))</f>
        <v>89.3</v>
      </c>
      <c r="J86">
        <f>IF(ISNUMBER(Raw_from_worldbank!H90),Raw_from_worldbank!H90,  IF(ISNUMBER(SEARCH("k",Raw_from_worldbank!H90)),
       VALUE(SUBSTITUTE(LOWER(Raw_from_worldbank!H90),"k",""))*1000,
       NA()))</f>
        <v>91.8</v>
      </c>
    </row>
    <row r="87" spans="1:10" x14ac:dyDescent="0.3">
      <c r="A87" t="str">
        <f>VLOOKUP(LOWER(B87),[1]country_name_iso_mapping!$A:$C,3, FALSE)</f>
        <v>JPN</v>
      </c>
      <c r="B87" t="s">
        <v>86</v>
      </c>
      <c r="C87" t="s">
        <v>86</v>
      </c>
      <c r="D87">
        <f>IF(ISNUMBER(Raw_from_worldbank!B91),Raw_from_worldbank!B91,  IF(ISNUMBER(SEARCH("k",Raw_from_worldbank!B91)),
       VALUE(SUBSTITUTE(LOWER(Raw_from_worldbank!B91),"k",""))*1000,
       NA()))</f>
        <v>96.9</v>
      </c>
      <c r="E87">
        <f>IF(ISNUMBER(Raw_from_worldbank!C91),Raw_from_worldbank!C91,  IF(ISNUMBER(SEARCH("k",Raw_from_worldbank!C91)),
       VALUE(SUBSTITUTE(LOWER(Raw_from_worldbank!C91),"k",""))*1000,
       NA()))</f>
        <v>90.9</v>
      </c>
      <c r="F87">
        <f>IF(ISNUMBER(Raw_from_worldbank!D91),Raw_from_worldbank!D91,  IF(ISNUMBER(SEARCH("k",Raw_from_worldbank!D91)),
       VALUE(SUBSTITUTE(LOWER(Raw_from_worldbank!D91),"k",""))*1000,
       NA()))</f>
        <v>91</v>
      </c>
      <c r="G87">
        <f>IF(ISNUMBER(Raw_from_worldbank!E91),Raw_from_worldbank!E91,  IF(ISNUMBER(SEARCH("k",Raw_from_worldbank!E91)),
       VALUE(SUBSTITUTE(LOWER(Raw_from_worldbank!E91),"k",""))*1000,
       NA()))</f>
        <v>90.8</v>
      </c>
      <c r="H87">
        <f>IF(ISNUMBER(Raw_from_worldbank!F91),Raw_from_worldbank!F91,  IF(ISNUMBER(SEARCH("k",Raw_from_worldbank!F91)),
       VALUE(SUBSTITUTE(LOWER(Raw_from_worldbank!F91),"k",""))*1000,
       NA()))</f>
        <v>91.3</v>
      </c>
      <c r="I87">
        <f>IF(ISNUMBER(Raw_from_worldbank!G91),Raw_from_worldbank!G91,  IF(ISNUMBER(SEARCH("k",Raw_from_worldbank!G91)),
       VALUE(SUBSTITUTE(LOWER(Raw_from_worldbank!G91),"k",""))*1000,
       NA()))</f>
        <v>91.6</v>
      </c>
      <c r="J87">
        <f>IF(ISNUMBER(Raw_from_worldbank!H91),Raw_from_worldbank!H91,  IF(ISNUMBER(SEARCH("k",Raw_from_worldbank!H91)),
       VALUE(SUBSTITUTE(LOWER(Raw_from_worldbank!H91),"k",""))*1000,
       NA()))</f>
        <v>91.7</v>
      </c>
    </row>
    <row r="88" spans="1:10" x14ac:dyDescent="0.3">
      <c r="A88" t="str">
        <f>VLOOKUP(LOWER(B88),[1]country_name_iso_mapping!$A:$C,3, FALSE)</f>
        <v>JOR</v>
      </c>
      <c r="B88" t="s">
        <v>87</v>
      </c>
      <c r="C88" t="s">
        <v>87</v>
      </c>
      <c r="D88">
        <f>IF(ISNUMBER(Raw_from_worldbank!B92),Raw_from_worldbank!B92,  IF(ISNUMBER(SEARCH("k",Raw_from_worldbank!B92)),
       VALUE(SUBSTITUTE(LOWER(Raw_from_worldbank!B92),"k",""))*1000,
       NA()))</f>
        <v>0.28000000000000003</v>
      </c>
      <c r="E88">
        <f>IF(ISNUMBER(Raw_from_worldbank!C92),Raw_from_worldbank!C92,  IF(ISNUMBER(SEARCH("k",Raw_from_worldbank!C92)),
       VALUE(SUBSTITUTE(LOWER(Raw_from_worldbank!C92),"k",""))*1000,
       NA()))</f>
        <v>0.27</v>
      </c>
      <c r="F88">
        <f>IF(ISNUMBER(Raw_from_worldbank!D92),Raw_from_worldbank!D92,  IF(ISNUMBER(SEARCH("k",Raw_from_worldbank!D92)),
       VALUE(SUBSTITUTE(LOWER(Raw_from_worldbank!D92),"k",""))*1000,
       NA()))</f>
        <v>0.27</v>
      </c>
      <c r="G88">
        <f>IF(ISNUMBER(Raw_from_worldbank!E92),Raw_from_worldbank!E92,  IF(ISNUMBER(SEARCH("k",Raw_from_worldbank!E92)),
       VALUE(SUBSTITUTE(LOWER(Raw_from_worldbank!E92),"k",""))*1000,
       NA()))</f>
        <v>0.27</v>
      </c>
      <c r="H88">
        <f>IF(ISNUMBER(Raw_from_worldbank!F92),Raw_from_worldbank!F92,  IF(ISNUMBER(SEARCH("k",Raw_from_worldbank!F92)),
       VALUE(SUBSTITUTE(LOWER(Raw_from_worldbank!F92),"k",""))*1000,
       NA()))</f>
        <v>0.27</v>
      </c>
      <c r="I88">
        <f>IF(ISNUMBER(Raw_from_worldbank!G92),Raw_from_worldbank!G92,  IF(ISNUMBER(SEARCH("k",Raw_from_worldbank!G92)),
       VALUE(SUBSTITUTE(LOWER(Raw_from_worldbank!G92),"k",""))*1000,
       NA()))</f>
        <v>0.27</v>
      </c>
      <c r="J88">
        <f>IF(ISNUMBER(Raw_from_worldbank!H92),Raw_from_worldbank!H92,  IF(ISNUMBER(SEARCH("k",Raw_from_worldbank!H92)),
       VALUE(SUBSTITUTE(LOWER(Raw_from_worldbank!H92),"k",""))*1000,
       NA()))</f>
        <v>0.27</v>
      </c>
    </row>
    <row r="89" spans="1:10" x14ac:dyDescent="0.3">
      <c r="A89" t="str">
        <f>VLOOKUP(LOWER(B89),[1]country_name_iso_mapping!$A:$C,3, FALSE)</f>
        <v>KAZ</v>
      </c>
      <c r="B89" t="s">
        <v>88</v>
      </c>
      <c r="C89" t="s">
        <v>88</v>
      </c>
      <c r="D89">
        <f>IF(ISNUMBER(Raw_from_worldbank!B93),Raw_from_worldbank!B93,  IF(ISNUMBER(SEARCH("k",Raw_from_worldbank!B93)),
       VALUE(SUBSTITUTE(LOWER(Raw_from_worldbank!B93),"k",""))*1000,
       NA()))</f>
        <v>154</v>
      </c>
      <c r="E89">
        <f>IF(ISNUMBER(Raw_from_worldbank!C93),Raw_from_worldbank!C93,  IF(ISNUMBER(SEARCH("k",Raw_from_worldbank!C93)),
       VALUE(SUBSTITUTE(LOWER(Raw_from_worldbank!C93),"k",""))*1000,
       NA()))</f>
        <v>172.1</v>
      </c>
      <c r="F89">
        <f>IF(ISNUMBER(Raw_from_worldbank!D93),Raw_from_worldbank!D93,  IF(ISNUMBER(SEARCH("k",Raw_from_worldbank!D93)),
       VALUE(SUBSTITUTE(LOWER(Raw_from_worldbank!D93),"k",""))*1000,
       NA()))</f>
        <v>181.6</v>
      </c>
      <c r="G89">
        <f>IF(ISNUMBER(Raw_from_worldbank!E93),Raw_from_worldbank!E93,  IF(ISNUMBER(SEARCH("k",Raw_from_worldbank!E93)),
       VALUE(SUBSTITUTE(LOWER(Raw_from_worldbank!E93),"k",""))*1000,
       NA()))</f>
        <v>196.2</v>
      </c>
      <c r="H89">
        <f>IF(ISNUMBER(Raw_from_worldbank!F93),Raw_from_worldbank!F93,  IF(ISNUMBER(SEARCH("k",Raw_from_worldbank!F93)),
       VALUE(SUBSTITUTE(LOWER(Raw_from_worldbank!F93),"k",""))*1000,
       NA()))</f>
        <v>206.4</v>
      </c>
      <c r="I89">
        <f>IF(ISNUMBER(Raw_from_worldbank!G93),Raw_from_worldbank!G93,  IF(ISNUMBER(SEARCH("k",Raw_from_worldbank!G93)),
       VALUE(SUBSTITUTE(LOWER(Raw_from_worldbank!G93),"k",""))*1000,
       NA()))</f>
        <v>215.7</v>
      </c>
      <c r="J89">
        <f>IF(ISNUMBER(Raw_from_worldbank!H93),Raw_from_worldbank!H93,  IF(ISNUMBER(SEARCH("k",Raw_from_worldbank!H93)),
       VALUE(SUBSTITUTE(LOWER(Raw_from_worldbank!H93),"k",""))*1000,
       NA()))</f>
        <v>225.7</v>
      </c>
    </row>
    <row r="90" spans="1:10" x14ac:dyDescent="0.3">
      <c r="A90" t="str">
        <f>VLOOKUP(LOWER(B90),[1]country_name_iso_mapping!$A:$C,3, FALSE)</f>
        <v>KEN</v>
      </c>
      <c r="B90" t="s">
        <v>89</v>
      </c>
      <c r="C90" t="s">
        <v>89</v>
      </c>
      <c r="D90">
        <f>IF(ISNUMBER(Raw_from_worldbank!B94),Raw_from_worldbank!B94,  IF(ISNUMBER(SEARCH("k",Raw_from_worldbank!B94)),
       VALUE(SUBSTITUTE(LOWER(Raw_from_worldbank!B94),"k",""))*1000,
       NA()))</f>
        <v>43.4</v>
      </c>
      <c r="E90">
        <f>IF(ISNUMBER(Raw_from_worldbank!C94),Raw_from_worldbank!C94,  IF(ISNUMBER(SEARCH("k",Raw_from_worldbank!C94)),
       VALUE(SUBSTITUTE(LOWER(Raw_from_worldbank!C94),"k",""))*1000,
       NA()))</f>
        <v>43</v>
      </c>
      <c r="F90">
        <f>IF(ISNUMBER(Raw_from_worldbank!D94),Raw_from_worldbank!D94,  IF(ISNUMBER(SEARCH("k",Raw_from_worldbank!D94)),
       VALUE(SUBSTITUTE(LOWER(Raw_from_worldbank!D94),"k",""))*1000,
       NA()))</f>
        <v>44.5</v>
      </c>
      <c r="G90">
        <f>IF(ISNUMBER(Raw_from_worldbank!E94),Raw_from_worldbank!E94,  IF(ISNUMBER(SEARCH("k",Raw_from_worldbank!E94)),
       VALUE(SUBSTITUTE(LOWER(Raw_from_worldbank!E94),"k",""))*1000,
       NA()))</f>
        <v>46.4</v>
      </c>
      <c r="H90">
        <f>IF(ISNUMBER(Raw_from_worldbank!F94),Raw_from_worldbank!F94,  IF(ISNUMBER(SEARCH("k",Raw_from_worldbank!F94)),
       VALUE(SUBSTITUTE(LOWER(Raw_from_worldbank!F94),"k",""))*1000,
       NA()))</f>
        <v>48.2</v>
      </c>
      <c r="I90">
        <f>IF(ISNUMBER(Raw_from_worldbank!G94),Raw_from_worldbank!G94,  IF(ISNUMBER(SEARCH("k",Raw_from_worldbank!G94)),
       VALUE(SUBSTITUTE(LOWER(Raw_from_worldbank!G94),"k",""))*1000,
       NA()))</f>
        <v>49.8</v>
      </c>
      <c r="J90">
        <f>IF(ISNUMBER(Raw_from_worldbank!H94),Raw_from_worldbank!H94,  IF(ISNUMBER(SEARCH("k",Raw_from_worldbank!H94)),
       VALUE(SUBSTITUTE(LOWER(Raw_from_worldbank!H94),"k",""))*1000,
       NA()))</f>
        <v>51.3</v>
      </c>
    </row>
    <row r="91" spans="1:10" x14ac:dyDescent="0.3">
      <c r="A91" t="str">
        <f>VLOOKUP(LOWER(B91),[1]country_name_iso_mapping!$A:$C,3, FALSE)</f>
        <v>KIR</v>
      </c>
      <c r="B91" t="s">
        <v>90</v>
      </c>
      <c r="C91" t="s">
        <v>90</v>
      </c>
      <c r="D91">
        <f>IF(ISNUMBER(Raw_from_worldbank!B95),Raw_from_worldbank!B95,  IF(ISNUMBER(SEARCH("k",Raw_from_worldbank!B95)),
       VALUE(SUBSTITUTE(LOWER(Raw_from_worldbank!B95),"k",""))*1000,
       NA()))</f>
        <v>1.1000000000000001</v>
      </c>
      <c r="E91">
        <f>IF(ISNUMBER(Raw_from_worldbank!C95),Raw_from_worldbank!C95,  IF(ISNUMBER(SEARCH("k",Raw_from_worldbank!C95)),
       VALUE(SUBSTITUTE(LOWER(Raw_from_worldbank!C95),"k",""))*1000,
       NA()))</f>
        <v>0.99</v>
      </c>
      <c r="F91">
        <f>IF(ISNUMBER(Raw_from_worldbank!D95),Raw_from_worldbank!D95,  IF(ISNUMBER(SEARCH("k",Raw_from_worldbank!D95)),
       VALUE(SUBSTITUTE(LOWER(Raw_from_worldbank!D95),"k",""))*1000,
       NA()))</f>
        <v>0.99</v>
      </c>
      <c r="G91">
        <f>IF(ISNUMBER(Raw_from_worldbank!E95),Raw_from_worldbank!E95,  IF(ISNUMBER(SEARCH("k",Raw_from_worldbank!E95)),
       VALUE(SUBSTITUTE(LOWER(Raw_from_worldbank!E95),"k",""))*1000,
       NA()))</f>
        <v>1</v>
      </c>
      <c r="H91">
        <f>IF(ISNUMBER(Raw_from_worldbank!F95),Raw_from_worldbank!F95,  IF(ISNUMBER(SEARCH("k",Raw_from_worldbank!F95)),
       VALUE(SUBSTITUTE(LOWER(Raw_from_worldbank!F95),"k",""))*1000,
       NA()))</f>
        <v>1</v>
      </c>
      <c r="I91">
        <f>IF(ISNUMBER(Raw_from_worldbank!G95),Raw_from_worldbank!G95,  IF(ISNUMBER(SEARCH("k",Raw_from_worldbank!G95)),
       VALUE(SUBSTITUTE(LOWER(Raw_from_worldbank!G95),"k",""))*1000,
       NA()))</f>
        <v>1</v>
      </c>
      <c r="J91">
        <f>IF(ISNUMBER(Raw_from_worldbank!H95),Raw_from_worldbank!H95,  IF(ISNUMBER(SEARCH("k",Raw_from_worldbank!H95)),
       VALUE(SUBSTITUTE(LOWER(Raw_from_worldbank!H95),"k",""))*1000,
       NA()))</f>
        <v>1</v>
      </c>
    </row>
    <row r="92" spans="1:10" x14ac:dyDescent="0.3">
      <c r="A92" t="str">
        <f>VLOOKUP(LOWER(B92),[1]country_name_iso_mapping!$A:$C,3, FALSE)</f>
        <v>KOR</v>
      </c>
      <c r="B92" t="s">
        <v>276</v>
      </c>
      <c r="C92" t="s">
        <v>91</v>
      </c>
      <c r="D92">
        <f>IF(ISNUMBER(Raw_from_worldbank!B96),Raw_from_worldbank!B96,  IF(ISNUMBER(SEARCH("k",Raw_from_worldbank!B96)),
       VALUE(SUBSTITUTE(LOWER(Raw_from_worldbank!B96),"k",""))*1000,
       NA()))</f>
        <v>822.5</v>
      </c>
      <c r="E92">
        <f>IF(ISNUMBER(Raw_from_worldbank!C96),Raw_from_worldbank!C96,  IF(ISNUMBER(SEARCH("k",Raw_from_worldbank!C96)),
       VALUE(SUBSTITUTE(LOWER(Raw_from_worldbank!C96),"k",""))*1000,
       NA()))</f>
        <v>778.2</v>
      </c>
      <c r="F92">
        <f>IF(ISNUMBER(Raw_from_worldbank!D96),Raw_from_worldbank!D96,  IF(ISNUMBER(SEARCH("k",Raw_from_worldbank!D96)),
       VALUE(SUBSTITUTE(LOWER(Raw_from_worldbank!D96),"k",""))*1000,
       NA()))</f>
        <v>766.3</v>
      </c>
      <c r="G92">
        <f>IF(ISNUMBER(Raw_from_worldbank!E96),Raw_from_worldbank!E96,  IF(ISNUMBER(SEARCH("k",Raw_from_worldbank!E96)),
       VALUE(SUBSTITUTE(LOWER(Raw_from_worldbank!E96),"k",""))*1000,
       NA()))</f>
        <v>765.8</v>
      </c>
      <c r="H92">
        <f>IF(ISNUMBER(Raw_from_worldbank!F96),Raw_from_worldbank!F96,  IF(ISNUMBER(SEARCH("k",Raw_from_worldbank!F96)),
       VALUE(SUBSTITUTE(LOWER(Raw_from_worldbank!F96),"k",""))*1000,
       NA()))</f>
        <v>769.3</v>
      </c>
      <c r="I92">
        <f>IF(ISNUMBER(Raw_from_worldbank!G96),Raw_from_worldbank!G96,  IF(ISNUMBER(SEARCH("k",Raw_from_worldbank!G96)),
       VALUE(SUBSTITUTE(LOWER(Raw_from_worldbank!G96),"k",""))*1000,
       NA()))</f>
        <v>771.2</v>
      </c>
      <c r="J92">
        <f>IF(ISNUMBER(Raw_from_worldbank!H96),Raw_from_worldbank!H96,  IF(ISNUMBER(SEARCH("k",Raw_from_worldbank!H96)),
       VALUE(SUBSTITUTE(LOWER(Raw_from_worldbank!H96),"k",""))*1000,
       NA()))</f>
        <v>772.3</v>
      </c>
    </row>
    <row r="93" spans="1:10" x14ac:dyDescent="0.3">
      <c r="A93" t="str">
        <f>VLOOKUP(LOWER(B93),[1]country_name_iso_mapping!$A:$C,3, FALSE)</f>
        <v>XKX</v>
      </c>
      <c r="B93" t="s">
        <v>277</v>
      </c>
      <c r="C93" t="s">
        <v>92</v>
      </c>
      <c r="D93">
        <f>IF(ISNUMBER(Raw_from_worldbank!B97),Raw_from_worldbank!B97,  IF(ISNUMBER(SEARCH("k",Raw_from_worldbank!B97)),
       VALUE(SUBSTITUTE(LOWER(Raw_from_worldbank!B97),"k",""))*1000,
       NA()))</f>
        <v>0.34</v>
      </c>
      <c r="E93">
        <f>IF(ISNUMBER(Raw_from_worldbank!C97),Raw_from_worldbank!C97,  IF(ISNUMBER(SEARCH("k",Raw_from_worldbank!C97)),
       VALUE(SUBSTITUTE(LOWER(Raw_from_worldbank!C97),"k",""))*1000,
       NA()))</f>
        <v>0.34</v>
      </c>
      <c r="F93">
        <f>IF(ISNUMBER(Raw_from_worldbank!D97),Raw_from_worldbank!D97,  IF(ISNUMBER(SEARCH("k",Raw_from_worldbank!D97)),
       VALUE(SUBSTITUTE(LOWER(Raw_from_worldbank!D97),"k",""))*1000,
       NA()))</f>
        <v>0.35</v>
      </c>
      <c r="G93">
        <f>IF(ISNUMBER(Raw_from_worldbank!E97),Raw_from_worldbank!E97,  IF(ISNUMBER(SEARCH("k",Raw_from_worldbank!E97)),
       VALUE(SUBSTITUTE(LOWER(Raw_from_worldbank!E97),"k",""))*1000,
       NA()))</f>
        <v>0.35</v>
      </c>
      <c r="H93">
        <f>IF(ISNUMBER(Raw_from_worldbank!F97),Raw_from_worldbank!F97,  IF(ISNUMBER(SEARCH("k",Raw_from_worldbank!F97)),
       VALUE(SUBSTITUTE(LOWER(Raw_from_worldbank!F97),"k",""))*1000,
       NA()))</f>
        <v>0.36</v>
      </c>
      <c r="I93">
        <f>IF(ISNUMBER(Raw_from_worldbank!G97),Raw_from_worldbank!G97,  IF(ISNUMBER(SEARCH("k",Raw_from_worldbank!G97)),
       VALUE(SUBSTITUTE(LOWER(Raw_from_worldbank!G97),"k",""))*1000,
       NA()))</f>
        <v>0.36</v>
      </c>
      <c r="J93">
        <f>IF(ISNUMBER(Raw_from_worldbank!H97),Raw_from_worldbank!H97,  IF(ISNUMBER(SEARCH("k",Raw_from_worldbank!H97)),
       VALUE(SUBSTITUTE(LOWER(Raw_from_worldbank!H97),"k",""))*1000,
       NA()))</f>
        <v>0.36</v>
      </c>
    </row>
    <row r="94" spans="1:10" x14ac:dyDescent="0.3">
      <c r="A94" t="str">
        <f>VLOOKUP(LOWER(B94),[1]country_name_iso_mapping!$A:$C,3, FALSE)</f>
        <v>KWT</v>
      </c>
      <c r="B94" t="s">
        <v>93</v>
      </c>
      <c r="C94" t="s">
        <v>93</v>
      </c>
      <c r="D94">
        <f>IF(ISNUMBER(Raw_from_worldbank!B98),Raw_from_worldbank!B98,  IF(ISNUMBER(SEARCH("k",Raw_from_worldbank!B98)),
       VALUE(SUBSTITUTE(LOWER(Raw_from_worldbank!B98),"k",""))*1000,
       NA()))</f>
        <v>0.19</v>
      </c>
      <c r="E94">
        <f>IF(ISNUMBER(Raw_from_worldbank!C98),Raw_from_worldbank!C98,  IF(ISNUMBER(SEARCH("k",Raw_from_worldbank!C98)),
       VALUE(SUBSTITUTE(LOWER(Raw_from_worldbank!C98),"k",""))*1000,
       NA()))</f>
        <v>0.22</v>
      </c>
      <c r="F94">
        <f>IF(ISNUMBER(Raw_from_worldbank!D98),Raw_from_worldbank!D98,  IF(ISNUMBER(SEARCH("k",Raw_from_worldbank!D98)),
       VALUE(SUBSTITUTE(LOWER(Raw_from_worldbank!D98),"k",""))*1000,
       NA()))</f>
        <v>0.19</v>
      </c>
      <c r="G94">
        <f>IF(ISNUMBER(Raw_from_worldbank!E98),Raw_from_worldbank!E98,  IF(ISNUMBER(SEARCH("k",Raw_from_worldbank!E98)),
       VALUE(SUBSTITUTE(LOWER(Raw_from_worldbank!E98),"k",""))*1000,
       NA()))</f>
        <v>0.19</v>
      </c>
      <c r="H94">
        <f>IF(ISNUMBER(Raw_from_worldbank!F98),Raw_from_worldbank!F98,  IF(ISNUMBER(SEARCH("k",Raw_from_worldbank!F98)),
       VALUE(SUBSTITUTE(LOWER(Raw_from_worldbank!F98),"k",""))*1000,
       NA()))</f>
        <v>0.18</v>
      </c>
      <c r="I94">
        <f>IF(ISNUMBER(Raw_from_worldbank!G98),Raw_from_worldbank!G98,  IF(ISNUMBER(SEARCH("k",Raw_from_worldbank!G98)),
       VALUE(SUBSTITUTE(LOWER(Raw_from_worldbank!G98),"k",""))*1000,
       NA()))</f>
        <v>0.18</v>
      </c>
      <c r="J94">
        <f>IF(ISNUMBER(Raw_from_worldbank!H98),Raw_from_worldbank!H98,  IF(ISNUMBER(SEARCH("k",Raw_from_worldbank!H98)),
       VALUE(SUBSTITUTE(LOWER(Raw_from_worldbank!H98),"k",""))*1000,
       NA()))</f>
        <v>0.17</v>
      </c>
    </row>
    <row r="95" spans="1:10" x14ac:dyDescent="0.3">
      <c r="A95" t="str">
        <f>VLOOKUP(LOWER(B95),[1]country_name_iso_mapping!$A:$C,3, FALSE)</f>
        <v>KGZ</v>
      </c>
      <c r="B95" t="s">
        <v>278</v>
      </c>
      <c r="C95" t="s">
        <v>94</v>
      </c>
      <c r="D95">
        <f>IF(ISNUMBER(Raw_from_worldbank!B99),Raw_from_worldbank!B99,  IF(ISNUMBER(SEARCH("k",Raw_from_worldbank!B99)),
       VALUE(SUBSTITUTE(LOWER(Raw_from_worldbank!B99),"k",""))*1000,
       NA()))</f>
        <v>21.4</v>
      </c>
      <c r="E95">
        <f>IF(ISNUMBER(Raw_from_worldbank!C99),Raw_from_worldbank!C99,  IF(ISNUMBER(SEARCH("k",Raw_from_worldbank!C99)),
       VALUE(SUBSTITUTE(LOWER(Raw_from_worldbank!C99),"k",""))*1000,
       NA()))</f>
        <v>23.3</v>
      </c>
      <c r="F95">
        <f>IF(ISNUMBER(Raw_from_worldbank!D99),Raw_from_worldbank!D99,  IF(ISNUMBER(SEARCH("k",Raw_from_worldbank!D99)),
       VALUE(SUBSTITUTE(LOWER(Raw_from_worldbank!D99),"k",""))*1000,
       NA()))</f>
        <v>25.1</v>
      </c>
      <c r="G95">
        <f>IF(ISNUMBER(Raw_from_worldbank!E99),Raw_from_worldbank!E99,  IF(ISNUMBER(SEARCH("k",Raw_from_worldbank!E99)),
       VALUE(SUBSTITUTE(LOWER(Raw_from_worldbank!E99),"k",""))*1000,
       NA()))</f>
        <v>26.2</v>
      </c>
      <c r="H95">
        <f>IF(ISNUMBER(Raw_from_worldbank!F99),Raw_from_worldbank!F99,  IF(ISNUMBER(SEARCH("k",Raw_from_worldbank!F99)),
       VALUE(SUBSTITUTE(LOWER(Raw_from_worldbank!F99),"k",""))*1000,
       NA()))</f>
        <v>27.4</v>
      </c>
      <c r="I95">
        <f>IF(ISNUMBER(Raw_from_worldbank!G99),Raw_from_worldbank!G99,  IF(ISNUMBER(SEARCH("k",Raw_from_worldbank!G99)),
       VALUE(SUBSTITUTE(LOWER(Raw_from_worldbank!G99),"k",""))*1000,
       NA()))</f>
        <v>28.4</v>
      </c>
      <c r="J95">
        <f>IF(ISNUMBER(Raw_from_worldbank!H99),Raw_from_worldbank!H99,  IF(ISNUMBER(SEARCH("k",Raw_from_worldbank!H99)),
       VALUE(SUBSTITUTE(LOWER(Raw_from_worldbank!H99),"k",""))*1000,
       NA()))</f>
        <v>29.2</v>
      </c>
    </row>
    <row r="96" spans="1:10" x14ac:dyDescent="0.3">
      <c r="A96" t="str">
        <f>VLOOKUP(LOWER(B96),[1]country_name_iso_mapping!$A:$C,3, FALSE)</f>
        <v>LAO</v>
      </c>
      <c r="B96" t="s">
        <v>279</v>
      </c>
      <c r="C96" t="s">
        <v>95</v>
      </c>
      <c r="D96">
        <f>IF(ISNUMBER(Raw_from_worldbank!B100),Raw_from_worldbank!B100,  IF(ISNUMBER(SEARCH("k",Raw_from_worldbank!B100)),
       VALUE(SUBSTITUTE(LOWER(Raw_from_worldbank!B100),"k",""))*1000,
       NA()))</f>
        <v>2900</v>
      </c>
      <c r="E96">
        <f>IF(ISNUMBER(Raw_from_worldbank!C100),Raw_from_worldbank!C100,  IF(ISNUMBER(SEARCH("k",Raw_from_worldbank!C100)),
       VALUE(SUBSTITUTE(LOWER(Raw_from_worldbank!C100),"k",""))*1000,
       NA()))</f>
        <v>3200</v>
      </c>
      <c r="F96">
        <f>IF(ISNUMBER(Raw_from_worldbank!D100),Raw_from_worldbank!D100,  IF(ISNUMBER(SEARCH("k",Raw_from_worldbank!D100)),
       VALUE(SUBSTITUTE(LOWER(Raw_from_worldbank!D100),"k",""))*1000,
       NA()))</f>
        <v>3800</v>
      </c>
      <c r="G96">
        <f>IF(ISNUMBER(Raw_from_worldbank!E100),Raw_from_worldbank!E100,  IF(ISNUMBER(SEARCH("k",Raw_from_worldbank!E100)),
       VALUE(SUBSTITUTE(LOWER(Raw_from_worldbank!E100),"k",""))*1000,
       NA()))</f>
        <v>4300</v>
      </c>
      <c r="H96">
        <f>IF(ISNUMBER(Raw_from_worldbank!F100),Raw_from_worldbank!F100,  IF(ISNUMBER(SEARCH("k",Raw_from_worldbank!F100)),
       VALUE(SUBSTITUTE(LOWER(Raw_from_worldbank!F100),"k",""))*1000,
       NA()))</f>
        <v>4900</v>
      </c>
      <c r="I96">
        <f>IF(ISNUMBER(Raw_from_worldbank!G100),Raw_from_worldbank!G100,  IF(ISNUMBER(SEARCH("k",Raw_from_worldbank!G100)),
       VALUE(SUBSTITUTE(LOWER(Raw_from_worldbank!G100),"k",""))*1000,
       NA()))</f>
        <v>5100</v>
      </c>
      <c r="J96">
        <f>IF(ISNUMBER(Raw_from_worldbank!H100),Raw_from_worldbank!H100,  IF(ISNUMBER(SEARCH("k",Raw_from_worldbank!H100)),
       VALUE(SUBSTITUTE(LOWER(Raw_from_worldbank!H100),"k",""))*1000,
       NA()))</f>
        <v>5100</v>
      </c>
    </row>
    <row r="97" spans="1:10" x14ac:dyDescent="0.3">
      <c r="A97" t="str">
        <f>VLOOKUP(LOWER(B97),[1]country_name_iso_mapping!$A:$C,3, FALSE)</f>
        <v>LVA</v>
      </c>
      <c r="B97" t="s">
        <v>96</v>
      </c>
      <c r="C97" t="s">
        <v>96</v>
      </c>
      <c r="D97">
        <f>IF(ISNUMBER(Raw_from_worldbank!B101),Raw_from_worldbank!B101,  IF(ISNUMBER(SEARCH("k",Raw_from_worldbank!B101)),
       VALUE(SUBSTITUTE(LOWER(Raw_from_worldbank!B101),"k",""))*1000,
       NA()))</f>
        <v>0.5</v>
      </c>
      <c r="E97">
        <f>IF(ISNUMBER(Raw_from_worldbank!C101),Raw_from_worldbank!C101,  IF(ISNUMBER(SEARCH("k",Raw_from_worldbank!C101)),
       VALUE(SUBSTITUTE(LOWER(Raw_from_worldbank!C101),"k",""))*1000,
       NA()))</f>
        <v>0.53</v>
      </c>
      <c r="F97">
        <f>IF(ISNUMBER(Raw_from_worldbank!D101),Raw_from_worldbank!D101,  IF(ISNUMBER(SEARCH("k",Raw_from_worldbank!D101)),
       VALUE(SUBSTITUTE(LOWER(Raw_from_worldbank!D101),"k",""))*1000,
       NA()))</f>
        <v>0.54</v>
      </c>
      <c r="G97">
        <f>IF(ISNUMBER(Raw_from_worldbank!E101),Raw_from_worldbank!E101,  IF(ISNUMBER(SEARCH("k",Raw_from_worldbank!E101)),
       VALUE(SUBSTITUTE(LOWER(Raw_from_worldbank!E101),"k",""))*1000,
       NA()))</f>
        <v>0.54</v>
      </c>
      <c r="H97">
        <f>IF(ISNUMBER(Raw_from_worldbank!F101),Raw_from_worldbank!F101,  IF(ISNUMBER(SEARCH("k",Raw_from_worldbank!F101)),
       VALUE(SUBSTITUTE(LOWER(Raw_from_worldbank!F101),"k",""))*1000,
       NA()))</f>
        <v>0.55000000000000004</v>
      </c>
      <c r="I97">
        <f>IF(ISNUMBER(Raw_from_worldbank!G101),Raw_from_worldbank!G101,  IF(ISNUMBER(SEARCH("k",Raw_from_worldbank!G101)),
       VALUE(SUBSTITUTE(LOWER(Raw_from_worldbank!G101),"k",""))*1000,
       NA()))</f>
        <v>0.55000000000000004</v>
      </c>
      <c r="J97">
        <f>IF(ISNUMBER(Raw_from_worldbank!H101),Raw_from_worldbank!H101,  IF(ISNUMBER(SEARCH("k",Raw_from_worldbank!H101)),
       VALUE(SUBSTITUTE(LOWER(Raw_from_worldbank!H101),"k",""))*1000,
       NA()))</f>
        <v>0.56000000000000005</v>
      </c>
    </row>
    <row r="98" spans="1:10" x14ac:dyDescent="0.3">
      <c r="A98" t="str">
        <f>VLOOKUP(LOWER(B98),[1]country_name_iso_mapping!$A:$C,3, FALSE)</f>
        <v>LBN</v>
      </c>
      <c r="B98" t="s">
        <v>97</v>
      </c>
      <c r="C98" t="s">
        <v>97</v>
      </c>
      <c r="D98">
        <f>IF(ISNUMBER(Raw_from_worldbank!B102),Raw_from_worldbank!B102,  IF(ISNUMBER(SEARCH("k",Raw_from_worldbank!B102)),
       VALUE(SUBSTITUTE(LOWER(Raw_from_worldbank!B102),"k",""))*1000,
       NA()))</f>
        <v>2800</v>
      </c>
      <c r="E98">
        <f>IF(ISNUMBER(Raw_from_worldbank!C102),Raw_from_worldbank!C102,  IF(ISNUMBER(SEARCH("k",Raw_from_worldbank!C102)),
       VALUE(SUBSTITUTE(LOWER(Raw_from_worldbank!C102),"k",""))*1000,
       NA()))</f>
        <v>7000</v>
      </c>
      <c r="F98" t="e">
        <f>IF(ISNUMBER(Raw_from_worldbank!D102),Raw_from_worldbank!D102,  IF(ISNUMBER(SEARCH("k",Raw_from_worldbank!D102)),
       VALUE(SUBSTITUTE(LOWER(Raw_from_worldbank!D102),"k",""))*1000,
       NA()))</f>
        <v>#N/A</v>
      </c>
      <c r="G98" t="e">
        <f>IF(ISNUMBER(Raw_from_worldbank!E102),Raw_from_worldbank!E102,  IF(ISNUMBER(SEARCH("k",Raw_from_worldbank!E102)),
       VALUE(SUBSTITUTE(LOWER(Raw_from_worldbank!E102),"k",""))*1000,
       NA()))</f>
        <v>#N/A</v>
      </c>
      <c r="H98" t="e">
        <f>IF(ISNUMBER(Raw_from_worldbank!F102),Raw_from_worldbank!F102,  IF(ISNUMBER(SEARCH("k",Raw_from_worldbank!F102)),
       VALUE(SUBSTITUTE(LOWER(Raw_from_worldbank!F102),"k",""))*1000,
       NA()))</f>
        <v>#N/A</v>
      </c>
      <c r="I98" t="e">
        <f>IF(ISNUMBER(Raw_from_worldbank!G102),Raw_from_worldbank!G102,  IF(ISNUMBER(SEARCH("k",Raw_from_worldbank!G102)),
       VALUE(SUBSTITUTE(LOWER(Raw_from_worldbank!G102),"k",""))*1000,
       NA()))</f>
        <v>#N/A</v>
      </c>
      <c r="J98" t="e">
        <f>IF(ISNUMBER(Raw_from_worldbank!H102),Raw_from_worldbank!H102,  IF(ISNUMBER(SEARCH("k",Raw_from_worldbank!H102)),
       VALUE(SUBSTITUTE(LOWER(Raw_from_worldbank!H102),"k",""))*1000,
       NA()))</f>
        <v>#N/A</v>
      </c>
    </row>
    <row r="99" spans="1:10" x14ac:dyDescent="0.3">
      <c r="A99" t="str">
        <f>VLOOKUP(LOWER(B99),[1]country_name_iso_mapping!$A:$C,3, FALSE)</f>
        <v>LSO</v>
      </c>
      <c r="B99" t="s">
        <v>98</v>
      </c>
      <c r="C99" t="s">
        <v>98</v>
      </c>
      <c r="D99">
        <f>IF(ISNUMBER(Raw_from_worldbank!B103),Raw_from_worldbank!B103,  IF(ISNUMBER(SEARCH("k",Raw_from_worldbank!B103)),
       VALUE(SUBSTITUTE(LOWER(Raw_from_worldbank!B103),"k",""))*1000,
       NA()))</f>
        <v>6.2</v>
      </c>
      <c r="E99">
        <f>IF(ISNUMBER(Raw_from_worldbank!C103),Raw_from_worldbank!C103,  IF(ISNUMBER(SEARCH("k",Raw_from_worldbank!C103)),
       VALUE(SUBSTITUTE(LOWER(Raw_from_worldbank!C103),"k",""))*1000,
       NA()))</f>
        <v>6.3</v>
      </c>
      <c r="F99">
        <f>IF(ISNUMBER(Raw_from_worldbank!D103),Raw_from_worldbank!D103,  IF(ISNUMBER(SEARCH("k",Raw_from_worldbank!D103)),
       VALUE(SUBSTITUTE(LOWER(Raw_from_worldbank!D103),"k",""))*1000,
       NA()))</f>
        <v>6.4</v>
      </c>
      <c r="G99">
        <f>IF(ISNUMBER(Raw_from_worldbank!E103),Raw_from_worldbank!E103,  IF(ISNUMBER(SEARCH("k",Raw_from_worldbank!E103)),
       VALUE(SUBSTITUTE(LOWER(Raw_from_worldbank!E103),"k",""))*1000,
       NA()))</f>
        <v>6.6</v>
      </c>
      <c r="H99">
        <f>IF(ISNUMBER(Raw_from_worldbank!F103),Raw_from_worldbank!F103,  IF(ISNUMBER(SEARCH("k",Raw_from_worldbank!F103)),
       VALUE(SUBSTITUTE(LOWER(Raw_from_worldbank!F103),"k",""))*1000,
       NA()))</f>
        <v>6.8</v>
      </c>
      <c r="I99">
        <f>IF(ISNUMBER(Raw_from_worldbank!G103),Raw_from_worldbank!G103,  IF(ISNUMBER(SEARCH("k",Raw_from_worldbank!G103)),
       VALUE(SUBSTITUTE(LOWER(Raw_from_worldbank!G103),"k",""))*1000,
       NA()))</f>
        <v>7</v>
      </c>
      <c r="J99">
        <f>IF(ISNUMBER(Raw_from_worldbank!H103),Raw_from_worldbank!H103,  IF(ISNUMBER(SEARCH("k",Raw_from_worldbank!H103)),
       VALUE(SUBSTITUTE(LOWER(Raw_from_worldbank!H103),"k",""))*1000,
       NA()))</f>
        <v>7.2</v>
      </c>
    </row>
    <row r="100" spans="1:10" x14ac:dyDescent="0.3">
      <c r="A100" t="str">
        <f>VLOOKUP(LOWER(B100),[1]country_name_iso_mapping!$A:$C,3, FALSE)</f>
        <v>LBR</v>
      </c>
      <c r="B100" t="s">
        <v>99</v>
      </c>
      <c r="C100" t="s">
        <v>99</v>
      </c>
      <c r="D100">
        <f>IF(ISNUMBER(Raw_from_worldbank!B104),Raw_from_worldbank!B104,  IF(ISNUMBER(SEARCH("k",Raw_from_worldbank!B104)),
       VALUE(SUBSTITUTE(LOWER(Raw_from_worldbank!B104),"k",""))*1000,
       NA()))</f>
        <v>0.44</v>
      </c>
      <c r="E100">
        <f>IF(ISNUMBER(Raw_from_worldbank!C104),Raw_from_worldbank!C104,  IF(ISNUMBER(SEARCH("k",Raw_from_worldbank!C104)),
       VALUE(SUBSTITUTE(LOWER(Raw_from_worldbank!C104),"k",""))*1000,
       NA()))</f>
        <v>0.44</v>
      </c>
      <c r="F100">
        <f>IF(ISNUMBER(Raw_from_worldbank!D104),Raw_from_worldbank!D104,  IF(ISNUMBER(SEARCH("k",Raw_from_worldbank!D104)),
       VALUE(SUBSTITUTE(LOWER(Raw_from_worldbank!D104),"k",""))*1000,
       NA()))</f>
        <v>0.45</v>
      </c>
      <c r="G100">
        <f>IF(ISNUMBER(Raw_from_worldbank!E104),Raw_from_worldbank!E104,  IF(ISNUMBER(SEARCH("k",Raw_from_worldbank!E104)),
       VALUE(SUBSTITUTE(LOWER(Raw_from_worldbank!E104),"k",""))*1000,
       NA()))</f>
        <v>0.45</v>
      </c>
      <c r="H100">
        <f>IF(ISNUMBER(Raw_from_worldbank!F104),Raw_from_worldbank!F104,  IF(ISNUMBER(SEARCH("k",Raw_from_worldbank!F104)),
       VALUE(SUBSTITUTE(LOWER(Raw_from_worldbank!F104),"k",""))*1000,
       NA()))</f>
        <v>0.45</v>
      </c>
      <c r="I100">
        <f>IF(ISNUMBER(Raw_from_worldbank!G104),Raw_from_worldbank!G104,  IF(ISNUMBER(SEARCH("k",Raw_from_worldbank!G104)),
       VALUE(SUBSTITUTE(LOWER(Raw_from_worldbank!G104),"k",""))*1000,
       NA()))</f>
        <v>0.45</v>
      </c>
      <c r="J100">
        <f>IF(ISNUMBER(Raw_from_worldbank!H104),Raw_from_worldbank!H104,  IF(ISNUMBER(SEARCH("k",Raw_from_worldbank!H104)),
       VALUE(SUBSTITUTE(LOWER(Raw_from_worldbank!H104),"k",""))*1000,
       NA()))</f>
        <v>0.44</v>
      </c>
    </row>
    <row r="101" spans="1:10" x14ac:dyDescent="0.3">
      <c r="A101" t="str">
        <f>VLOOKUP(LOWER(B101),[1]country_name_iso_mapping!$A:$C,3, FALSE)</f>
        <v>LBY</v>
      </c>
      <c r="B101" t="s">
        <v>100</v>
      </c>
      <c r="C101" t="s">
        <v>100</v>
      </c>
      <c r="D101">
        <f>IF(ISNUMBER(Raw_from_worldbank!B105),Raw_from_worldbank!B105,  IF(ISNUMBER(SEARCH("k",Raw_from_worldbank!B105)),
       VALUE(SUBSTITUTE(LOWER(Raw_from_worldbank!B105),"k",""))*1000,
       NA()))</f>
        <v>1.1000000000000001</v>
      </c>
      <c r="E101">
        <f>IF(ISNUMBER(Raw_from_worldbank!C105),Raw_from_worldbank!C105,  IF(ISNUMBER(SEARCH("k",Raw_from_worldbank!C105)),
       VALUE(SUBSTITUTE(LOWER(Raw_from_worldbank!C105),"k",""))*1000,
       NA()))</f>
        <v>1.4</v>
      </c>
      <c r="F101">
        <f>IF(ISNUMBER(Raw_from_worldbank!D105),Raw_from_worldbank!D105,  IF(ISNUMBER(SEARCH("k",Raw_from_worldbank!D105)),
       VALUE(SUBSTITUTE(LOWER(Raw_from_worldbank!D105),"k",""))*1000,
       NA()))</f>
        <v>1.3</v>
      </c>
      <c r="G101">
        <f>IF(ISNUMBER(Raw_from_worldbank!E105),Raw_from_worldbank!E105,  IF(ISNUMBER(SEARCH("k",Raw_from_worldbank!E105)),
       VALUE(SUBSTITUTE(LOWER(Raw_from_worldbank!E105),"k",""))*1000,
       NA()))</f>
        <v>1.3</v>
      </c>
      <c r="H101">
        <f>IF(ISNUMBER(Raw_from_worldbank!F105),Raw_from_worldbank!F105,  IF(ISNUMBER(SEARCH("k",Raw_from_worldbank!F105)),
       VALUE(SUBSTITUTE(LOWER(Raw_from_worldbank!F105),"k",""))*1000,
       NA()))</f>
        <v>1.2</v>
      </c>
      <c r="I101">
        <f>IF(ISNUMBER(Raw_from_worldbank!G105),Raw_from_worldbank!G105,  IF(ISNUMBER(SEARCH("k",Raw_from_worldbank!G105)),
       VALUE(SUBSTITUTE(LOWER(Raw_from_worldbank!G105),"k",""))*1000,
       NA()))</f>
        <v>1.2</v>
      </c>
      <c r="J101">
        <f>IF(ISNUMBER(Raw_from_worldbank!H105),Raw_from_worldbank!H105,  IF(ISNUMBER(SEARCH("k",Raw_from_worldbank!H105)),
       VALUE(SUBSTITUTE(LOWER(Raw_from_worldbank!H105),"k",""))*1000,
       NA()))</f>
        <v>1.2</v>
      </c>
    </row>
    <row r="102" spans="1:10" x14ac:dyDescent="0.3">
      <c r="A102" t="str">
        <f>VLOOKUP(LOWER(B102),[1]country_name_iso_mapping!$A:$C,3, FALSE)</f>
        <v>LTU</v>
      </c>
      <c r="B102" t="s">
        <v>101</v>
      </c>
      <c r="C102" t="s">
        <v>101</v>
      </c>
      <c r="D102">
        <f>IF(ISNUMBER(Raw_from_worldbank!B106),Raw_from_worldbank!B106,  IF(ISNUMBER(SEARCH("k",Raw_from_worldbank!B106)),
       VALUE(SUBSTITUTE(LOWER(Raw_from_worldbank!B106),"k",""))*1000,
       NA()))</f>
        <v>0.46</v>
      </c>
      <c r="E102">
        <f>IF(ISNUMBER(Raw_from_worldbank!C106),Raw_from_worldbank!C106,  IF(ISNUMBER(SEARCH("k",Raw_from_worldbank!C106)),
       VALUE(SUBSTITUTE(LOWER(Raw_from_worldbank!C106),"k",""))*1000,
       NA()))</f>
        <v>0.5</v>
      </c>
      <c r="F102">
        <f>IF(ISNUMBER(Raw_from_worldbank!D106),Raw_from_worldbank!D106,  IF(ISNUMBER(SEARCH("k",Raw_from_worldbank!D106)),
       VALUE(SUBSTITUTE(LOWER(Raw_from_worldbank!D106),"k",""))*1000,
       NA()))</f>
        <v>0.52</v>
      </c>
      <c r="G102">
        <f>IF(ISNUMBER(Raw_from_worldbank!E106),Raw_from_worldbank!E106,  IF(ISNUMBER(SEARCH("k",Raw_from_worldbank!E106)),
       VALUE(SUBSTITUTE(LOWER(Raw_from_worldbank!E106),"k",""))*1000,
       NA()))</f>
        <v>0.52</v>
      </c>
      <c r="H102">
        <f>IF(ISNUMBER(Raw_from_worldbank!F106),Raw_from_worldbank!F106,  IF(ISNUMBER(SEARCH("k",Raw_from_worldbank!F106)),
       VALUE(SUBSTITUTE(LOWER(Raw_from_worldbank!F106),"k",""))*1000,
       NA()))</f>
        <v>0.52</v>
      </c>
      <c r="I102">
        <f>IF(ISNUMBER(Raw_from_worldbank!G106),Raw_from_worldbank!G106,  IF(ISNUMBER(SEARCH("k",Raw_from_worldbank!G106)),
       VALUE(SUBSTITUTE(LOWER(Raw_from_worldbank!G106),"k",""))*1000,
       NA()))</f>
        <v>0.53</v>
      </c>
      <c r="J102">
        <f>IF(ISNUMBER(Raw_from_worldbank!H106),Raw_from_worldbank!H106,  IF(ISNUMBER(SEARCH("k",Raw_from_worldbank!H106)),
       VALUE(SUBSTITUTE(LOWER(Raw_from_worldbank!H106),"k",""))*1000,
       NA()))</f>
        <v>0.53</v>
      </c>
    </row>
    <row r="103" spans="1:10" x14ac:dyDescent="0.3">
      <c r="A103" t="str">
        <f>VLOOKUP(LOWER(B103),[1]country_name_iso_mapping!$A:$C,3, FALSE)</f>
        <v>LUX</v>
      </c>
      <c r="B103" t="s">
        <v>102</v>
      </c>
      <c r="C103" t="s">
        <v>102</v>
      </c>
      <c r="D103">
        <f>IF(ISNUMBER(Raw_from_worldbank!B107),Raw_from_worldbank!B107,  IF(ISNUMBER(SEARCH("k",Raw_from_worldbank!B107)),
       VALUE(SUBSTITUTE(LOWER(Raw_from_worldbank!B107),"k",""))*1000,
       NA()))</f>
        <v>0.86</v>
      </c>
      <c r="E103">
        <f>IF(ISNUMBER(Raw_from_worldbank!C107),Raw_from_worldbank!C107,  IF(ISNUMBER(SEARCH("k",Raw_from_worldbank!C107)),
       VALUE(SUBSTITUTE(LOWER(Raw_from_worldbank!C107),"k",""))*1000,
       NA()))</f>
        <v>0.85</v>
      </c>
      <c r="F103">
        <f>IF(ISNUMBER(Raw_from_worldbank!D107),Raw_from_worldbank!D107,  IF(ISNUMBER(SEARCH("k",Raw_from_worldbank!D107)),
       VALUE(SUBSTITUTE(LOWER(Raw_from_worldbank!D107),"k",""))*1000,
       NA()))</f>
        <v>0.85</v>
      </c>
      <c r="G103">
        <f>IF(ISNUMBER(Raw_from_worldbank!E107),Raw_from_worldbank!E107,  IF(ISNUMBER(SEARCH("k",Raw_from_worldbank!E107)),
       VALUE(SUBSTITUTE(LOWER(Raw_from_worldbank!E107),"k",""))*1000,
       NA()))</f>
        <v>0.85</v>
      </c>
      <c r="H103">
        <f>IF(ISNUMBER(Raw_from_worldbank!F107),Raw_from_worldbank!F107,  IF(ISNUMBER(SEARCH("k",Raw_from_worldbank!F107)),
       VALUE(SUBSTITUTE(LOWER(Raw_from_worldbank!F107),"k",""))*1000,
       NA()))</f>
        <v>0.86</v>
      </c>
      <c r="I103">
        <f>IF(ISNUMBER(Raw_from_worldbank!G107),Raw_from_worldbank!G107,  IF(ISNUMBER(SEARCH("k",Raw_from_worldbank!G107)),
       VALUE(SUBSTITUTE(LOWER(Raw_from_worldbank!G107),"k",""))*1000,
       NA()))</f>
        <v>0.86</v>
      </c>
      <c r="J103">
        <f>IF(ISNUMBER(Raw_from_worldbank!H107),Raw_from_worldbank!H107,  IF(ISNUMBER(SEARCH("k",Raw_from_worldbank!H107)),
       VALUE(SUBSTITUTE(LOWER(Raw_from_worldbank!H107),"k",""))*1000,
       NA()))</f>
        <v>0.86</v>
      </c>
    </row>
    <row r="104" spans="1:10" x14ac:dyDescent="0.3">
      <c r="A104" t="str">
        <f>VLOOKUP(LOWER(B104),[1]country_name_iso_mapping!$A:$C,3, FALSE)</f>
        <v>MAC</v>
      </c>
      <c r="B104" t="s">
        <v>280</v>
      </c>
      <c r="C104" t="s">
        <v>103</v>
      </c>
      <c r="D104">
        <f>IF(ISNUMBER(Raw_from_worldbank!B108),Raw_from_worldbank!B108,  IF(ISNUMBER(SEARCH("k",Raw_from_worldbank!B108)),
       VALUE(SUBSTITUTE(LOWER(Raw_from_worldbank!B108),"k",""))*1000,
       NA()))</f>
        <v>4.9000000000000004</v>
      </c>
      <c r="E104">
        <f>IF(ISNUMBER(Raw_from_worldbank!C108),Raw_from_worldbank!C108,  IF(ISNUMBER(SEARCH("k",Raw_from_worldbank!C108)),
       VALUE(SUBSTITUTE(LOWER(Raw_from_worldbank!C108),"k",""))*1000,
       NA()))</f>
        <v>4.5999999999999996</v>
      </c>
      <c r="F104">
        <f>IF(ISNUMBER(Raw_from_worldbank!D108),Raw_from_worldbank!D108,  IF(ISNUMBER(SEARCH("k",Raw_from_worldbank!D108)),
       VALUE(SUBSTITUTE(LOWER(Raw_from_worldbank!D108),"k",""))*1000,
       NA()))</f>
        <v>4.8</v>
      </c>
      <c r="G104">
        <f>IF(ISNUMBER(Raw_from_worldbank!E108),Raw_from_worldbank!E108,  IF(ISNUMBER(SEARCH("k",Raw_from_worldbank!E108)),
       VALUE(SUBSTITUTE(LOWER(Raw_from_worldbank!E108),"k",""))*1000,
       NA()))</f>
        <v>4.7</v>
      </c>
      <c r="H104">
        <f>IF(ISNUMBER(Raw_from_worldbank!F108),Raw_from_worldbank!F108,  IF(ISNUMBER(SEARCH("k",Raw_from_worldbank!F108)),
       VALUE(SUBSTITUTE(LOWER(Raw_from_worldbank!F108),"k",""))*1000,
       NA()))</f>
        <v>4.7</v>
      </c>
      <c r="I104">
        <f>IF(ISNUMBER(Raw_from_worldbank!G108),Raw_from_worldbank!G108,  IF(ISNUMBER(SEARCH("k",Raw_from_worldbank!G108)),
       VALUE(SUBSTITUTE(LOWER(Raw_from_worldbank!G108),"k",""))*1000,
       NA()))</f>
        <v>4.7</v>
      </c>
      <c r="J104">
        <f>IF(ISNUMBER(Raw_from_worldbank!H108),Raw_from_worldbank!H108,  IF(ISNUMBER(SEARCH("k",Raw_from_worldbank!H108)),
       VALUE(SUBSTITUTE(LOWER(Raw_from_worldbank!H108),"k",""))*1000,
       NA()))</f>
        <v>4.7</v>
      </c>
    </row>
    <row r="105" spans="1:10" x14ac:dyDescent="0.3">
      <c r="A105" t="str">
        <f>VLOOKUP(LOWER(B105),[1]country_name_iso_mapping!$A:$C,3, FALSE)</f>
        <v>MDG</v>
      </c>
      <c r="B105" t="s">
        <v>104</v>
      </c>
      <c r="C105" t="s">
        <v>104</v>
      </c>
      <c r="D105">
        <f>IF(ISNUMBER(Raw_from_worldbank!B109),Raw_from_worldbank!B109,  IF(ISNUMBER(SEARCH("k",Raw_from_worldbank!B109)),
       VALUE(SUBSTITUTE(LOWER(Raw_from_worldbank!B109),"k",""))*1000,
       NA()))</f>
        <v>1200</v>
      </c>
      <c r="E105">
        <f>IF(ISNUMBER(Raw_from_worldbank!C109),Raw_from_worldbank!C109,  IF(ISNUMBER(SEARCH("k",Raw_from_worldbank!C109)),
       VALUE(SUBSTITUTE(LOWER(Raw_from_worldbank!C109),"k",""))*1000,
       NA()))</f>
        <v>1200</v>
      </c>
      <c r="F105">
        <f>IF(ISNUMBER(Raw_from_worldbank!D109),Raw_from_worldbank!D109,  IF(ISNUMBER(SEARCH("k",Raw_from_worldbank!D109)),
       VALUE(SUBSTITUTE(LOWER(Raw_from_worldbank!D109),"k",""))*1000,
       NA()))</f>
        <v>1200</v>
      </c>
      <c r="G105">
        <f>IF(ISNUMBER(Raw_from_worldbank!E109),Raw_from_worldbank!E109,  IF(ISNUMBER(SEARCH("k",Raw_from_worldbank!E109)),
       VALUE(SUBSTITUTE(LOWER(Raw_from_worldbank!E109),"k",""))*1000,
       NA()))</f>
        <v>1300</v>
      </c>
      <c r="H105">
        <f>IF(ISNUMBER(Raw_from_worldbank!F109),Raw_from_worldbank!F109,  IF(ISNUMBER(SEARCH("k",Raw_from_worldbank!F109)),
       VALUE(SUBSTITUTE(LOWER(Raw_from_worldbank!F109),"k",""))*1000,
       NA()))</f>
        <v>1300</v>
      </c>
      <c r="I105">
        <f>IF(ISNUMBER(Raw_from_worldbank!G109),Raw_from_worldbank!G109,  IF(ISNUMBER(SEARCH("k",Raw_from_worldbank!G109)),
       VALUE(SUBSTITUTE(LOWER(Raw_from_worldbank!G109),"k",""))*1000,
       NA()))</f>
        <v>1400</v>
      </c>
      <c r="J105">
        <f>IF(ISNUMBER(Raw_from_worldbank!H109),Raw_from_worldbank!H109,  IF(ISNUMBER(SEARCH("k",Raw_from_worldbank!H109)),
       VALUE(SUBSTITUTE(LOWER(Raw_from_worldbank!H109),"k",""))*1000,
       NA()))</f>
        <v>1400</v>
      </c>
    </row>
    <row r="106" spans="1:10" x14ac:dyDescent="0.3">
      <c r="A106" t="str">
        <f>VLOOKUP(LOWER(B106),[1]country_name_iso_mapping!$A:$C,3, FALSE)</f>
        <v>MWI</v>
      </c>
      <c r="B106" t="s">
        <v>105</v>
      </c>
      <c r="C106" t="s">
        <v>105</v>
      </c>
      <c r="D106">
        <f>IF(ISNUMBER(Raw_from_worldbank!B110),Raw_from_worldbank!B110,  IF(ISNUMBER(SEARCH("k",Raw_from_worldbank!B110)),
       VALUE(SUBSTITUTE(LOWER(Raw_from_worldbank!B110),"k",""))*1000,
       NA()))</f>
        <v>299.60000000000002</v>
      </c>
      <c r="E106">
        <f>IF(ISNUMBER(Raw_from_worldbank!C110),Raw_from_worldbank!C110,  IF(ISNUMBER(SEARCH("k",Raw_from_worldbank!C110)),
       VALUE(SUBSTITUTE(LOWER(Raw_from_worldbank!C110),"k",""))*1000,
       NA()))</f>
        <v>328</v>
      </c>
      <c r="F106">
        <f>IF(ISNUMBER(Raw_from_worldbank!D110),Raw_from_worldbank!D110,  IF(ISNUMBER(SEARCH("k",Raw_from_worldbank!D110)),
       VALUE(SUBSTITUTE(LOWER(Raw_from_worldbank!D110),"k",""))*1000,
       NA()))</f>
        <v>407.1</v>
      </c>
      <c r="G106">
        <f>IF(ISNUMBER(Raw_from_worldbank!E110),Raw_from_worldbank!E110,  IF(ISNUMBER(SEARCH("k",Raw_from_worldbank!E110)),
       VALUE(SUBSTITUTE(LOWER(Raw_from_worldbank!E110),"k",""))*1000,
       NA()))</f>
        <v>497.7</v>
      </c>
      <c r="H106">
        <f>IF(ISNUMBER(Raw_from_worldbank!F110),Raw_from_worldbank!F110,  IF(ISNUMBER(SEARCH("k",Raw_from_worldbank!F110)),
       VALUE(SUBSTITUTE(LOWER(Raw_from_worldbank!F110),"k",""))*1000,
       NA()))</f>
        <v>556</v>
      </c>
      <c r="I106">
        <f>IF(ISNUMBER(Raw_from_worldbank!G110),Raw_from_worldbank!G110,  IF(ISNUMBER(SEARCH("k",Raw_from_worldbank!G110)),
       VALUE(SUBSTITUTE(LOWER(Raw_from_worldbank!G110),"k",""))*1000,
       NA()))</f>
        <v>587.5</v>
      </c>
      <c r="J106">
        <f>IF(ISNUMBER(Raw_from_worldbank!H110),Raw_from_worldbank!H110,  IF(ISNUMBER(SEARCH("k",Raw_from_worldbank!H110)),
       VALUE(SUBSTITUTE(LOWER(Raw_from_worldbank!H110),"k",""))*1000,
       NA()))</f>
        <v>613.4</v>
      </c>
    </row>
    <row r="107" spans="1:10" x14ac:dyDescent="0.3">
      <c r="A107" t="str">
        <f>VLOOKUP(LOWER(B107),[1]country_name_iso_mapping!$A:$C,3, FALSE)</f>
        <v>MYS</v>
      </c>
      <c r="B107" t="s">
        <v>106</v>
      </c>
      <c r="C107" t="s">
        <v>106</v>
      </c>
      <c r="D107">
        <f>IF(ISNUMBER(Raw_from_worldbank!B111),Raw_from_worldbank!B111,  IF(ISNUMBER(SEARCH("k",Raw_from_worldbank!B111)),
       VALUE(SUBSTITUTE(LOWER(Raw_from_worldbank!B111),"k",""))*1000,
       NA()))</f>
        <v>1.6</v>
      </c>
      <c r="E107">
        <f>IF(ISNUMBER(Raw_from_worldbank!C111),Raw_from_worldbank!C111,  IF(ISNUMBER(SEARCH("k",Raw_from_worldbank!C111)),
       VALUE(SUBSTITUTE(LOWER(Raw_from_worldbank!C111),"k",""))*1000,
       NA()))</f>
        <v>1.6</v>
      </c>
      <c r="F107">
        <f>IF(ISNUMBER(Raw_from_worldbank!D111),Raw_from_worldbank!D111,  IF(ISNUMBER(SEARCH("k",Raw_from_worldbank!D111)),
       VALUE(SUBSTITUTE(LOWER(Raw_from_worldbank!D111),"k",""))*1000,
       NA()))</f>
        <v>1.6</v>
      </c>
      <c r="G107">
        <f>IF(ISNUMBER(Raw_from_worldbank!E111),Raw_from_worldbank!E111,  IF(ISNUMBER(SEARCH("k",Raw_from_worldbank!E111)),
       VALUE(SUBSTITUTE(LOWER(Raw_from_worldbank!E111),"k",""))*1000,
       NA()))</f>
        <v>1.6</v>
      </c>
      <c r="H107">
        <f>IF(ISNUMBER(Raw_from_worldbank!F111),Raw_from_worldbank!F111,  IF(ISNUMBER(SEARCH("k",Raw_from_worldbank!F111)),
       VALUE(SUBSTITUTE(LOWER(Raw_from_worldbank!F111),"k",""))*1000,
       NA()))</f>
        <v>1.6</v>
      </c>
      <c r="I107">
        <f>IF(ISNUMBER(Raw_from_worldbank!G111),Raw_from_worldbank!G111,  IF(ISNUMBER(SEARCH("k",Raw_from_worldbank!G111)),
       VALUE(SUBSTITUTE(LOWER(Raw_from_worldbank!G111),"k",""))*1000,
       NA()))</f>
        <v>1.6</v>
      </c>
      <c r="J107">
        <f>IF(ISNUMBER(Raw_from_worldbank!H111),Raw_from_worldbank!H111,  IF(ISNUMBER(SEARCH("k",Raw_from_worldbank!H111)),
       VALUE(SUBSTITUTE(LOWER(Raw_from_worldbank!H111),"k",""))*1000,
       NA()))</f>
        <v>1.6</v>
      </c>
    </row>
    <row r="108" spans="1:10" x14ac:dyDescent="0.3">
      <c r="A108" t="str">
        <f>VLOOKUP(LOWER(B108),[1]country_name_iso_mapping!$A:$C,3, FALSE)</f>
        <v>MDV</v>
      </c>
      <c r="B108" t="s">
        <v>107</v>
      </c>
      <c r="C108" t="s">
        <v>107</v>
      </c>
      <c r="D108">
        <f>IF(ISNUMBER(Raw_from_worldbank!B112),Raw_from_worldbank!B112,  IF(ISNUMBER(SEARCH("k",Raw_from_worldbank!B112)),
       VALUE(SUBSTITUTE(LOWER(Raw_from_worldbank!B112),"k",""))*1000,
       NA()))</f>
        <v>7.8</v>
      </c>
      <c r="E108">
        <f>IF(ISNUMBER(Raw_from_worldbank!C112),Raw_from_worldbank!C112,  IF(ISNUMBER(SEARCH("k",Raw_from_worldbank!C112)),
       VALUE(SUBSTITUTE(LOWER(Raw_from_worldbank!C112),"k",""))*1000,
       NA()))</f>
        <v>7.4</v>
      </c>
      <c r="F108">
        <f>IF(ISNUMBER(Raw_from_worldbank!D112),Raw_from_worldbank!D112,  IF(ISNUMBER(SEARCH("k",Raw_from_worldbank!D112)),
       VALUE(SUBSTITUTE(LOWER(Raw_from_worldbank!D112),"k",""))*1000,
       NA()))</f>
        <v>7.3</v>
      </c>
      <c r="G108">
        <f>IF(ISNUMBER(Raw_from_worldbank!E112),Raw_from_worldbank!E112,  IF(ISNUMBER(SEARCH("k",Raw_from_worldbank!E112)),
       VALUE(SUBSTITUTE(LOWER(Raw_from_worldbank!E112),"k",""))*1000,
       NA()))</f>
        <v>7.3</v>
      </c>
      <c r="H108">
        <f>IF(ISNUMBER(Raw_from_worldbank!F112),Raw_from_worldbank!F112,  IF(ISNUMBER(SEARCH("k",Raw_from_worldbank!F112)),
       VALUE(SUBSTITUTE(LOWER(Raw_from_worldbank!F112),"k",""))*1000,
       NA()))</f>
        <v>7.4</v>
      </c>
      <c r="I108">
        <f>IF(ISNUMBER(Raw_from_worldbank!G112),Raw_from_worldbank!G112,  IF(ISNUMBER(SEARCH("k",Raw_from_worldbank!G112)),
       VALUE(SUBSTITUTE(LOWER(Raw_from_worldbank!G112),"k",""))*1000,
       NA()))</f>
        <v>7.4</v>
      </c>
      <c r="J108">
        <f>IF(ISNUMBER(Raw_from_worldbank!H112),Raw_from_worldbank!H112,  IF(ISNUMBER(SEARCH("k",Raw_from_worldbank!H112)),
       VALUE(SUBSTITUTE(LOWER(Raw_from_worldbank!H112),"k",""))*1000,
       NA()))</f>
        <v>7.4</v>
      </c>
    </row>
    <row r="109" spans="1:10" x14ac:dyDescent="0.3">
      <c r="A109" t="str">
        <f>VLOOKUP(LOWER(B109),[1]country_name_iso_mapping!$A:$C,3, FALSE)</f>
        <v>MLI</v>
      </c>
      <c r="B109" t="s">
        <v>108</v>
      </c>
      <c r="C109" t="s">
        <v>108</v>
      </c>
      <c r="D109">
        <f>IF(ISNUMBER(Raw_from_worldbank!B113),Raw_from_worldbank!B113,  IF(ISNUMBER(SEARCH("k",Raw_from_worldbank!B113)),
       VALUE(SUBSTITUTE(LOWER(Raw_from_worldbank!B113),"k",""))*1000,
       NA()))</f>
        <v>214.2</v>
      </c>
      <c r="E109">
        <f>IF(ISNUMBER(Raw_from_worldbank!C113),Raw_from_worldbank!C113,  IF(ISNUMBER(SEARCH("k",Raw_from_worldbank!C113)),
       VALUE(SUBSTITUTE(LOWER(Raw_from_worldbank!C113),"k",""))*1000,
       NA()))</f>
        <v>205.5</v>
      </c>
      <c r="F109">
        <f>IF(ISNUMBER(Raw_from_worldbank!D113),Raw_from_worldbank!D113,  IF(ISNUMBER(SEARCH("k",Raw_from_worldbank!D113)),
       VALUE(SUBSTITUTE(LOWER(Raw_from_worldbank!D113),"k",""))*1000,
       NA()))</f>
        <v>204.3</v>
      </c>
      <c r="G109">
        <f>IF(ISNUMBER(Raw_from_worldbank!E113),Raw_from_worldbank!E113,  IF(ISNUMBER(SEARCH("k",Raw_from_worldbank!E113)),
       VALUE(SUBSTITUTE(LOWER(Raw_from_worldbank!E113),"k",""))*1000,
       NA()))</f>
        <v>201.4</v>
      </c>
      <c r="H109">
        <f>IF(ISNUMBER(Raw_from_worldbank!F113),Raw_from_worldbank!F113,  IF(ISNUMBER(SEARCH("k",Raw_from_worldbank!F113)),
       VALUE(SUBSTITUTE(LOWER(Raw_from_worldbank!F113),"k",""))*1000,
       NA()))</f>
        <v>201.9</v>
      </c>
      <c r="I109">
        <f>IF(ISNUMBER(Raw_from_worldbank!G113),Raw_from_worldbank!G113,  IF(ISNUMBER(SEARCH("k",Raw_from_worldbank!G113)),
       VALUE(SUBSTITUTE(LOWER(Raw_from_worldbank!G113),"k",""))*1000,
       NA()))</f>
        <v>202.1</v>
      </c>
      <c r="J109">
        <f>IF(ISNUMBER(Raw_from_worldbank!H113),Raw_from_worldbank!H113,  IF(ISNUMBER(SEARCH("k",Raw_from_worldbank!H113)),
       VALUE(SUBSTITUTE(LOWER(Raw_from_worldbank!H113),"k",""))*1000,
       NA()))</f>
        <v>202.4</v>
      </c>
    </row>
    <row r="110" spans="1:10" x14ac:dyDescent="0.3">
      <c r="A110" t="str">
        <f>VLOOKUP(LOWER(B110),[1]country_name_iso_mapping!$A:$C,3, FALSE)</f>
        <v>MLT</v>
      </c>
      <c r="B110" t="s">
        <v>109</v>
      </c>
      <c r="C110" t="s">
        <v>109</v>
      </c>
      <c r="D110">
        <f>IF(ISNUMBER(Raw_from_worldbank!B114),Raw_from_worldbank!B114,  IF(ISNUMBER(SEARCH("k",Raw_from_worldbank!B114)),
       VALUE(SUBSTITUTE(LOWER(Raw_from_worldbank!B114),"k",""))*1000,
       NA()))</f>
        <v>0.56999999999999995</v>
      </c>
      <c r="E110">
        <f>IF(ISNUMBER(Raw_from_worldbank!C114),Raw_from_worldbank!C114,  IF(ISNUMBER(SEARCH("k",Raw_from_worldbank!C114)),
       VALUE(SUBSTITUTE(LOWER(Raw_from_worldbank!C114),"k",""))*1000,
       NA()))</f>
        <v>0.56000000000000005</v>
      </c>
      <c r="F110">
        <f>IF(ISNUMBER(Raw_from_worldbank!D114),Raw_from_worldbank!D114,  IF(ISNUMBER(SEARCH("k",Raw_from_worldbank!D114)),
       VALUE(SUBSTITUTE(LOWER(Raw_from_worldbank!D114),"k",""))*1000,
       NA()))</f>
        <v>0.56000000000000005</v>
      </c>
      <c r="G110">
        <f>IF(ISNUMBER(Raw_from_worldbank!E114),Raw_from_worldbank!E114,  IF(ISNUMBER(SEARCH("k",Raw_from_worldbank!E114)),
       VALUE(SUBSTITUTE(LOWER(Raw_from_worldbank!E114),"k",""))*1000,
       NA()))</f>
        <v>0.56999999999999995</v>
      </c>
      <c r="H110">
        <f>IF(ISNUMBER(Raw_from_worldbank!F114),Raw_from_worldbank!F114,  IF(ISNUMBER(SEARCH("k",Raw_from_worldbank!F114)),
       VALUE(SUBSTITUTE(LOWER(Raw_from_worldbank!F114),"k",""))*1000,
       NA()))</f>
        <v>0.56999999999999995</v>
      </c>
      <c r="I110">
        <f>IF(ISNUMBER(Raw_from_worldbank!G114),Raw_from_worldbank!G114,  IF(ISNUMBER(SEARCH("k",Raw_from_worldbank!G114)),
       VALUE(SUBSTITUTE(LOWER(Raw_from_worldbank!G114),"k",""))*1000,
       NA()))</f>
        <v>0.56999999999999995</v>
      </c>
      <c r="J110">
        <f>IF(ISNUMBER(Raw_from_worldbank!H114),Raw_from_worldbank!H114,  IF(ISNUMBER(SEARCH("k",Raw_from_worldbank!H114)),
       VALUE(SUBSTITUTE(LOWER(Raw_from_worldbank!H114),"k",""))*1000,
       NA()))</f>
        <v>0.56999999999999995</v>
      </c>
    </row>
    <row r="111" spans="1:10" x14ac:dyDescent="0.3">
      <c r="A111" t="str">
        <f>VLOOKUP(LOWER(B111),[1]country_name_iso_mapping!$A:$C,3, FALSE)</f>
        <v>MHL</v>
      </c>
      <c r="B111" t="s">
        <v>110</v>
      </c>
      <c r="C111" t="s">
        <v>110</v>
      </c>
      <c r="D111">
        <f>IF(ISNUMBER(Raw_from_worldbank!B115),Raw_from_worldbank!B115,  IF(ISNUMBER(SEARCH("k",Raw_from_worldbank!B115)),
       VALUE(SUBSTITUTE(LOWER(Raw_from_worldbank!B115),"k",""))*1000,
       NA()))</f>
        <v>1.1000000000000001</v>
      </c>
      <c r="E111">
        <f>IF(ISNUMBER(Raw_from_worldbank!C115),Raw_from_worldbank!C115,  IF(ISNUMBER(SEARCH("k",Raw_from_worldbank!C115)),
       VALUE(SUBSTITUTE(LOWER(Raw_from_worldbank!C115),"k",""))*1000,
       NA()))</f>
        <v>1</v>
      </c>
      <c r="F111">
        <f>IF(ISNUMBER(Raw_from_worldbank!D115),Raw_from_worldbank!D115,  IF(ISNUMBER(SEARCH("k",Raw_from_worldbank!D115)),
       VALUE(SUBSTITUTE(LOWER(Raw_from_worldbank!D115),"k",""))*1000,
       NA()))</f>
        <v>1</v>
      </c>
      <c r="G111">
        <f>IF(ISNUMBER(Raw_from_worldbank!E115),Raw_from_worldbank!E115,  IF(ISNUMBER(SEARCH("k",Raw_from_worldbank!E115)),
       VALUE(SUBSTITUTE(LOWER(Raw_from_worldbank!E115),"k",""))*1000,
       NA()))</f>
        <v>1.1000000000000001</v>
      </c>
      <c r="H111">
        <f>IF(ISNUMBER(Raw_from_worldbank!F115),Raw_from_worldbank!F115,  IF(ISNUMBER(SEARCH("k",Raw_from_worldbank!F115)),
       VALUE(SUBSTITUTE(LOWER(Raw_from_worldbank!F115),"k",""))*1000,
       NA()))</f>
        <v>1.1000000000000001</v>
      </c>
      <c r="I111">
        <f>IF(ISNUMBER(Raw_from_worldbank!G115),Raw_from_worldbank!G115,  IF(ISNUMBER(SEARCH("k",Raw_from_worldbank!G115)),
       VALUE(SUBSTITUTE(LOWER(Raw_from_worldbank!G115),"k",""))*1000,
       NA()))</f>
        <v>1.1000000000000001</v>
      </c>
      <c r="J111">
        <f>IF(ISNUMBER(Raw_from_worldbank!H115),Raw_from_worldbank!H115,  IF(ISNUMBER(SEARCH("k",Raw_from_worldbank!H115)),
       VALUE(SUBSTITUTE(LOWER(Raw_from_worldbank!H115),"k",""))*1000,
       NA()))</f>
        <v>1.1000000000000001</v>
      </c>
    </row>
    <row r="112" spans="1:10" x14ac:dyDescent="0.3">
      <c r="A112" t="str">
        <f>VLOOKUP(LOWER(B112),[1]country_name_iso_mapping!$A:$C,3, FALSE)</f>
        <v>MRT</v>
      </c>
      <c r="B112" t="s">
        <v>111</v>
      </c>
      <c r="C112" t="s">
        <v>111</v>
      </c>
      <c r="D112">
        <f>IF(ISNUMBER(Raw_from_worldbank!B116),Raw_from_worldbank!B116,  IF(ISNUMBER(SEARCH("k",Raw_from_worldbank!B116)),
       VALUE(SUBSTITUTE(LOWER(Raw_from_worldbank!B116),"k",""))*1000,
       NA()))</f>
        <v>12.7</v>
      </c>
      <c r="E112">
        <f>IF(ISNUMBER(Raw_from_worldbank!C116),Raw_from_worldbank!C116,  IF(ISNUMBER(SEARCH("k",Raw_from_worldbank!C116)),
       VALUE(SUBSTITUTE(LOWER(Raw_from_worldbank!C116),"k",""))*1000,
       NA()))</f>
        <v>12.2</v>
      </c>
      <c r="F112">
        <f>IF(ISNUMBER(Raw_from_worldbank!D116),Raw_from_worldbank!D116,  IF(ISNUMBER(SEARCH("k",Raw_from_worldbank!D116)),
       VALUE(SUBSTITUTE(LOWER(Raw_from_worldbank!D116),"k",""))*1000,
       NA()))</f>
        <v>11.9</v>
      </c>
      <c r="G112">
        <f>IF(ISNUMBER(Raw_from_worldbank!E116),Raw_from_worldbank!E116,  IF(ISNUMBER(SEARCH("k",Raw_from_worldbank!E116)),
       VALUE(SUBSTITUTE(LOWER(Raw_from_worldbank!E116),"k",""))*1000,
       NA()))</f>
        <v>12</v>
      </c>
      <c r="H112">
        <f>IF(ISNUMBER(Raw_from_worldbank!F116),Raw_from_worldbank!F116,  IF(ISNUMBER(SEARCH("k",Raw_from_worldbank!F116)),
       VALUE(SUBSTITUTE(LOWER(Raw_from_worldbank!F116),"k",""))*1000,
       NA()))</f>
        <v>12.1</v>
      </c>
      <c r="I112">
        <f>IF(ISNUMBER(Raw_from_worldbank!G116),Raw_from_worldbank!G116,  IF(ISNUMBER(SEARCH("k",Raw_from_worldbank!G116)),
       VALUE(SUBSTITUTE(LOWER(Raw_from_worldbank!G116),"k",""))*1000,
       NA()))</f>
        <v>12.2</v>
      </c>
      <c r="J112">
        <f>IF(ISNUMBER(Raw_from_worldbank!H116),Raw_from_worldbank!H116,  IF(ISNUMBER(SEARCH("k",Raw_from_worldbank!H116)),
       VALUE(SUBSTITUTE(LOWER(Raw_from_worldbank!H116),"k",""))*1000,
       NA()))</f>
        <v>12.1</v>
      </c>
    </row>
    <row r="113" spans="1:10" x14ac:dyDescent="0.3">
      <c r="A113" t="str">
        <f>VLOOKUP(LOWER(B113),[1]country_name_iso_mapping!$A:$C,3, FALSE)</f>
        <v>MUS</v>
      </c>
      <c r="B113" t="s">
        <v>112</v>
      </c>
      <c r="C113" t="s">
        <v>112</v>
      </c>
      <c r="D113">
        <f>IF(ISNUMBER(Raw_from_worldbank!B117),Raw_from_worldbank!B117,  IF(ISNUMBER(SEARCH("k",Raw_from_worldbank!B117)),
       VALUE(SUBSTITUTE(LOWER(Raw_from_worldbank!B117),"k",""))*1000,
       NA()))</f>
        <v>16.399999999999999</v>
      </c>
      <c r="E113">
        <f>IF(ISNUMBER(Raw_from_worldbank!C117),Raw_from_worldbank!C117,  IF(ISNUMBER(SEARCH("k",Raw_from_worldbank!C117)),
       VALUE(SUBSTITUTE(LOWER(Raw_from_worldbank!C117),"k",""))*1000,
       NA()))</f>
        <v>16.8</v>
      </c>
      <c r="F113">
        <f>IF(ISNUMBER(Raw_from_worldbank!D117),Raw_from_worldbank!D117,  IF(ISNUMBER(SEARCH("k",Raw_from_worldbank!D117)),
       VALUE(SUBSTITUTE(LOWER(Raw_from_worldbank!D117),"k",""))*1000,
       NA()))</f>
        <v>17.3</v>
      </c>
      <c r="G113">
        <f>IF(ISNUMBER(Raw_from_worldbank!E117),Raw_from_worldbank!E117,  IF(ISNUMBER(SEARCH("k",Raw_from_worldbank!E117)),
       VALUE(SUBSTITUTE(LOWER(Raw_from_worldbank!E117),"k",""))*1000,
       NA()))</f>
        <v>17.8</v>
      </c>
      <c r="H113">
        <f>IF(ISNUMBER(Raw_from_worldbank!F117),Raw_from_worldbank!F117,  IF(ISNUMBER(SEARCH("k",Raw_from_worldbank!F117)),
       VALUE(SUBSTITUTE(LOWER(Raw_from_worldbank!F117),"k",""))*1000,
       NA()))</f>
        <v>18.100000000000001</v>
      </c>
      <c r="I113">
        <f>IF(ISNUMBER(Raw_from_worldbank!G117),Raw_from_worldbank!G117,  IF(ISNUMBER(SEARCH("k",Raw_from_worldbank!G117)),
       VALUE(SUBSTITUTE(LOWER(Raw_from_worldbank!G117),"k",""))*1000,
       NA()))</f>
        <v>18.5</v>
      </c>
      <c r="J113">
        <f>IF(ISNUMBER(Raw_from_worldbank!H117),Raw_from_worldbank!H117,  IF(ISNUMBER(SEARCH("k",Raw_from_worldbank!H117)),
       VALUE(SUBSTITUTE(LOWER(Raw_from_worldbank!H117),"k",""))*1000,
       NA()))</f>
        <v>18.8</v>
      </c>
    </row>
    <row r="114" spans="1:10" x14ac:dyDescent="0.3">
      <c r="A114" t="str">
        <f>VLOOKUP(LOWER(B114),[1]country_name_iso_mapping!$A:$C,3, FALSE)</f>
        <v>MEX</v>
      </c>
      <c r="B114" t="s">
        <v>113</v>
      </c>
      <c r="C114" t="s">
        <v>113</v>
      </c>
      <c r="D114">
        <f>IF(ISNUMBER(Raw_from_worldbank!B118),Raw_from_worldbank!B118,  IF(ISNUMBER(SEARCH("k",Raw_from_worldbank!B118)),
       VALUE(SUBSTITUTE(LOWER(Raw_from_worldbank!B118),"k",""))*1000,
       NA()))</f>
        <v>9.6999999999999993</v>
      </c>
      <c r="E114">
        <f>IF(ISNUMBER(Raw_from_worldbank!C118),Raw_from_worldbank!C118,  IF(ISNUMBER(SEARCH("k",Raw_from_worldbank!C118)),
       VALUE(SUBSTITUTE(LOWER(Raw_from_worldbank!C118),"k",""))*1000,
       NA()))</f>
        <v>9.6</v>
      </c>
      <c r="F114">
        <f>IF(ISNUMBER(Raw_from_worldbank!D118),Raw_from_worldbank!D118,  IF(ISNUMBER(SEARCH("k",Raw_from_worldbank!D118)),
       VALUE(SUBSTITUTE(LOWER(Raw_from_worldbank!D118),"k",""))*1000,
       NA()))</f>
        <v>9.6999999999999993</v>
      </c>
      <c r="G114">
        <f>IF(ISNUMBER(Raw_from_worldbank!E118),Raw_from_worldbank!E118,  IF(ISNUMBER(SEARCH("k",Raw_from_worldbank!E118)),
       VALUE(SUBSTITUTE(LOWER(Raw_from_worldbank!E118),"k",""))*1000,
       NA()))</f>
        <v>10</v>
      </c>
      <c r="H114">
        <f>IF(ISNUMBER(Raw_from_worldbank!F118),Raw_from_worldbank!F118,  IF(ISNUMBER(SEARCH("k",Raw_from_worldbank!F118)),
       VALUE(SUBSTITUTE(LOWER(Raw_from_worldbank!F118),"k",""))*1000,
       NA()))</f>
        <v>10.4</v>
      </c>
      <c r="I114">
        <f>IF(ISNUMBER(Raw_from_worldbank!G118),Raw_from_worldbank!G118,  IF(ISNUMBER(SEARCH("k",Raw_from_worldbank!G118)),
       VALUE(SUBSTITUTE(LOWER(Raw_from_worldbank!G118),"k",""))*1000,
       NA()))</f>
        <v>10.6</v>
      </c>
      <c r="J114">
        <f>IF(ISNUMBER(Raw_from_worldbank!H118),Raw_from_worldbank!H118,  IF(ISNUMBER(SEARCH("k",Raw_from_worldbank!H118)),
       VALUE(SUBSTITUTE(LOWER(Raw_from_worldbank!H118),"k",""))*1000,
       NA()))</f>
        <v>10.7</v>
      </c>
    </row>
    <row r="115" spans="1:10" x14ac:dyDescent="0.3">
      <c r="A115" t="str">
        <f>VLOOKUP(LOWER(B115),[1]country_name_iso_mapping!$A:$C,3, FALSE)</f>
        <v>FSM</v>
      </c>
      <c r="B115" t="s">
        <v>281</v>
      </c>
      <c r="C115" t="s">
        <v>114</v>
      </c>
      <c r="D115">
        <f>IF(ISNUMBER(Raw_from_worldbank!B119),Raw_from_worldbank!B119,  IF(ISNUMBER(SEARCH("k",Raw_from_worldbank!B119)),
       VALUE(SUBSTITUTE(LOWER(Raw_from_worldbank!B119),"k",""))*1000,
       NA()))</f>
        <v>1</v>
      </c>
      <c r="E115">
        <f>IF(ISNUMBER(Raw_from_worldbank!C119),Raw_from_worldbank!C119,  IF(ISNUMBER(SEARCH("k",Raw_from_worldbank!C119)),
       VALUE(SUBSTITUTE(LOWER(Raw_from_worldbank!C119),"k",""))*1000,
       NA()))</f>
        <v>1</v>
      </c>
      <c r="F115">
        <f>IF(ISNUMBER(Raw_from_worldbank!D119),Raw_from_worldbank!D119,  IF(ISNUMBER(SEARCH("k",Raw_from_worldbank!D119)),
       VALUE(SUBSTITUTE(LOWER(Raw_from_worldbank!D119),"k",""))*1000,
       NA()))</f>
        <v>1.1000000000000001</v>
      </c>
      <c r="G115">
        <f>IF(ISNUMBER(Raw_from_worldbank!E119),Raw_from_worldbank!E119,  IF(ISNUMBER(SEARCH("k",Raw_from_worldbank!E119)),
       VALUE(SUBSTITUTE(LOWER(Raw_from_worldbank!E119),"k",""))*1000,
       NA()))</f>
        <v>1.1000000000000001</v>
      </c>
      <c r="H115">
        <f>IF(ISNUMBER(Raw_from_worldbank!F119),Raw_from_worldbank!F119,  IF(ISNUMBER(SEARCH("k",Raw_from_worldbank!F119)),
       VALUE(SUBSTITUTE(LOWER(Raw_from_worldbank!F119),"k",""))*1000,
       NA()))</f>
        <v>1.1000000000000001</v>
      </c>
      <c r="I115">
        <f>IF(ISNUMBER(Raw_from_worldbank!G119),Raw_from_worldbank!G119,  IF(ISNUMBER(SEARCH("k",Raw_from_worldbank!G119)),
       VALUE(SUBSTITUTE(LOWER(Raw_from_worldbank!G119),"k",""))*1000,
       NA()))</f>
        <v>1.1000000000000001</v>
      </c>
      <c r="J115">
        <f>IF(ISNUMBER(Raw_from_worldbank!H119),Raw_from_worldbank!H119,  IF(ISNUMBER(SEARCH("k",Raw_from_worldbank!H119)),
       VALUE(SUBSTITUTE(LOWER(Raw_from_worldbank!H119),"k",""))*1000,
       NA()))</f>
        <v>1.1000000000000001</v>
      </c>
    </row>
    <row r="116" spans="1:10" x14ac:dyDescent="0.3">
      <c r="A116" t="str">
        <f>VLOOKUP(LOWER(B116),[1]country_name_iso_mapping!$A:$C,3, FALSE)</f>
        <v>MDA</v>
      </c>
      <c r="B116" t="s">
        <v>282</v>
      </c>
      <c r="C116" t="s">
        <v>115</v>
      </c>
      <c r="D116">
        <f>IF(ISNUMBER(Raw_from_worldbank!B120),Raw_from_worldbank!B120,  IF(ISNUMBER(SEARCH("k",Raw_from_worldbank!B120)),
       VALUE(SUBSTITUTE(LOWER(Raw_from_worldbank!B120),"k",""))*1000,
       NA()))</f>
        <v>6.2</v>
      </c>
      <c r="E116">
        <f>IF(ISNUMBER(Raw_from_worldbank!C120),Raw_from_worldbank!C120,  IF(ISNUMBER(SEARCH("k",Raw_from_worldbank!C120)),
       VALUE(SUBSTITUTE(LOWER(Raw_from_worldbank!C120),"k",""))*1000,
       NA()))</f>
        <v>6.9</v>
      </c>
      <c r="F116">
        <f>IF(ISNUMBER(Raw_from_worldbank!D120),Raw_from_worldbank!D120,  IF(ISNUMBER(SEARCH("k",Raw_from_worldbank!D120)),
       VALUE(SUBSTITUTE(LOWER(Raw_from_worldbank!D120),"k",""))*1000,
       NA()))</f>
        <v>7.4</v>
      </c>
      <c r="G116">
        <f>IF(ISNUMBER(Raw_from_worldbank!E120),Raw_from_worldbank!E120,  IF(ISNUMBER(SEARCH("k",Raw_from_worldbank!E120)),
       VALUE(SUBSTITUTE(LOWER(Raw_from_worldbank!E120),"k",""))*1000,
       NA()))</f>
        <v>7.6</v>
      </c>
      <c r="H116">
        <f>IF(ISNUMBER(Raw_from_worldbank!F120),Raw_from_worldbank!F120,  IF(ISNUMBER(SEARCH("k",Raw_from_worldbank!F120)),
       VALUE(SUBSTITUTE(LOWER(Raw_from_worldbank!F120),"k",""))*1000,
       NA()))</f>
        <v>7.9</v>
      </c>
      <c r="I116">
        <f>IF(ISNUMBER(Raw_from_worldbank!G120),Raw_from_worldbank!G120,  IF(ISNUMBER(SEARCH("k",Raw_from_worldbank!G120)),
       VALUE(SUBSTITUTE(LOWER(Raw_from_worldbank!G120),"k",""))*1000,
       NA()))</f>
        <v>8.1999999999999993</v>
      </c>
      <c r="J116">
        <f>IF(ISNUMBER(Raw_from_worldbank!H120),Raw_from_worldbank!H120,  IF(ISNUMBER(SEARCH("k",Raw_from_worldbank!H120)),
       VALUE(SUBSTITUTE(LOWER(Raw_from_worldbank!H120),"k",""))*1000,
       NA()))</f>
        <v>8.5</v>
      </c>
    </row>
    <row r="117" spans="1:10" x14ac:dyDescent="0.3">
      <c r="A117" t="str">
        <f>VLOOKUP(LOWER(B117),[1]country_name_iso_mapping!$A:$C,3, FALSE)</f>
        <v>MNG</v>
      </c>
      <c r="B117" t="s">
        <v>116</v>
      </c>
      <c r="C117" t="s">
        <v>116</v>
      </c>
      <c r="D117">
        <f>IF(ISNUMBER(Raw_from_worldbank!B121),Raw_from_worldbank!B121,  IF(ISNUMBER(SEARCH("k",Raw_from_worldbank!B121)),
       VALUE(SUBSTITUTE(LOWER(Raw_from_worldbank!B121),"k",""))*1000,
       NA()))</f>
        <v>1000</v>
      </c>
      <c r="E117">
        <f>IF(ISNUMBER(Raw_from_worldbank!C121),Raw_from_worldbank!C121,  IF(ISNUMBER(SEARCH("k",Raw_from_worldbank!C121)),
       VALUE(SUBSTITUTE(LOWER(Raw_from_worldbank!C121),"k",""))*1000,
       NA()))</f>
        <v>1100</v>
      </c>
      <c r="F117">
        <f>IF(ISNUMBER(Raw_from_worldbank!D121),Raw_from_worldbank!D121,  IF(ISNUMBER(SEARCH("k",Raw_from_worldbank!D121)),
       VALUE(SUBSTITUTE(LOWER(Raw_from_worldbank!D121),"k",""))*1000,
       NA()))</f>
        <v>1300</v>
      </c>
      <c r="G117">
        <f>IF(ISNUMBER(Raw_from_worldbank!E121),Raw_from_worldbank!E121,  IF(ISNUMBER(SEARCH("k",Raw_from_worldbank!E121)),
       VALUE(SUBSTITUTE(LOWER(Raw_from_worldbank!E121),"k",""))*1000,
       NA()))</f>
        <v>1400</v>
      </c>
      <c r="H117">
        <f>IF(ISNUMBER(Raw_from_worldbank!F121),Raw_from_worldbank!F121,  IF(ISNUMBER(SEARCH("k",Raw_from_worldbank!F121)),
       VALUE(SUBSTITUTE(LOWER(Raw_from_worldbank!F121),"k",""))*1000,
       NA()))</f>
        <v>1500</v>
      </c>
      <c r="I117">
        <f>IF(ISNUMBER(Raw_from_worldbank!G121),Raw_from_worldbank!G121,  IF(ISNUMBER(SEARCH("k",Raw_from_worldbank!G121)),
       VALUE(SUBSTITUTE(LOWER(Raw_from_worldbank!G121),"k",""))*1000,
       NA()))</f>
        <v>1600</v>
      </c>
      <c r="J117">
        <f>IF(ISNUMBER(Raw_from_worldbank!H121),Raw_from_worldbank!H121,  IF(ISNUMBER(SEARCH("k",Raw_from_worldbank!H121)),
       VALUE(SUBSTITUTE(LOWER(Raw_from_worldbank!H121),"k",""))*1000,
       NA()))</f>
        <v>1600</v>
      </c>
    </row>
    <row r="118" spans="1:10" x14ac:dyDescent="0.3">
      <c r="A118" t="str">
        <f>VLOOKUP(LOWER(B118),[1]country_name_iso_mapping!$A:$C,3, FALSE)</f>
        <v>MNE</v>
      </c>
      <c r="B118" t="s">
        <v>117</v>
      </c>
      <c r="C118" t="s">
        <v>117</v>
      </c>
      <c r="D118">
        <f>IF(ISNUMBER(Raw_from_worldbank!B122),Raw_from_worldbank!B122,  IF(ISNUMBER(SEARCH("k",Raw_from_worldbank!B122)),
       VALUE(SUBSTITUTE(LOWER(Raw_from_worldbank!B122),"k",""))*1000,
       NA()))</f>
        <v>0.35</v>
      </c>
      <c r="E118">
        <f>IF(ISNUMBER(Raw_from_worldbank!C122),Raw_from_worldbank!C122,  IF(ISNUMBER(SEARCH("k",Raw_from_worldbank!C122)),
       VALUE(SUBSTITUTE(LOWER(Raw_from_worldbank!C122),"k",""))*1000,
       NA()))</f>
        <v>0.37</v>
      </c>
      <c r="F118">
        <f>IF(ISNUMBER(Raw_from_worldbank!D122),Raw_from_worldbank!D122,  IF(ISNUMBER(SEARCH("k",Raw_from_worldbank!D122)),
       VALUE(SUBSTITUTE(LOWER(Raw_from_worldbank!D122),"k",""))*1000,
       NA()))</f>
        <v>0.39</v>
      </c>
      <c r="G118">
        <f>IF(ISNUMBER(Raw_from_worldbank!E122),Raw_from_worldbank!E122,  IF(ISNUMBER(SEARCH("k",Raw_from_worldbank!E122)),
       VALUE(SUBSTITUTE(LOWER(Raw_from_worldbank!E122),"k",""))*1000,
       NA()))</f>
        <v>0.4</v>
      </c>
      <c r="H118">
        <f>IF(ISNUMBER(Raw_from_worldbank!F122),Raw_from_worldbank!F122,  IF(ISNUMBER(SEARCH("k",Raw_from_worldbank!F122)),
       VALUE(SUBSTITUTE(LOWER(Raw_from_worldbank!F122),"k",""))*1000,
       NA()))</f>
        <v>0.4</v>
      </c>
      <c r="I118">
        <f>IF(ISNUMBER(Raw_from_worldbank!G122),Raw_from_worldbank!G122,  IF(ISNUMBER(SEARCH("k",Raw_from_worldbank!G122)),
       VALUE(SUBSTITUTE(LOWER(Raw_from_worldbank!G122),"k",""))*1000,
       NA()))</f>
        <v>0.4</v>
      </c>
      <c r="J118">
        <f>IF(ISNUMBER(Raw_from_worldbank!H122),Raw_from_worldbank!H122,  IF(ISNUMBER(SEARCH("k",Raw_from_worldbank!H122)),
       VALUE(SUBSTITUTE(LOWER(Raw_from_worldbank!H122),"k",""))*1000,
       NA()))</f>
        <v>0.4</v>
      </c>
    </row>
    <row r="119" spans="1:10" x14ac:dyDescent="0.3">
      <c r="A119" t="str">
        <f>VLOOKUP(LOWER(B119),[1]country_name_iso_mapping!$A:$C,3, FALSE)</f>
        <v>MAR</v>
      </c>
      <c r="B119" t="s">
        <v>118</v>
      </c>
      <c r="C119" t="s">
        <v>118</v>
      </c>
      <c r="D119">
        <f>IF(ISNUMBER(Raw_from_worldbank!B123),Raw_from_worldbank!B123,  IF(ISNUMBER(SEARCH("k",Raw_from_worldbank!B123)),
       VALUE(SUBSTITUTE(LOWER(Raw_from_worldbank!B123),"k",""))*1000,
       NA()))</f>
        <v>3.8</v>
      </c>
      <c r="E119">
        <f>IF(ISNUMBER(Raw_from_worldbank!C123),Raw_from_worldbank!C123,  IF(ISNUMBER(SEARCH("k",Raw_from_worldbank!C123)),
       VALUE(SUBSTITUTE(LOWER(Raw_from_worldbank!C123),"k",""))*1000,
       NA()))</f>
        <v>3.7</v>
      </c>
      <c r="F119">
        <f>IF(ISNUMBER(Raw_from_worldbank!D123),Raw_from_worldbank!D123,  IF(ISNUMBER(SEARCH("k",Raw_from_worldbank!D123)),
       VALUE(SUBSTITUTE(LOWER(Raw_from_worldbank!D123),"k",""))*1000,
       NA()))</f>
        <v>3.8</v>
      </c>
      <c r="G119">
        <f>IF(ISNUMBER(Raw_from_worldbank!E123),Raw_from_worldbank!E123,  IF(ISNUMBER(SEARCH("k",Raw_from_worldbank!E123)),
       VALUE(SUBSTITUTE(LOWER(Raw_from_worldbank!E123),"k",""))*1000,
       NA()))</f>
        <v>3.8</v>
      </c>
      <c r="H119">
        <f>IF(ISNUMBER(Raw_from_worldbank!F123),Raw_from_worldbank!F123,  IF(ISNUMBER(SEARCH("k",Raw_from_worldbank!F123)),
       VALUE(SUBSTITUTE(LOWER(Raw_from_worldbank!F123),"k",""))*1000,
       NA()))</f>
        <v>3.8</v>
      </c>
      <c r="I119">
        <f>IF(ISNUMBER(Raw_from_worldbank!G123),Raw_from_worldbank!G123,  IF(ISNUMBER(SEARCH("k",Raw_from_worldbank!G123)),
       VALUE(SUBSTITUTE(LOWER(Raw_from_worldbank!G123),"k",""))*1000,
       NA()))</f>
        <v>3.8</v>
      </c>
      <c r="J119">
        <f>IF(ISNUMBER(Raw_from_worldbank!H123),Raw_from_worldbank!H123,  IF(ISNUMBER(SEARCH("k",Raw_from_worldbank!H123)),
       VALUE(SUBSTITUTE(LOWER(Raw_from_worldbank!H123),"k",""))*1000,
       NA()))</f>
        <v>3.8</v>
      </c>
    </row>
    <row r="120" spans="1:10" x14ac:dyDescent="0.3">
      <c r="A120" t="str">
        <f>VLOOKUP(LOWER(B120),[1]country_name_iso_mapping!$A:$C,3, FALSE)</f>
        <v>MOZ</v>
      </c>
      <c r="B120" t="s">
        <v>119</v>
      </c>
      <c r="C120" t="s">
        <v>119</v>
      </c>
      <c r="D120">
        <f>IF(ISNUMBER(Raw_from_worldbank!B124),Raw_from_worldbank!B124,  IF(ISNUMBER(SEARCH("k",Raw_from_worldbank!B124)),
       VALUE(SUBSTITUTE(LOWER(Raw_from_worldbank!B124),"k",""))*1000,
       NA()))</f>
        <v>24.3</v>
      </c>
      <c r="E120">
        <f>IF(ISNUMBER(Raw_from_worldbank!C124),Raw_from_worldbank!C124,  IF(ISNUMBER(SEARCH("k",Raw_from_worldbank!C124)),
       VALUE(SUBSTITUTE(LOWER(Raw_from_worldbank!C124),"k",""))*1000,
       NA()))</f>
        <v>24.2</v>
      </c>
      <c r="F120">
        <f>IF(ISNUMBER(Raw_from_worldbank!D124),Raw_from_worldbank!D124,  IF(ISNUMBER(SEARCH("k",Raw_from_worldbank!D124)),
       VALUE(SUBSTITUTE(LOWER(Raw_from_worldbank!D124),"k",""))*1000,
       NA()))</f>
        <v>25.5</v>
      </c>
      <c r="G120">
        <f>IF(ISNUMBER(Raw_from_worldbank!E124),Raw_from_worldbank!E124,  IF(ISNUMBER(SEARCH("k",Raw_from_worldbank!E124)),
       VALUE(SUBSTITUTE(LOWER(Raw_from_worldbank!E124),"k",""))*1000,
       NA()))</f>
        <v>25.5</v>
      </c>
      <c r="H120">
        <f>IF(ISNUMBER(Raw_from_worldbank!F124),Raw_from_worldbank!F124,  IF(ISNUMBER(SEARCH("k",Raw_from_worldbank!F124)),
       VALUE(SUBSTITUTE(LOWER(Raw_from_worldbank!F124),"k",""))*1000,
       NA()))</f>
        <v>26.6</v>
      </c>
      <c r="I120">
        <f>IF(ISNUMBER(Raw_from_worldbank!G124),Raw_from_worldbank!G124,  IF(ISNUMBER(SEARCH("k",Raw_from_worldbank!G124)),
       VALUE(SUBSTITUTE(LOWER(Raw_from_worldbank!G124),"k",""))*1000,
       NA()))</f>
        <v>27.7</v>
      </c>
      <c r="J120">
        <f>IF(ISNUMBER(Raw_from_worldbank!H124),Raw_from_worldbank!H124,  IF(ISNUMBER(SEARCH("k",Raw_from_worldbank!H124)),
       VALUE(SUBSTITUTE(LOWER(Raw_from_worldbank!H124),"k",""))*1000,
       NA()))</f>
        <v>28.9</v>
      </c>
    </row>
    <row r="121" spans="1:10" x14ac:dyDescent="0.3">
      <c r="A121" t="str">
        <f>VLOOKUP(LOWER(B121),[1]country_name_iso_mapping!$A:$C,3, FALSE)</f>
        <v>MMR</v>
      </c>
      <c r="B121" t="s">
        <v>120</v>
      </c>
      <c r="C121" t="s">
        <v>120</v>
      </c>
      <c r="D121">
        <f>IF(ISNUMBER(Raw_from_worldbank!B125),Raw_from_worldbank!B125,  IF(ISNUMBER(SEARCH("k",Raw_from_worldbank!B125)),
       VALUE(SUBSTITUTE(LOWER(Raw_from_worldbank!B125),"k",""))*1000,
       NA()))</f>
        <v>412.7</v>
      </c>
      <c r="E121">
        <f>IF(ISNUMBER(Raw_from_worldbank!C125),Raw_from_worldbank!C125,  IF(ISNUMBER(SEARCH("k",Raw_from_worldbank!C125)),
       VALUE(SUBSTITUTE(LOWER(Raw_from_worldbank!C125),"k",""))*1000,
       NA()))</f>
        <v>448.7</v>
      </c>
      <c r="F121">
        <f>IF(ISNUMBER(Raw_from_worldbank!D125),Raw_from_worldbank!D125,  IF(ISNUMBER(SEARCH("k",Raw_from_worldbank!D125)),
       VALUE(SUBSTITUTE(LOWER(Raw_from_worldbank!D125),"k",""))*1000,
       NA()))</f>
        <v>511.3</v>
      </c>
      <c r="G121">
        <f>IF(ISNUMBER(Raw_from_worldbank!E125),Raw_from_worldbank!E125,  IF(ISNUMBER(SEARCH("k",Raw_from_worldbank!E125)),
       VALUE(SUBSTITUTE(LOWER(Raw_from_worldbank!E125),"k",""))*1000,
       NA()))</f>
        <v>554.1</v>
      </c>
      <c r="H121">
        <f>IF(ISNUMBER(Raw_from_worldbank!F125),Raw_from_worldbank!F125,  IF(ISNUMBER(SEARCH("k",Raw_from_worldbank!F125)),
       VALUE(SUBSTITUTE(LOWER(Raw_from_worldbank!F125),"k",""))*1000,
       NA()))</f>
        <v>579.9</v>
      </c>
      <c r="I121">
        <f>IF(ISNUMBER(Raw_from_worldbank!G125),Raw_from_worldbank!G125,  IF(ISNUMBER(SEARCH("k",Raw_from_worldbank!G125)),
       VALUE(SUBSTITUTE(LOWER(Raw_from_worldbank!G125),"k",""))*1000,
       NA()))</f>
        <v>606.20000000000005</v>
      </c>
      <c r="J121">
        <f>IF(ISNUMBER(Raw_from_worldbank!H125),Raw_from_worldbank!H125,  IF(ISNUMBER(SEARCH("k",Raw_from_worldbank!H125)),
       VALUE(SUBSTITUTE(LOWER(Raw_from_worldbank!H125),"k",""))*1000,
       NA()))</f>
        <v>633.6</v>
      </c>
    </row>
    <row r="122" spans="1:10" x14ac:dyDescent="0.3">
      <c r="A122" t="str">
        <f>VLOOKUP(LOWER(B122),[1]country_name_iso_mapping!$A:$C,3, FALSE)</f>
        <v>NAM</v>
      </c>
      <c r="B122" t="s">
        <v>121</v>
      </c>
      <c r="C122" t="s">
        <v>121</v>
      </c>
      <c r="D122">
        <f>IF(ISNUMBER(Raw_from_worldbank!B126),Raw_from_worldbank!B126,  IF(ISNUMBER(SEARCH("k",Raw_from_worldbank!B126)),
       VALUE(SUBSTITUTE(LOWER(Raw_from_worldbank!B126),"k",""))*1000,
       NA()))</f>
        <v>7.2</v>
      </c>
      <c r="E122">
        <f>IF(ISNUMBER(Raw_from_worldbank!C126),Raw_from_worldbank!C126,  IF(ISNUMBER(SEARCH("k",Raw_from_worldbank!C126)),
       VALUE(SUBSTITUTE(LOWER(Raw_from_worldbank!C126),"k",""))*1000,
       NA()))</f>
        <v>7.2</v>
      </c>
      <c r="F122">
        <f>IF(ISNUMBER(Raw_from_worldbank!D126),Raw_from_worldbank!D126,  IF(ISNUMBER(SEARCH("k",Raw_from_worldbank!D126)),
       VALUE(SUBSTITUTE(LOWER(Raw_from_worldbank!D126),"k",""))*1000,
       NA()))</f>
        <v>7.4</v>
      </c>
      <c r="G122">
        <f>IF(ISNUMBER(Raw_from_worldbank!E126),Raw_from_worldbank!E126,  IF(ISNUMBER(SEARCH("k",Raw_from_worldbank!E126)),
       VALUE(SUBSTITUTE(LOWER(Raw_from_worldbank!E126),"k",""))*1000,
       NA()))</f>
        <v>7.6</v>
      </c>
      <c r="H122">
        <f>IF(ISNUMBER(Raw_from_worldbank!F126),Raw_from_worldbank!F126,  IF(ISNUMBER(SEARCH("k",Raw_from_worldbank!F126)),
       VALUE(SUBSTITUTE(LOWER(Raw_from_worldbank!F126),"k",""))*1000,
       NA()))</f>
        <v>7.9</v>
      </c>
      <c r="I122">
        <f>IF(ISNUMBER(Raw_from_worldbank!G126),Raw_from_worldbank!G126,  IF(ISNUMBER(SEARCH("k",Raw_from_worldbank!G126)),
       VALUE(SUBSTITUTE(LOWER(Raw_from_worldbank!G126),"k",""))*1000,
       NA()))</f>
        <v>8.1999999999999993</v>
      </c>
      <c r="J122">
        <f>IF(ISNUMBER(Raw_from_worldbank!H126),Raw_from_worldbank!H126,  IF(ISNUMBER(SEARCH("k",Raw_from_worldbank!H126)),
       VALUE(SUBSTITUTE(LOWER(Raw_from_worldbank!H126),"k",""))*1000,
       NA()))</f>
        <v>8.4</v>
      </c>
    </row>
    <row r="123" spans="1:10" x14ac:dyDescent="0.3">
      <c r="A123" t="str">
        <f>VLOOKUP(LOWER(B123),[1]country_name_iso_mapping!$A:$C,3, FALSE)</f>
        <v>NRU</v>
      </c>
      <c r="B123" t="s">
        <v>122</v>
      </c>
      <c r="C123" t="s">
        <v>122</v>
      </c>
      <c r="D123">
        <f>IF(ISNUMBER(Raw_from_worldbank!B127),Raw_from_worldbank!B127,  IF(ISNUMBER(SEARCH("k",Raw_from_worldbank!B127)),
       VALUE(SUBSTITUTE(LOWER(Raw_from_worldbank!B127),"k",""))*1000,
       NA()))</f>
        <v>2</v>
      </c>
      <c r="E123">
        <f>IF(ISNUMBER(Raw_from_worldbank!C127),Raw_from_worldbank!C127,  IF(ISNUMBER(SEARCH("k",Raw_from_worldbank!C127)),
       VALUE(SUBSTITUTE(LOWER(Raw_from_worldbank!C127),"k",""))*1000,
       NA()))</f>
        <v>1.6</v>
      </c>
      <c r="F123">
        <f>IF(ISNUMBER(Raw_from_worldbank!D127),Raw_from_worldbank!D127,  IF(ISNUMBER(SEARCH("k",Raw_from_worldbank!D127)),
       VALUE(SUBSTITUTE(LOWER(Raw_from_worldbank!D127),"k",""))*1000,
       NA()))</f>
        <v>1.7</v>
      </c>
      <c r="G123">
        <f>IF(ISNUMBER(Raw_from_worldbank!E127),Raw_from_worldbank!E127,  IF(ISNUMBER(SEARCH("k",Raw_from_worldbank!E127)),
       VALUE(SUBSTITUTE(LOWER(Raw_from_worldbank!E127),"k",""))*1000,
       NA()))</f>
        <v>1.7</v>
      </c>
      <c r="H123">
        <f>IF(ISNUMBER(Raw_from_worldbank!F127),Raw_from_worldbank!F127,  IF(ISNUMBER(SEARCH("k",Raw_from_worldbank!F127)),
       VALUE(SUBSTITUTE(LOWER(Raw_from_worldbank!F127),"k",""))*1000,
       NA()))</f>
        <v>1.7</v>
      </c>
      <c r="I123">
        <f>IF(ISNUMBER(Raw_from_worldbank!G127),Raw_from_worldbank!G127,  IF(ISNUMBER(SEARCH("k",Raw_from_worldbank!G127)),
       VALUE(SUBSTITUTE(LOWER(Raw_from_worldbank!G127),"k",""))*1000,
       NA()))</f>
        <v>1.8</v>
      </c>
      <c r="J123">
        <f>IF(ISNUMBER(Raw_from_worldbank!H127),Raw_from_worldbank!H127,  IF(ISNUMBER(SEARCH("k",Raw_from_worldbank!H127)),
       VALUE(SUBSTITUTE(LOWER(Raw_from_worldbank!H127),"k",""))*1000,
       NA()))</f>
        <v>1.8</v>
      </c>
    </row>
    <row r="124" spans="1:10" x14ac:dyDescent="0.3">
      <c r="A124" t="str">
        <f>VLOOKUP(LOWER(B124),[1]country_name_iso_mapping!$A:$C,3, FALSE)</f>
        <v>NPL</v>
      </c>
      <c r="B124" t="s">
        <v>123</v>
      </c>
      <c r="C124" t="s">
        <v>123</v>
      </c>
      <c r="D124">
        <f>IF(ISNUMBER(Raw_from_worldbank!B128),Raw_from_worldbank!B128,  IF(ISNUMBER(SEARCH("k",Raw_from_worldbank!B128)),
       VALUE(SUBSTITUTE(LOWER(Raw_from_worldbank!B128),"k",""))*1000,
       NA()))</f>
        <v>34.1</v>
      </c>
      <c r="E124">
        <f>IF(ISNUMBER(Raw_from_worldbank!C128),Raw_from_worldbank!C128,  IF(ISNUMBER(SEARCH("k",Raw_from_worldbank!C128)),
       VALUE(SUBSTITUTE(LOWER(Raw_from_worldbank!C128),"k",""))*1000,
       NA()))</f>
        <v>34.200000000000003</v>
      </c>
      <c r="F124">
        <f>IF(ISNUMBER(Raw_from_worldbank!D128),Raw_from_worldbank!D128,  IF(ISNUMBER(SEARCH("k",Raw_from_worldbank!D128)),
       VALUE(SUBSTITUTE(LOWER(Raw_from_worldbank!D128),"k",""))*1000,
       NA()))</f>
        <v>35.6</v>
      </c>
      <c r="G124">
        <f>IF(ISNUMBER(Raw_from_worldbank!E128),Raw_from_worldbank!E128,  IF(ISNUMBER(SEARCH("k",Raw_from_worldbank!E128)),
       VALUE(SUBSTITUTE(LOWER(Raw_from_worldbank!E128),"k",""))*1000,
       NA()))</f>
        <v>36.9</v>
      </c>
      <c r="H124">
        <f>IF(ISNUMBER(Raw_from_worldbank!F128),Raw_from_worldbank!F128,  IF(ISNUMBER(SEARCH("k",Raw_from_worldbank!F128)),
       VALUE(SUBSTITUTE(LOWER(Raw_from_worldbank!F128),"k",""))*1000,
       NA()))</f>
        <v>38.299999999999997</v>
      </c>
      <c r="I124">
        <f>IF(ISNUMBER(Raw_from_worldbank!G128),Raw_from_worldbank!G128,  IF(ISNUMBER(SEARCH("k",Raw_from_worldbank!G128)),
       VALUE(SUBSTITUTE(LOWER(Raw_from_worldbank!G128),"k",""))*1000,
       NA()))</f>
        <v>39.700000000000003</v>
      </c>
      <c r="J124">
        <f>IF(ISNUMBER(Raw_from_worldbank!H128),Raw_from_worldbank!H128,  IF(ISNUMBER(SEARCH("k",Raw_from_worldbank!H128)),
       VALUE(SUBSTITUTE(LOWER(Raw_from_worldbank!H128),"k",""))*1000,
       NA()))</f>
        <v>41.1</v>
      </c>
    </row>
    <row r="125" spans="1:10" x14ac:dyDescent="0.3">
      <c r="A125" t="str">
        <f>VLOOKUP(LOWER(B125),[1]country_name_iso_mapping!$A:$C,3, FALSE)</f>
        <v>NLD</v>
      </c>
      <c r="B125" t="s">
        <v>124</v>
      </c>
      <c r="C125" t="s">
        <v>124</v>
      </c>
      <c r="D125">
        <f>IF(ISNUMBER(Raw_from_worldbank!B129),Raw_from_worldbank!B129,  IF(ISNUMBER(SEARCH("k",Raw_from_worldbank!B129)),
       VALUE(SUBSTITUTE(LOWER(Raw_from_worldbank!B129),"k",""))*1000,
       NA()))</f>
        <v>0.78</v>
      </c>
      <c r="E125">
        <f>IF(ISNUMBER(Raw_from_worldbank!C129),Raw_from_worldbank!C129,  IF(ISNUMBER(SEARCH("k",Raw_from_worldbank!C129)),
       VALUE(SUBSTITUTE(LOWER(Raw_from_worldbank!C129),"k",""))*1000,
       NA()))</f>
        <v>0.77</v>
      </c>
      <c r="F125">
        <f>IF(ISNUMBER(Raw_from_worldbank!D129),Raw_from_worldbank!D129,  IF(ISNUMBER(SEARCH("k",Raw_from_worldbank!D129)),
       VALUE(SUBSTITUTE(LOWER(Raw_from_worldbank!D129),"k",""))*1000,
       NA()))</f>
        <v>0.8</v>
      </c>
      <c r="G125">
        <f>IF(ISNUMBER(Raw_from_worldbank!E129),Raw_from_worldbank!E129,  IF(ISNUMBER(SEARCH("k",Raw_from_worldbank!E129)),
       VALUE(SUBSTITUTE(LOWER(Raw_from_worldbank!E129),"k",""))*1000,
       NA()))</f>
        <v>0.8</v>
      </c>
      <c r="H125">
        <f>IF(ISNUMBER(Raw_from_worldbank!F129),Raw_from_worldbank!F129,  IF(ISNUMBER(SEARCH("k",Raw_from_worldbank!F129)),
       VALUE(SUBSTITUTE(LOWER(Raw_from_worldbank!F129),"k",""))*1000,
       NA()))</f>
        <v>0.8</v>
      </c>
      <c r="I125">
        <f>IF(ISNUMBER(Raw_from_worldbank!G129),Raw_from_worldbank!G129,  IF(ISNUMBER(SEARCH("k",Raw_from_worldbank!G129)),
       VALUE(SUBSTITUTE(LOWER(Raw_from_worldbank!G129),"k",""))*1000,
       NA()))</f>
        <v>0.8</v>
      </c>
      <c r="J125">
        <f>IF(ISNUMBER(Raw_from_worldbank!H129),Raw_from_worldbank!H129,  IF(ISNUMBER(SEARCH("k",Raw_from_worldbank!H129)),
       VALUE(SUBSTITUTE(LOWER(Raw_from_worldbank!H129),"k",""))*1000,
       NA()))</f>
        <v>0.8</v>
      </c>
    </row>
    <row r="126" spans="1:10" x14ac:dyDescent="0.3">
      <c r="A126" t="str">
        <f>VLOOKUP(LOWER(B126),[1]country_name_iso_mapping!$A:$C,3, FALSE)</f>
        <v>NZL</v>
      </c>
      <c r="B126" t="s">
        <v>125</v>
      </c>
      <c r="C126" t="s">
        <v>125</v>
      </c>
      <c r="D126">
        <f>IF(ISNUMBER(Raw_from_worldbank!B130),Raw_from_worldbank!B130,  IF(ISNUMBER(SEARCH("k",Raw_from_worldbank!B130)),
       VALUE(SUBSTITUTE(LOWER(Raw_from_worldbank!B130),"k",""))*1000,
       NA()))</f>
        <v>1.5</v>
      </c>
      <c r="E126">
        <f>IF(ISNUMBER(Raw_from_worldbank!C130),Raw_from_worldbank!C130,  IF(ISNUMBER(SEARCH("k",Raw_from_worldbank!C130)),
       VALUE(SUBSTITUTE(LOWER(Raw_from_worldbank!C130),"k",""))*1000,
       NA()))</f>
        <v>1.4</v>
      </c>
      <c r="F126">
        <f>IF(ISNUMBER(Raw_from_worldbank!D130),Raw_from_worldbank!D130,  IF(ISNUMBER(SEARCH("k",Raw_from_worldbank!D130)),
       VALUE(SUBSTITUTE(LOWER(Raw_from_worldbank!D130),"k",""))*1000,
       NA()))</f>
        <v>1.5</v>
      </c>
      <c r="G126">
        <f>IF(ISNUMBER(Raw_from_worldbank!E130),Raw_from_worldbank!E130,  IF(ISNUMBER(SEARCH("k",Raw_from_worldbank!E130)),
       VALUE(SUBSTITUTE(LOWER(Raw_from_worldbank!E130),"k",""))*1000,
       NA()))</f>
        <v>1.5</v>
      </c>
      <c r="H126">
        <f>IF(ISNUMBER(Raw_from_worldbank!F130),Raw_from_worldbank!F130,  IF(ISNUMBER(SEARCH("k",Raw_from_worldbank!F130)),
       VALUE(SUBSTITUTE(LOWER(Raw_from_worldbank!F130),"k",""))*1000,
       NA()))</f>
        <v>1.5</v>
      </c>
      <c r="I126">
        <f>IF(ISNUMBER(Raw_from_worldbank!G130),Raw_from_worldbank!G130,  IF(ISNUMBER(SEARCH("k",Raw_from_worldbank!G130)),
       VALUE(SUBSTITUTE(LOWER(Raw_from_worldbank!G130),"k",""))*1000,
       NA()))</f>
        <v>1.5</v>
      </c>
      <c r="J126">
        <f>IF(ISNUMBER(Raw_from_worldbank!H130),Raw_from_worldbank!H130,  IF(ISNUMBER(SEARCH("k",Raw_from_worldbank!H130)),
       VALUE(SUBSTITUTE(LOWER(Raw_from_worldbank!H130),"k",""))*1000,
       NA()))</f>
        <v>1.5</v>
      </c>
    </row>
    <row r="127" spans="1:10" x14ac:dyDescent="0.3">
      <c r="A127" t="str">
        <f>VLOOKUP(LOWER(B127),[1]country_name_iso_mapping!$A:$C,3, FALSE)</f>
        <v>NIC</v>
      </c>
      <c r="B127" t="s">
        <v>126</v>
      </c>
      <c r="C127" t="s">
        <v>126</v>
      </c>
      <c r="D127">
        <f>IF(ISNUMBER(Raw_from_worldbank!B131),Raw_from_worldbank!B131,  IF(ISNUMBER(SEARCH("k",Raw_from_worldbank!B131)),
       VALUE(SUBSTITUTE(LOWER(Raw_from_worldbank!B131),"k",""))*1000,
       NA()))</f>
        <v>11.6</v>
      </c>
      <c r="E127">
        <f>IF(ISNUMBER(Raw_from_worldbank!C131),Raw_from_worldbank!C131,  IF(ISNUMBER(SEARCH("k",Raw_from_worldbank!C131)),
       VALUE(SUBSTITUTE(LOWER(Raw_from_worldbank!C131),"k",""))*1000,
       NA()))</f>
        <v>11.8</v>
      </c>
      <c r="F127">
        <f>IF(ISNUMBER(Raw_from_worldbank!D131),Raw_from_worldbank!D131,  IF(ISNUMBER(SEARCH("k",Raw_from_worldbank!D131)),
       VALUE(SUBSTITUTE(LOWER(Raw_from_worldbank!D131),"k",""))*1000,
       NA()))</f>
        <v>12.2</v>
      </c>
      <c r="G127">
        <f>IF(ISNUMBER(Raw_from_worldbank!E131),Raw_from_worldbank!E131,  IF(ISNUMBER(SEARCH("k",Raw_from_worldbank!E131)),
       VALUE(SUBSTITUTE(LOWER(Raw_from_worldbank!E131),"k",""))*1000,
       NA()))</f>
        <v>12.6</v>
      </c>
      <c r="H127">
        <f>IF(ISNUMBER(Raw_from_worldbank!F131),Raw_from_worldbank!F131,  IF(ISNUMBER(SEARCH("k",Raw_from_worldbank!F131)),
       VALUE(SUBSTITUTE(LOWER(Raw_from_worldbank!F131),"k",""))*1000,
       NA()))</f>
        <v>12.8</v>
      </c>
      <c r="I127">
        <f>IF(ISNUMBER(Raw_from_worldbank!G131),Raw_from_worldbank!G131,  IF(ISNUMBER(SEARCH("k",Raw_from_worldbank!G131)),
       VALUE(SUBSTITUTE(LOWER(Raw_from_worldbank!G131),"k",""))*1000,
       NA()))</f>
        <v>13.1</v>
      </c>
      <c r="J127">
        <f>IF(ISNUMBER(Raw_from_worldbank!H131),Raw_from_worldbank!H131,  IF(ISNUMBER(SEARCH("k",Raw_from_worldbank!H131)),
       VALUE(SUBSTITUTE(LOWER(Raw_from_worldbank!H131),"k",""))*1000,
       NA()))</f>
        <v>13.4</v>
      </c>
    </row>
    <row r="128" spans="1:10" x14ac:dyDescent="0.3">
      <c r="A128" t="str">
        <f>VLOOKUP(LOWER(B128),[1]country_name_iso_mapping!$A:$C,3, FALSE)</f>
        <v>NER</v>
      </c>
      <c r="B128" t="s">
        <v>127</v>
      </c>
      <c r="C128" t="s">
        <v>127</v>
      </c>
      <c r="D128">
        <f>IF(ISNUMBER(Raw_from_worldbank!B132),Raw_from_worldbank!B132,  IF(ISNUMBER(SEARCH("k",Raw_from_worldbank!B132)),
       VALUE(SUBSTITUTE(LOWER(Raw_from_worldbank!B132),"k",""))*1000,
       NA()))</f>
        <v>250.4</v>
      </c>
      <c r="E128">
        <f>IF(ISNUMBER(Raw_from_worldbank!C132),Raw_from_worldbank!C132,  IF(ISNUMBER(SEARCH("k",Raw_from_worldbank!C132)),
       VALUE(SUBSTITUTE(LOWER(Raw_from_worldbank!C132),"k",""))*1000,
       NA()))</f>
        <v>243</v>
      </c>
      <c r="F128">
        <f>IF(ISNUMBER(Raw_from_worldbank!D132),Raw_from_worldbank!D132,  IF(ISNUMBER(SEARCH("k",Raw_from_worldbank!D132)),
       VALUE(SUBSTITUTE(LOWER(Raw_from_worldbank!D132),"k",""))*1000,
       NA()))</f>
        <v>241.1</v>
      </c>
      <c r="G128">
        <f>IF(ISNUMBER(Raw_from_worldbank!E132),Raw_from_worldbank!E132,  IF(ISNUMBER(SEARCH("k",Raw_from_worldbank!E132)),
       VALUE(SUBSTITUTE(LOWER(Raw_from_worldbank!E132),"k",""))*1000,
       NA()))</f>
        <v>243.4</v>
      </c>
      <c r="H128">
        <f>IF(ISNUMBER(Raw_from_worldbank!F132),Raw_from_worldbank!F132,  IF(ISNUMBER(SEARCH("k",Raw_from_worldbank!F132)),
       VALUE(SUBSTITUTE(LOWER(Raw_from_worldbank!F132),"k",""))*1000,
       NA()))</f>
        <v>245.7</v>
      </c>
      <c r="I128">
        <f>IF(ISNUMBER(Raw_from_worldbank!G132),Raw_from_worldbank!G132,  IF(ISNUMBER(SEARCH("k",Raw_from_worldbank!G132)),
       VALUE(SUBSTITUTE(LOWER(Raw_from_worldbank!G132),"k",""))*1000,
       NA()))</f>
        <v>246.7</v>
      </c>
      <c r="J128">
        <f>IF(ISNUMBER(Raw_from_worldbank!H132),Raw_from_worldbank!H132,  IF(ISNUMBER(SEARCH("k",Raw_from_worldbank!H132)),
       VALUE(SUBSTITUTE(LOWER(Raw_from_worldbank!H132),"k",""))*1000,
       NA()))</f>
        <v>246.9</v>
      </c>
    </row>
    <row r="129" spans="1:10" x14ac:dyDescent="0.3">
      <c r="A129" t="str">
        <f>VLOOKUP(LOWER(B129),[1]country_name_iso_mapping!$A:$C,3, FALSE)</f>
        <v>NGA</v>
      </c>
      <c r="B129" t="s">
        <v>128</v>
      </c>
      <c r="C129" t="s">
        <v>128</v>
      </c>
      <c r="D129">
        <f>IF(ISNUMBER(Raw_from_worldbank!B133),Raw_from_worldbank!B133,  IF(ISNUMBER(SEARCH("k",Raw_from_worldbank!B133)),
       VALUE(SUBSTITUTE(LOWER(Raw_from_worldbank!B133),"k",""))*1000,
       NA()))</f>
        <v>152.1</v>
      </c>
      <c r="E129">
        <f>IF(ISNUMBER(Raw_from_worldbank!C133),Raw_from_worldbank!C133,  IF(ISNUMBER(SEARCH("k",Raw_from_worldbank!C133)),
       VALUE(SUBSTITUTE(LOWER(Raw_from_worldbank!C133),"k",""))*1000,
       NA()))</f>
        <v>158.1</v>
      </c>
      <c r="F129">
        <f>IF(ISNUMBER(Raw_from_worldbank!D133),Raw_from_worldbank!D133,  IF(ISNUMBER(SEARCH("k",Raw_from_worldbank!D133)),
       VALUE(SUBSTITUTE(LOWER(Raw_from_worldbank!D133),"k",""))*1000,
       NA()))</f>
        <v>171.8</v>
      </c>
      <c r="G129">
        <f>IF(ISNUMBER(Raw_from_worldbank!E133),Raw_from_worldbank!E133,  IF(ISNUMBER(SEARCH("k",Raw_from_worldbank!E133)),
       VALUE(SUBSTITUTE(LOWER(Raw_from_worldbank!E133),"k",""))*1000,
       NA()))</f>
        <v>205.3</v>
      </c>
      <c r="H129">
        <f>IF(ISNUMBER(Raw_from_worldbank!F133),Raw_from_worldbank!F133,  IF(ISNUMBER(SEARCH("k",Raw_from_worldbank!F133)),
       VALUE(SUBSTITUTE(LOWER(Raw_from_worldbank!F133),"k",""))*1000,
       NA()))</f>
        <v>227.8</v>
      </c>
      <c r="I129">
        <f>IF(ISNUMBER(Raw_from_worldbank!G133),Raw_from_worldbank!G133,  IF(ISNUMBER(SEARCH("k",Raw_from_worldbank!G133)),
       VALUE(SUBSTITUTE(LOWER(Raw_from_worldbank!G133),"k",""))*1000,
       NA()))</f>
        <v>248.9</v>
      </c>
      <c r="J129">
        <f>IF(ISNUMBER(Raw_from_worldbank!H133),Raw_from_worldbank!H133,  IF(ISNUMBER(SEARCH("k",Raw_from_worldbank!H133)),
       VALUE(SUBSTITUTE(LOWER(Raw_from_worldbank!H133),"k",""))*1000,
       NA()))</f>
        <v>268.7</v>
      </c>
    </row>
    <row r="130" spans="1:10" x14ac:dyDescent="0.3">
      <c r="A130" t="str">
        <f>VLOOKUP(LOWER(B130),[1]country_name_iso_mapping!$A:$C,3, FALSE)</f>
        <v>MKD</v>
      </c>
      <c r="B130" t="s">
        <v>129</v>
      </c>
      <c r="C130" t="s">
        <v>129</v>
      </c>
      <c r="D130">
        <f>IF(ISNUMBER(Raw_from_worldbank!B134),Raw_from_worldbank!B134,  IF(ISNUMBER(SEARCH("k",Raw_from_worldbank!B134)),
       VALUE(SUBSTITUTE(LOWER(Raw_from_worldbank!B134),"k",""))*1000,
       NA()))</f>
        <v>19.100000000000001</v>
      </c>
      <c r="E130">
        <f>IF(ISNUMBER(Raw_from_worldbank!C134),Raw_from_worldbank!C134,  IF(ISNUMBER(SEARCH("k",Raw_from_worldbank!C134)),
       VALUE(SUBSTITUTE(LOWER(Raw_from_worldbank!C134),"k",""))*1000,
       NA()))</f>
        <v>19.3</v>
      </c>
      <c r="F130">
        <f>IF(ISNUMBER(Raw_from_worldbank!D134),Raw_from_worldbank!D134,  IF(ISNUMBER(SEARCH("k",Raw_from_worldbank!D134)),
       VALUE(SUBSTITUTE(LOWER(Raw_from_worldbank!D134),"k",""))*1000,
       NA()))</f>
        <v>19.3</v>
      </c>
      <c r="G130">
        <f>IF(ISNUMBER(Raw_from_worldbank!E134),Raw_from_worldbank!E134,  IF(ISNUMBER(SEARCH("k",Raw_from_worldbank!E134)),
       VALUE(SUBSTITUTE(LOWER(Raw_from_worldbank!E134),"k",""))*1000,
       NA()))</f>
        <v>19.7</v>
      </c>
      <c r="H130">
        <f>IF(ISNUMBER(Raw_from_worldbank!F134),Raw_from_worldbank!F134,  IF(ISNUMBER(SEARCH("k",Raw_from_worldbank!F134)),
       VALUE(SUBSTITUTE(LOWER(Raw_from_worldbank!F134),"k",""))*1000,
       NA()))</f>
        <v>20</v>
      </c>
      <c r="I130">
        <f>IF(ISNUMBER(Raw_from_worldbank!G134),Raw_from_worldbank!G134,  IF(ISNUMBER(SEARCH("k",Raw_from_worldbank!G134)),
       VALUE(SUBSTITUTE(LOWER(Raw_from_worldbank!G134),"k",""))*1000,
       NA()))</f>
        <v>20.100000000000001</v>
      </c>
      <c r="J130">
        <f>IF(ISNUMBER(Raw_from_worldbank!H134),Raw_from_worldbank!H134,  IF(ISNUMBER(SEARCH("k",Raw_from_worldbank!H134)),
       VALUE(SUBSTITUTE(LOWER(Raw_from_worldbank!H134),"k",""))*1000,
       NA()))</f>
        <v>20.3</v>
      </c>
    </row>
    <row r="131" spans="1:10" x14ac:dyDescent="0.3">
      <c r="A131" t="str">
        <f>VLOOKUP(LOWER(B131),[1]country_name_iso_mapping!$A:$C,3, FALSE)</f>
        <v>NOR</v>
      </c>
      <c r="B131" t="s">
        <v>130</v>
      </c>
      <c r="C131" t="s">
        <v>130</v>
      </c>
      <c r="D131">
        <f>IF(ISNUMBER(Raw_from_worldbank!B135),Raw_from_worldbank!B135,  IF(ISNUMBER(SEARCH("k",Raw_from_worldbank!B135)),
       VALUE(SUBSTITUTE(LOWER(Raw_from_worldbank!B135),"k",""))*1000,
       NA()))</f>
        <v>11.2</v>
      </c>
      <c r="E131">
        <f>IF(ISNUMBER(Raw_from_worldbank!C135),Raw_from_worldbank!C135,  IF(ISNUMBER(SEARCH("k",Raw_from_worldbank!C135)),
       VALUE(SUBSTITUTE(LOWER(Raw_from_worldbank!C135),"k",""))*1000,
       NA()))</f>
        <v>13.4</v>
      </c>
      <c r="F131">
        <f>IF(ISNUMBER(Raw_from_worldbank!D135),Raw_from_worldbank!D135,  IF(ISNUMBER(SEARCH("k",Raw_from_worldbank!D135)),
       VALUE(SUBSTITUTE(LOWER(Raw_from_worldbank!D135),"k",""))*1000,
       NA()))</f>
        <v>11.6</v>
      </c>
      <c r="G131">
        <f>IF(ISNUMBER(Raw_from_worldbank!E135),Raw_from_worldbank!E135,  IF(ISNUMBER(SEARCH("k",Raw_from_worldbank!E135)),
       VALUE(SUBSTITUTE(LOWER(Raw_from_worldbank!E135),"k",""))*1000,
       NA()))</f>
        <v>12.1</v>
      </c>
      <c r="H131">
        <f>IF(ISNUMBER(Raw_from_worldbank!F135),Raw_from_worldbank!F135,  IF(ISNUMBER(SEARCH("k",Raw_from_worldbank!F135)),
       VALUE(SUBSTITUTE(LOWER(Raw_from_worldbank!F135),"k",""))*1000,
       NA()))</f>
        <v>12.4</v>
      </c>
      <c r="I131">
        <f>IF(ISNUMBER(Raw_from_worldbank!G135),Raw_from_worldbank!G135,  IF(ISNUMBER(SEARCH("k",Raw_from_worldbank!G135)),
       VALUE(SUBSTITUTE(LOWER(Raw_from_worldbank!G135),"k",""))*1000,
       NA()))</f>
        <v>12.3</v>
      </c>
      <c r="J131">
        <f>IF(ISNUMBER(Raw_from_worldbank!H135),Raw_from_worldbank!H135,  IF(ISNUMBER(SEARCH("k",Raw_from_worldbank!H135)),
       VALUE(SUBSTITUTE(LOWER(Raw_from_worldbank!H135),"k",""))*1000,
       NA()))</f>
        <v>12.2</v>
      </c>
    </row>
    <row r="132" spans="1:10" x14ac:dyDescent="0.3">
      <c r="A132" t="str">
        <f>VLOOKUP(LOWER(B132),[1]country_name_iso_mapping!$A:$C,3, FALSE)</f>
        <v>OMN</v>
      </c>
      <c r="B132" t="s">
        <v>131</v>
      </c>
      <c r="C132" t="s">
        <v>131</v>
      </c>
      <c r="D132">
        <f>IF(ISNUMBER(Raw_from_worldbank!B136),Raw_from_worldbank!B136,  IF(ISNUMBER(SEARCH("k",Raw_from_worldbank!B136)),
       VALUE(SUBSTITUTE(LOWER(Raw_from_worldbank!B136),"k",""))*1000,
       NA()))</f>
        <v>0.2</v>
      </c>
      <c r="E132">
        <f>IF(ISNUMBER(Raw_from_worldbank!C136),Raw_from_worldbank!C136,  IF(ISNUMBER(SEARCH("k",Raw_from_worldbank!C136)),
       VALUE(SUBSTITUTE(LOWER(Raw_from_worldbank!C136),"k",""))*1000,
       NA()))</f>
        <v>0.23</v>
      </c>
      <c r="F132">
        <f>IF(ISNUMBER(Raw_from_worldbank!D136),Raw_from_worldbank!D136,  IF(ISNUMBER(SEARCH("k",Raw_from_worldbank!D136)),
       VALUE(SUBSTITUTE(LOWER(Raw_from_worldbank!D136),"k",""))*1000,
       NA()))</f>
        <v>0.21</v>
      </c>
      <c r="G132">
        <f>IF(ISNUMBER(Raw_from_worldbank!E136),Raw_from_worldbank!E136,  IF(ISNUMBER(SEARCH("k",Raw_from_worldbank!E136)),
       VALUE(SUBSTITUTE(LOWER(Raw_from_worldbank!E136),"k",""))*1000,
       NA()))</f>
        <v>0.2</v>
      </c>
      <c r="H132">
        <f>IF(ISNUMBER(Raw_from_worldbank!F136),Raw_from_worldbank!F136,  IF(ISNUMBER(SEARCH("k",Raw_from_worldbank!F136)),
       VALUE(SUBSTITUTE(LOWER(Raw_from_worldbank!F136),"k",""))*1000,
       NA()))</f>
        <v>0.2</v>
      </c>
      <c r="I132">
        <f>IF(ISNUMBER(Raw_from_worldbank!G136),Raw_from_worldbank!G136,  IF(ISNUMBER(SEARCH("k",Raw_from_worldbank!G136)),
       VALUE(SUBSTITUTE(LOWER(Raw_from_worldbank!G136),"k",""))*1000,
       NA()))</f>
        <v>0.19</v>
      </c>
      <c r="J132">
        <f>IF(ISNUMBER(Raw_from_worldbank!H136),Raw_from_worldbank!H136,  IF(ISNUMBER(SEARCH("k",Raw_from_worldbank!H136)),
       VALUE(SUBSTITUTE(LOWER(Raw_from_worldbank!H136),"k",""))*1000,
       NA()))</f>
        <v>0.19</v>
      </c>
    </row>
    <row r="133" spans="1:10" x14ac:dyDescent="0.3">
      <c r="A133" t="str">
        <f>VLOOKUP(LOWER(B133),[1]country_name_iso_mapping!$A:$C,3, FALSE)</f>
        <v>PAK</v>
      </c>
      <c r="B133" t="s">
        <v>132</v>
      </c>
      <c r="C133" t="s">
        <v>132</v>
      </c>
      <c r="D133">
        <f>IF(ISNUMBER(Raw_from_worldbank!B137),Raw_from_worldbank!B137,  IF(ISNUMBER(SEARCH("k",Raw_from_worldbank!B137)),
       VALUE(SUBSTITUTE(LOWER(Raw_from_worldbank!B137),"k",""))*1000,
       NA()))</f>
        <v>41.8</v>
      </c>
      <c r="E133">
        <f>IF(ISNUMBER(Raw_from_worldbank!C137),Raw_from_worldbank!C137,  IF(ISNUMBER(SEARCH("k",Raw_from_worldbank!C137)),
       VALUE(SUBSTITUTE(LOWER(Raw_from_worldbank!C137),"k",""))*1000,
       NA()))</f>
        <v>43.9</v>
      </c>
      <c r="F133">
        <f>IF(ISNUMBER(Raw_from_worldbank!D137),Raw_from_worldbank!D137,  IF(ISNUMBER(SEARCH("k",Raw_from_worldbank!D137)),
       VALUE(SUBSTITUTE(LOWER(Raw_from_worldbank!D137),"k",""))*1000,
       NA()))</f>
        <v>53.5</v>
      </c>
      <c r="G133">
        <f>IF(ISNUMBER(Raw_from_worldbank!E137),Raw_from_worldbank!E137,  IF(ISNUMBER(SEARCH("k",Raw_from_worldbank!E137)),
       VALUE(SUBSTITUTE(LOWER(Raw_from_worldbank!E137),"k",""))*1000,
       NA()))</f>
        <v>65.2</v>
      </c>
      <c r="H133">
        <f>IF(ISNUMBER(Raw_from_worldbank!F137),Raw_from_worldbank!F137,  IF(ISNUMBER(SEARCH("k",Raw_from_worldbank!F137)),
       VALUE(SUBSTITUTE(LOWER(Raw_from_worldbank!F137),"k",""))*1000,
       NA()))</f>
        <v>72.400000000000006</v>
      </c>
      <c r="I133">
        <f>IF(ISNUMBER(Raw_from_worldbank!G137),Raw_from_worldbank!G137,  IF(ISNUMBER(SEARCH("k",Raw_from_worldbank!G137)),
       VALUE(SUBSTITUTE(LOWER(Raw_from_worldbank!G137),"k",""))*1000,
       NA()))</f>
        <v>76.5</v>
      </c>
      <c r="J133">
        <f>IF(ISNUMBER(Raw_from_worldbank!H137),Raw_from_worldbank!H137,  IF(ISNUMBER(SEARCH("k",Raw_from_worldbank!H137)),
       VALUE(SUBSTITUTE(LOWER(Raw_from_worldbank!H137),"k",""))*1000,
       NA()))</f>
        <v>79.900000000000006</v>
      </c>
    </row>
    <row r="134" spans="1:10" x14ac:dyDescent="0.3">
      <c r="A134" t="str">
        <f>VLOOKUP(LOWER(B134),[1]country_name_iso_mapping!$A:$C,3, FALSE)</f>
        <v>PLW</v>
      </c>
      <c r="B134" t="s">
        <v>133</v>
      </c>
      <c r="C134" t="s">
        <v>133</v>
      </c>
      <c r="D134">
        <f>IF(ISNUMBER(Raw_from_worldbank!B138),Raw_from_worldbank!B138,  IF(ISNUMBER(SEARCH("k",Raw_from_worldbank!B138)),
       VALUE(SUBSTITUTE(LOWER(Raw_from_worldbank!B138),"k",""))*1000,
       NA()))</f>
        <v>0.96</v>
      </c>
      <c r="E134">
        <f>IF(ISNUMBER(Raw_from_worldbank!C138),Raw_from_worldbank!C138,  IF(ISNUMBER(SEARCH("k",Raw_from_worldbank!C138)),
       VALUE(SUBSTITUTE(LOWER(Raw_from_worldbank!C138),"k",""))*1000,
       NA()))</f>
        <v>0.96</v>
      </c>
      <c r="F134">
        <f>IF(ISNUMBER(Raw_from_worldbank!D138),Raw_from_worldbank!D138,  IF(ISNUMBER(SEARCH("k",Raw_from_worldbank!D138)),
       VALUE(SUBSTITUTE(LOWER(Raw_from_worldbank!D138),"k",""))*1000,
       NA()))</f>
        <v>1</v>
      </c>
      <c r="G134">
        <f>IF(ISNUMBER(Raw_from_worldbank!E138),Raw_from_worldbank!E138,  IF(ISNUMBER(SEARCH("k",Raw_from_worldbank!E138)),
       VALUE(SUBSTITUTE(LOWER(Raw_from_worldbank!E138),"k",""))*1000,
       NA()))</f>
        <v>1</v>
      </c>
      <c r="H134">
        <f>IF(ISNUMBER(Raw_from_worldbank!F138),Raw_from_worldbank!F138,  IF(ISNUMBER(SEARCH("k",Raw_from_worldbank!F138)),
       VALUE(SUBSTITUTE(LOWER(Raw_from_worldbank!F138),"k",""))*1000,
       NA()))</f>
        <v>1</v>
      </c>
      <c r="I134">
        <f>IF(ISNUMBER(Raw_from_worldbank!G138),Raw_from_worldbank!G138,  IF(ISNUMBER(SEARCH("k",Raw_from_worldbank!G138)),
       VALUE(SUBSTITUTE(LOWER(Raw_from_worldbank!G138),"k",""))*1000,
       NA()))</f>
        <v>1</v>
      </c>
      <c r="J134">
        <f>IF(ISNUMBER(Raw_from_worldbank!H138),Raw_from_worldbank!H138,  IF(ISNUMBER(SEARCH("k",Raw_from_worldbank!H138)),
       VALUE(SUBSTITUTE(LOWER(Raw_from_worldbank!H138),"k",""))*1000,
       NA()))</f>
        <v>1</v>
      </c>
    </row>
    <row r="135" spans="1:10" x14ac:dyDescent="0.3">
      <c r="A135" t="str">
        <f>VLOOKUP(LOWER(B135),[1]country_name_iso_mapping!$A:$C,3, FALSE)</f>
        <v>PAN</v>
      </c>
      <c r="B135" t="s">
        <v>134</v>
      </c>
      <c r="C135" t="s">
        <v>134</v>
      </c>
      <c r="D135">
        <f>IF(ISNUMBER(Raw_from_worldbank!B139),Raw_from_worldbank!B139,  IF(ISNUMBER(SEARCH("k",Raw_from_worldbank!B139)),
       VALUE(SUBSTITUTE(LOWER(Raw_from_worldbank!B139),"k",""))*1000,
       NA()))</f>
        <v>0.46</v>
      </c>
      <c r="E135">
        <f>IF(ISNUMBER(Raw_from_worldbank!C139),Raw_from_worldbank!C139,  IF(ISNUMBER(SEARCH("k",Raw_from_worldbank!C139)),
       VALUE(SUBSTITUTE(LOWER(Raw_from_worldbank!C139),"k",""))*1000,
       NA()))</f>
        <v>0.44</v>
      </c>
      <c r="F135">
        <f>IF(ISNUMBER(Raw_from_worldbank!D139),Raw_from_worldbank!D139,  IF(ISNUMBER(SEARCH("k",Raw_from_worldbank!D139)),
       VALUE(SUBSTITUTE(LOWER(Raw_from_worldbank!D139),"k",""))*1000,
       NA()))</f>
        <v>0.43</v>
      </c>
      <c r="G135">
        <f>IF(ISNUMBER(Raw_from_worldbank!E139),Raw_from_worldbank!E139,  IF(ISNUMBER(SEARCH("k",Raw_from_worldbank!E139)),
       VALUE(SUBSTITUTE(LOWER(Raw_from_worldbank!E139),"k",""))*1000,
       NA()))</f>
        <v>0.43</v>
      </c>
      <c r="H135">
        <f>IF(ISNUMBER(Raw_from_worldbank!F139),Raw_from_worldbank!F139,  IF(ISNUMBER(SEARCH("k",Raw_from_worldbank!F139)),
       VALUE(SUBSTITUTE(LOWER(Raw_from_worldbank!F139),"k",""))*1000,
       NA()))</f>
        <v>0.43</v>
      </c>
      <c r="I135">
        <f>IF(ISNUMBER(Raw_from_worldbank!G139),Raw_from_worldbank!G139,  IF(ISNUMBER(SEARCH("k",Raw_from_worldbank!G139)),
       VALUE(SUBSTITUTE(LOWER(Raw_from_worldbank!G139),"k",""))*1000,
       NA()))</f>
        <v>0.43</v>
      </c>
      <c r="J135">
        <f>IF(ISNUMBER(Raw_from_worldbank!H139),Raw_from_worldbank!H139,  IF(ISNUMBER(SEARCH("k",Raw_from_worldbank!H139)),
       VALUE(SUBSTITUTE(LOWER(Raw_from_worldbank!H139),"k",""))*1000,
       NA()))</f>
        <v>0.43</v>
      </c>
    </row>
    <row r="136" spans="1:10" x14ac:dyDescent="0.3">
      <c r="A136" t="str">
        <f>VLOOKUP(LOWER(B136),[1]country_name_iso_mapping!$A:$C,3, FALSE)</f>
        <v>PNG</v>
      </c>
      <c r="B136" t="s">
        <v>135</v>
      </c>
      <c r="C136" t="s">
        <v>135</v>
      </c>
      <c r="D136">
        <f>IF(ISNUMBER(Raw_from_worldbank!B140),Raw_from_worldbank!B140,  IF(ISNUMBER(SEARCH("k",Raw_from_worldbank!B140)),
       VALUE(SUBSTITUTE(LOWER(Raw_from_worldbank!B140),"k",""))*1000,
       NA()))</f>
        <v>2.7</v>
      </c>
      <c r="E136">
        <f>IF(ISNUMBER(Raw_from_worldbank!C140),Raw_from_worldbank!C140,  IF(ISNUMBER(SEARCH("k",Raw_from_worldbank!C140)),
       VALUE(SUBSTITUTE(LOWER(Raw_from_worldbank!C140),"k",""))*1000,
       NA()))</f>
        <v>2.9</v>
      </c>
      <c r="F136">
        <f>IF(ISNUMBER(Raw_from_worldbank!D140),Raw_from_worldbank!D140,  IF(ISNUMBER(SEARCH("k",Raw_from_worldbank!D140)),
       VALUE(SUBSTITUTE(LOWER(Raw_from_worldbank!D140),"k",""))*1000,
       NA()))</f>
        <v>2.7</v>
      </c>
      <c r="G136">
        <f>IF(ISNUMBER(Raw_from_worldbank!E140),Raw_from_worldbank!E140,  IF(ISNUMBER(SEARCH("k",Raw_from_worldbank!E140)),
       VALUE(SUBSTITUTE(LOWER(Raw_from_worldbank!E140),"k",""))*1000,
       NA()))</f>
        <v>2.7</v>
      </c>
      <c r="H136">
        <f>IF(ISNUMBER(Raw_from_worldbank!F140),Raw_from_worldbank!F140,  IF(ISNUMBER(SEARCH("k",Raw_from_worldbank!F140)),
       VALUE(SUBSTITUTE(LOWER(Raw_from_worldbank!F140),"k",""))*1000,
       NA()))</f>
        <v>2.8</v>
      </c>
      <c r="I136">
        <f>IF(ISNUMBER(Raw_from_worldbank!G140),Raw_from_worldbank!G140,  IF(ISNUMBER(SEARCH("k",Raw_from_worldbank!G140)),
       VALUE(SUBSTITUTE(LOWER(Raw_from_worldbank!G140),"k",""))*1000,
       NA()))</f>
        <v>2.9</v>
      </c>
      <c r="J136">
        <f>IF(ISNUMBER(Raw_from_worldbank!H140),Raw_from_worldbank!H140,  IF(ISNUMBER(SEARCH("k",Raw_from_worldbank!H140)),
       VALUE(SUBSTITUTE(LOWER(Raw_from_worldbank!H140),"k",""))*1000,
       NA()))</f>
        <v>2.9</v>
      </c>
    </row>
    <row r="137" spans="1:10" x14ac:dyDescent="0.3">
      <c r="A137" t="str">
        <f>VLOOKUP(LOWER(B137),[1]country_name_iso_mapping!$A:$C,3, FALSE)</f>
        <v>PRY</v>
      </c>
      <c r="B137" t="s">
        <v>136</v>
      </c>
      <c r="C137" t="s">
        <v>136</v>
      </c>
      <c r="D137">
        <f>IF(ISNUMBER(Raw_from_worldbank!B141),Raw_from_worldbank!B141,  IF(ISNUMBER(SEARCH("k",Raw_from_worldbank!B141)),
       VALUE(SUBSTITUTE(LOWER(Raw_from_worldbank!B141),"k",""))*1000,
       NA()))</f>
        <v>2700</v>
      </c>
      <c r="E137">
        <f>IF(ISNUMBER(Raw_from_worldbank!C141),Raw_from_worldbank!C141,  IF(ISNUMBER(SEARCH("k",Raw_from_worldbank!C141)),
       VALUE(SUBSTITUTE(LOWER(Raw_from_worldbank!C141),"k",""))*1000,
       NA()))</f>
        <v>2700</v>
      </c>
      <c r="F137">
        <f>IF(ISNUMBER(Raw_from_worldbank!D141),Raw_from_worldbank!D141,  IF(ISNUMBER(SEARCH("k",Raw_from_worldbank!D141)),
       VALUE(SUBSTITUTE(LOWER(Raw_from_worldbank!D141),"k",""))*1000,
       NA()))</f>
        <v>2700</v>
      </c>
      <c r="G137">
        <f>IF(ISNUMBER(Raw_from_worldbank!E141),Raw_from_worldbank!E141,  IF(ISNUMBER(SEARCH("k",Raw_from_worldbank!E141)),
       VALUE(SUBSTITUTE(LOWER(Raw_from_worldbank!E141),"k",""))*1000,
       NA()))</f>
        <v>2800</v>
      </c>
      <c r="H137">
        <f>IF(ISNUMBER(Raw_from_worldbank!F141),Raw_from_worldbank!F141,  IF(ISNUMBER(SEARCH("k",Raw_from_worldbank!F141)),
       VALUE(SUBSTITUTE(LOWER(Raw_from_worldbank!F141),"k",""))*1000,
       NA()))</f>
        <v>2800</v>
      </c>
      <c r="I137">
        <f>IF(ISNUMBER(Raw_from_worldbank!G141),Raw_from_worldbank!G141,  IF(ISNUMBER(SEARCH("k",Raw_from_worldbank!G141)),
       VALUE(SUBSTITUTE(LOWER(Raw_from_worldbank!G141),"k",""))*1000,
       NA()))</f>
        <v>2900</v>
      </c>
      <c r="J137">
        <f>IF(ISNUMBER(Raw_from_worldbank!H141),Raw_from_worldbank!H141,  IF(ISNUMBER(SEARCH("k",Raw_from_worldbank!H141)),
       VALUE(SUBSTITUTE(LOWER(Raw_from_worldbank!H141),"k",""))*1000,
       NA()))</f>
        <v>2900</v>
      </c>
    </row>
    <row r="138" spans="1:10" x14ac:dyDescent="0.3">
      <c r="A138" t="str">
        <f>VLOOKUP(LOWER(B138),[1]country_name_iso_mapping!$A:$C,3, FALSE)</f>
        <v>PER</v>
      </c>
      <c r="B138" t="s">
        <v>137</v>
      </c>
      <c r="C138" t="s">
        <v>137</v>
      </c>
      <c r="D138">
        <f>IF(ISNUMBER(Raw_from_worldbank!B142),Raw_from_worldbank!B142,  IF(ISNUMBER(SEARCH("k",Raw_from_worldbank!B142)),
       VALUE(SUBSTITUTE(LOWER(Raw_from_worldbank!B142),"k",""))*1000,
       NA()))</f>
        <v>1.8</v>
      </c>
      <c r="E138">
        <f>IF(ISNUMBER(Raw_from_worldbank!C142),Raw_from_worldbank!C142,  IF(ISNUMBER(SEARCH("k",Raw_from_worldbank!C142)),
       VALUE(SUBSTITUTE(LOWER(Raw_from_worldbank!C142),"k",""))*1000,
       NA()))</f>
        <v>1.8</v>
      </c>
      <c r="F138">
        <f>IF(ISNUMBER(Raw_from_worldbank!D142),Raw_from_worldbank!D142,  IF(ISNUMBER(SEARCH("k",Raw_from_worldbank!D142)),
       VALUE(SUBSTITUTE(LOWER(Raw_from_worldbank!D142),"k",""))*1000,
       NA()))</f>
        <v>1.9</v>
      </c>
      <c r="G138">
        <f>IF(ISNUMBER(Raw_from_worldbank!E142),Raw_from_worldbank!E142,  IF(ISNUMBER(SEARCH("k",Raw_from_worldbank!E142)),
       VALUE(SUBSTITUTE(LOWER(Raw_from_worldbank!E142),"k",""))*1000,
       NA()))</f>
        <v>1.9</v>
      </c>
      <c r="H138">
        <f>IF(ISNUMBER(Raw_from_worldbank!F142),Raw_from_worldbank!F142,  IF(ISNUMBER(SEARCH("k",Raw_from_worldbank!F142)),
       VALUE(SUBSTITUTE(LOWER(Raw_from_worldbank!F142),"k",""))*1000,
       NA()))</f>
        <v>1.9</v>
      </c>
      <c r="I138">
        <f>IF(ISNUMBER(Raw_from_worldbank!G142),Raw_from_worldbank!G142,  IF(ISNUMBER(SEARCH("k",Raw_from_worldbank!G142)),
       VALUE(SUBSTITUTE(LOWER(Raw_from_worldbank!G142),"k",""))*1000,
       NA()))</f>
        <v>1.9</v>
      </c>
      <c r="J138">
        <f>IF(ISNUMBER(Raw_from_worldbank!H142),Raw_from_worldbank!H142,  IF(ISNUMBER(SEARCH("k",Raw_from_worldbank!H142)),
       VALUE(SUBSTITUTE(LOWER(Raw_from_worldbank!H142),"k",""))*1000,
       NA()))</f>
        <v>1.9</v>
      </c>
    </row>
    <row r="139" spans="1:10" x14ac:dyDescent="0.3">
      <c r="A139" t="str">
        <f>VLOOKUP(LOWER(B139),[1]country_name_iso_mapping!$A:$C,3, FALSE)</f>
        <v>PHL</v>
      </c>
      <c r="B139" t="s">
        <v>138</v>
      </c>
      <c r="C139" t="s">
        <v>138</v>
      </c>
      <c r="D139">
        <f>IF(ISNUMBER(Raw_from_worldbank!B143),Raw_from_worldbank!B143,  IF(ISNUMBER(SEARCH("k",Raw_from_worldbank!B143)),
       VALUE(SUBSTITUTE(LOWER(Raw_from_worldbank!B143),"k",""))*1000,
       NA()))</f>
        <v>19.100000000000001</v>
      </c>
      <c r="E139">
        <f>IF(ISNUMBER(Raw_from_worldbank!C143),Raw_from_worldbank!C143,  IF(ISNUMBER(SEARCH("k",Raw_from_worldbank!C143)),
       VALUE(SUBSTITUTE(LOWER(Raw_from_worldbank!C143),"k",""))*1000,
       NA()))</f>
        <v>18.8</v>
      </c>
      <c r="F139">
        <f>IF(ISNUMBER(Raw_from_worldbank!D143),Raw_from_worldbank!D143,  IF(ISNUMBER(SEARCH("k",Raw_from_worldbank!D143)),
       VALUE(SUBSTITUTE(LOWER(Raw_from_worldbank!D143),"k",""))*1000,
       NA()))</f>
        <v>19</v>
      </c>
      <c r="G139">
        <f>IF(ISNUMBER(Raw_from_worldbank!E143),Raw_from_worldbank!E143,  IF(ISNUMBER(SEARCH("k",Raw_from_worldbank!E143)),
       VALUE(SUBSTITUTE(LOWER(Raw_from_worldbank!E143),"k",""))*1000,
       NA()))</f>
        <v>19.100000000000001</v>
      </c>
      <c r="H139">
        <f>IF(ISNUMBER(Raw_from_worldbank!F143),Raw_from_worldbank!F143,  IF(ISNUMBER(SEARCH("k",Raw_from_worldbank!F143)),
       VALUE(SUBSTITUTE(LOWER(Raw_from_worldbank!F143),"k",""))*1000,
       NA()))</f>
        <v>19.2</v>
      </c>
      <c r="I139">
        <f>IF(ISNUMBER(Raw_from_worldbank!G143),Raw_from_worldbank!G143,  IF(ISNUMBER(SEARCH("k",Raw_from_worldbank!G143)),
       VALUE(SUBSTITUTE(LOWER(Raw_from_worldbank!G143),"k",""))*1000,
       NA()))</f>
        <v>19.3</v>
      </c>
      <c r="J139">
        <f>IF(ISNUMBER(Raw_from_worldbank!H143),Raw_from_worldbank!H143,  IF(ISNUMBER(SEARCH("k",Raw_from_worldbank!H143)),
       VALUE(SUBSTITUTE(LOWER(Raw_from_worldbank!H143),"k",""))*1000,
       NA()))</f>
        <v>19.399999999999999</v>
      </c>
    </row>
    <row r="140" spans="1:10" x14ac:dyDescent="0.3">
      <c r="A140" t="str">
        <f>VLOOKUP(LOWER(B140),[1]country_name_iso_mapping!$A:$C,3, FALSE)</f>
        <v>POL</v>
      </c>
      <c r="B140" t="s">
        <v>139</v>
      </c>
      <c r="C140" t="s">
        <v>139</v>
      </c>
      <c r="D140">
        <f>IF(ISNUMBER(Raw_from_worldbank!B144),Raw_from_worldbank!B144,  IF(ISNUMBER(SEARCH("k",Raw_from_worldbank!B144)),
       VALUE(SUBSTITUTE(LOWER(Raw_from_worldbank!B144),"k",""))*1000,
       NA()))</f>
        <v>1.8</v>
      </c>
      <c r="E140">
        <f>IF(ISNUMBER(Raw_from_worldbank!C144),Raw_from_worldbank!C144,  IF(ISNUMBER(SEARCH("k",Raw_from_worldbank!C144)),
       VALUE(SUBSTITUTE(LOWER(Raw_from_worldbank!C144),"k",""))*1000,
       NA()))</f>
        <v>1.9</v>
      </c>
      <c r="F140">
        <f>IF(ISNUMBER(Raw_from_worldbank!D144),Raw_from_worldbank!D144,  IF(ISNUMBER(SEARCH("k",Raw_from_worldbank!D144)),
       VALUE(SUBSTITUTE(LOWER(Raw_from_worldbank!D144),"k",""))*1000,
       NA()))</f>
        <v>2</v>
      </c>
      <c r="G140">
        <f>IF(ISNUMBER(Raw_from_worldbank!E144),Raw_from_worldbank!E144,  IF(ISNUMBER(SEARCH("k",Raw_from_worldbank!E144)),
       VALUE(SUBSTITUTE(LOWER(Raw_from_worldbank!E144),"k",""))*1000,
       NA()))</f>
        <v>2</v>
      </c>
      <c r="H140">
        <f>IF(ISNUMBER(Raw_from_worldbank!F144),Raw_from_worldbank!F144,  IF(ISNUMBER(SEARCH("k",Raw_from_worldbank!F144)),
       VALUE(SUBSTITUTE(LOWER(Raw_from_worldbank!F144),"k",""))*1000,
       NA()))</f>
        <v>2.1</v>
      </c>
      <c r="I140">
        <f>IF(ISNUMBER(Raw_from_worldbank!G144),Raw_from_worldbank!G144,  IF(ISNUMBER(SEARCH("k",Raw_from_worldbank!G144)),
       VALUE(SUBSTITUTE(LOWER(Raw_from_worldbank!G144),"k",""))*1000,
       NA()))</f>
        <v>2.1</v>
      </c>
      <c r="J140">
        <f>IF(ISNUMBER(Raw_from_worldbank!H144),Raw_from_worldbank!H144,  IF(ISNUMBER(SEARCH("k",Raw_from_worldbank!H144)),
       VALUE(SUBSTITUTE(LOWER(Raw_from_worldbank!H144),"k",""))*1000,
       NA()))</f>
        <v>2.1</v>
      </c>
    </row>
    <row r="141" spans="1:10" x14ac:dyDescent="0.3">
      <c r="A141" t="str">
        <f>VLOOKUP(LOWER(B141),[1]country_name_iso_mapping!$A:$C,3, FALSE)</f>
        <v>PRT</v>
      </c>
      <c r="B141" t="s">
        <v>140</v>
      </c>
      <c r="C141" t="s">
        <v>140</v>
      </c>
      <c r="D141">
        <f>IF(ISNUMBER(Raw_from_worldbank!B145),Raw_from_worldbank!B145,  IF(ISNUMBER(SEARCH("k",Raw_from_worldbank!B145)),
       VALUE(SUBSTITUTE(LOWER(Raw_from_worldbank!B145),"k",""))*1000,
       NA()))</f>
        <v>0.56000000000000005</v>
      </c>
      <c r="E141">
        <f>IF(ISNUMBER(Raw_from_worldbank!C145),Raw_from_worldbank!C145,  IF(ISNUMBER(SEARCH("k",Raw_from_worldbank!C145)),
       VALUE(SUBSTITUTE(LOWER(Raw_from_worldbank!C145),"k",""))*1000,
       NA()))</f>
        <v>0.55000000000000004</v>
      </c>
      <c r="F141">
        <f>IF(ISNUMBER(Raw_from_worldbank!D145),Raw_from_worldbank!D145,  IF(ISNUMBER(SEARCH("k",Raw_from_worldbank!D145)),
       VALUE(SUBSTITUTE(LOWER(Raw_from_worldbank!D145),"k",""))*1000,
       NA()))</f>
        <v>0.56999999999999995</v>
      </c>
      <c r="G141">
        <f>IF(ISNUMBER(Raw_from_worldbank!E145),Raw_from_worldbank!E145,  IF(ISNUMBER(SEARCH("k",Raw_from_worldbank!E145)),
       VALUE(SUBSTITUTE(LOWER(Raw_from_worldbank!E145),"k",""))*1000,
       NA()))</f>
        <v>0.56999999999999995</v>
      </c>
      <c r="H141">
        <f>IF(ISNUMBER(Raw_from_worldbank!F145),Raw_from_worldbank!F145,  IF(ISNUMBER(SEARCH("k",Raw_from_worldbank!F145)),
       VALUE(SUBSTITUTE(LOWER(Raw_from_worldbank!F145),"k",""))*1000,
       NA()))</f>
        <v>0.56999999999999995</v>
      </c>
      <c r="I141">
        <f>IF(ISNUMBER(Raw_from_worldbank!G145),Raw_from_worldbank!G145,  IF(ISNUMBER(SEARCH("k",Raw_from_worldbank!G145)),
       VALUE(SUBSTITUTE(LOWER(Raw_from_worldbank!G145),"k",""))*1000,
       NA()))</f>
        <v>0.56999999999999995</v>
      </c>
      <c r="J141">
        <f>IF(ISNUMBER(Raw_from_worldbank!H145),Raw_from_worldbank!H145,  IF(ISNUMBER(SEARCH("k",Raw_from_worldbank!H145)),
       VALUE(SUBSTITUTE(LOWER(Raw_from_worldbank!H145),"k",""))*1000,
       NA()))</f>
        <v>0.56999999999999995</v>
      </c>
    </row>
    <row r="142" spans="1:10" x14ac:dyDescent="0.3">
      <c r="A142" t="str">
        <f>VLOOKUP(LOWER(B142),[1]country_name_iso_mapping!$A:$C,3, FALSE)</f>
        <v>PRI</v>
      </c>
      <c r="B142" t="s">
        <v>141</v>
      </c>
      <c r="C142" t="s">
        <v>141</v>
      </c>
      <c r="D142">
        <f>IF(ISNUMBER(Raw_from_worldbank!B146),Raw_from_worldbank!B146,  IF(ISNUMBER(SEARCH("k",Raw_from_worldbank!B146)),
       VALUE(SUBSTITUTE(LOWER(Raw_from_worldbank!B146),"k",""))*1000,
       NA()))</f>
        <v>0.9</v>
      </c>
      <c r="E142">
        <f>IF(ISNUMBER(Raw_from_worldbank!C146),Raw_from_worldbank!C146,  IF(ISNUMBER(SEARCH("k",Raw_from_worldbank!C146)),
       VALUE(SUBSTITUTE(LOWER(Raw_from_worldbank!C146),"k",""))*1000,
       NA()))</f>
        <v>0.87</v>
      </c>
      <c r="F142">
        <f>IF(ISNUMBER(Raw_from_worldbank!D146),Raw_from_worldbank!D146,  IF(ISNUMBER(SEARCH("k",Raw_from_worldbank!D146)),
       VALUE(SUBSTITUTE(LOWER(Raw_from_worldbank!D146),"k",""))*1000,
       NA()))</f>
        <v>0.86</v>
      </c>
      <c r="G142">
        <f>IF(ISNUMBER(Raw_from_worldbank!E146),Raw_from_worldbank!E146,  IF(ISNUMBER(SEARCH("k",Raw_from_worldbank!E146)),
       VALUE(SUBSTITUTE(LOWER(Raw_from_worldbank!E146),"k",""))*1000,
       NA()))</f>
        <v>0.86</v>
      </c>
      <c r="H142">
        <f>IF(ISNUMBER(Raw_from_worldbank!F146),Raw_from_worldbank!F146,  IF(ISNUMBER(SEARCH("k",Raw_from_worldbank!F146)),
       VALUE(SUBSTITUTE(LOWER(Raw_from_worldbank!F146),"k",""))*1000,
       NA()))</f>
        <v>0.86</v>
      </c>
      <c r="I142">
        <f>IF(ISNUMBER(Raw_from_worldbank!G146),Raw_from_worldbank!G146,  IF(ISNUMBER(SEARCH("k",Raw_from_worldbank!G146)),
       VALUE(SUBSTITUTE(LOWER(Raw_from_worldbank!G146),"k",""))*1000,
       NA()))</f>
        <v>0.87</v>
      </c>
      <c r="J142">
        <f>IF(ISNUMBER(Raw_from_worldbank!H146),Raw_from_worldbank!H146,  IF(ISNUMBER(SEARCH("k",Raw_from_worldbank!H146)),
       VALUE(SUBSTITUTE(LOWER(Raw_from_worldbank!H146),"k",""))*1000,
       NA()))</f>
        <v>0.87</v>
      </c>
    </row>
    <row r="143" spans="1:10" x14ac:dyDescent="0.3">
      <c r="A143" t="str">
        <f>VLOOKUP(LOWER(B143),[1]country_name_iso_mapping!$A:$C,3, FALSE)</f>
        <v>QAT</v>
      </c>
      <c r="B143" t="s">
        <v>142</v>
      </c>
      <c r="C143" t="s">
        <v>142</v>
      </c>
      <c r="D143">
        <f>IF(ISNUMBER(Raw_from_worldbank!B147),Raw_from_worldbank!B147,  IF(ISNUMBER(SEARCH("k",Raw_from_worldbank!B147)),
       VALUE(SUBSTITUTE(LOWER(Raw_from_worldbank!B147),"k",""))*1000,
       NA()))</f>
        <v>2.4</v>
      </c>
      <c r="E143">
        <f>IF(ISNUMBER(Raw_from_worldbank!C147),Raw_from_worldbank!C147,  IF(ISNUMBER(SEARCH("k",Raw_from_worldbank!C147)),
       VALUE(SUBSTITUTE(LOWER(Raw_from_worldbank!C147),"k",""))*1000,
       NA()))</f>
        <v>2.8</v>
      </c>
      <c r="F143">
        <f>IF(ISNUMBER(Raw_from_worldbank!D147),Raw_from_worldbank!D147,  IF(ISNUMBER(SEARCH("k",Raw_from_worldbank!D147)),
       VALUE(SUBSTITUTE(LOWER(Raw_from_worldbank!D147),"k",""))*1000,
       NA()))</f>
        <v>2.6</v>
      </c>
      <c r="G143">
        <f>IF(ISNUMBER(Raw_from_worldbank!E147),Raw_from_worldbank!E147,  IF(ISNUMBER(SEARCH("k",Raw_from_worldbank!E147)),
       VALUE(SUBSTITUTE(LOWER(Raw_from_worldbank!E147),"k",""))*1000,
       NA()))</f>
        <v>2.6</v>
      </c>
      <c r="H143">
        <f>IF(ISNUMBER(Raw_from_worldbank!F147),Raw_from_worldbank!F147,  IF(ISNUMBER(SEARCH("k",Raw_from_worldbank!F147)),
       VALUE(SUBSTITUTE(LOWER(Raw_from_worldbank!F147),"k",""))*1000,
       NA()))</f>
        <v>2.6</v>
      </c>
      <c r="I143">
        <f>IF(ISNUMBER(Raw_from_worldbank!G147),Raw_from_worldbank!G147,  IF(ISNUMBER(SEARCH("k",Raw_from_worldbank!G147)),
       VALUE(SUBSTITUTE(LOWER(Raw_from_worldbank!G147),"k",""))*1000,
       NA()))</f>
        <v>2.6</v>
      </c>
      <c r="J143">
        <f>IF(ISNUMBER(Raw_from_worldbank!H147),Raw_from_worldbank!H147,  IF(ISNUMBER(SEARCH("k",Raw_from_worldbank!H147)),
       VALUE(SUBSTITUTE(LOWER(Raw_from_worldbank!H147),"k",""))*1000,
       NA()))</f>
        <v>2.5</v>
      </c>
    </row>
    <row r="144" spans="1:10" x14ac:dyDescent="0.3">
      <c r="A144" t="str">
        <f>VLOOKUP(LOWER(B144),[1]country_name_iso_mapping!$A:$C,3, FALSE)</f>
        <v>ROU</v>
      </c>
      <c r="B144" t="s">
        <v>143</v>
      </c>
      <c r="C144" t="s">
        <v>143</v>
      </c>
      <c r="D144">
        <f>IF(ISNUMBER(Raw_from_worldbank!B148),Raw_from_worldbank!B148,  IF(ISNUMBER(SEARCH("k",Raw_from_worldbank!B148)),
       VALUE(SUBSTITUTE(LOWER(Raw_from_worldbank!B148),"k",""))*1000,
       NA()))</f>
        <v>1.8</v>
      </c>
      <c r="E144">
        <f>IF(ISNUMBER(Raw_from_worldbank!C148),Raw_from_worldbank!C148,  IF(ISNUMBER(SEARCH("k",Raw_from_worldbank!C148)),
       VALUE(SUBSTITUTE(LOWER(Raw_from_worldbank!C148),"k",""))*1000,
       NA()))</f>
        <v>1.9</v>
      </c>
      <c r="F144">
        <f>IF(ISNUMBER(Raw_from_worldbank!D148),Raw_from_worldbank!D148,  IF(ISNUMBER(SEARCH("k",Raw_from_worldbank!D148)),
       VALUE(SUBSTITUTE(LOWER(Raw_from_worldbank!D148),"k",""))*1000,
       NA()))</f>
        <v>2</v>
      </c>
      <c r="G144">
        <f>IF(ISNUMBER(Raw_from_worldbank!E148),Raw_from_worldbank!E148,  IF(ISNUMBER(SEARCH("k",Raw_from_worldbank!E148)),
       VALUE(SUBSTITUTE(LOWER(Raw_from_worldbank!E148),"k",""))*1000,
       NA()))</f>
        <v>2.1</v>
      </c>
      <c r="H144">
        <f>IF(ISNUMBER(Raw_from_worldbank!F148),Raw_from_worldbank!F148,  IF(ISNUMBER(SEARCH("k",Raw_from_worldbank!F148)),
       VALUE(SUBSTITUTE(LOWER(Raw_from_worldbank!F148),"k",""))*1000,
       NA()))</f>
        <v>2.1</v>
      </c>
      <c r="I144">
        <f>IF(ISNUMBER(Raw_from_worldbank!G148),Raw_from_worldbank!G148,  IF(ISNUMBER(SEARCH("k",Raw_from_worldbank!G148)),
       VALUE(SUBSTITUTE(LOWER(Raw_from_worldbank!G148),"k",""))*1000,
       NA()))</f>
        <v>2.1</v>
      </c>
      <c r="J144">
        <f>IF(ISNUMBER(Raw_from_worldbank!H148),Raw_from_worldbank!H148,  IF(ISNUMBER(SEARCH("k",Raw_from_worldbank!H148)),
       VALUE(SUBSTITUTE(LOWER(Raw_from_worldbank!H148),"k",""))*1000,
       NA()))</f>
        <v>2.2000000000000002</v>
      </c>
    </row>
    <row r="145" spans="1:10" x14ac:dyDescent="0.3">
      <c r="A145" t="str">
        <f>VLOOKUP(LOWER(B145),[1]country_name_iso_mapping!$A:$C,3, FALSE)</f>
        <v>RUS</v>
      </c>
      <c r="B145" t="s">
        <v>144</v>
      </c>
      <c r="C145" t="s">
        <v>144</v>
      </c>
      <c r="D145">
        <f>IF(ISNUMBER(Raw_from_worldbank!B149),Raw_from_worldbank!B149,  IF(ISNUMBER(SEARCH("k",Raw_from_worldbank!B149)),
       VALUE(SUBSTITUTE(LOWER(Raw_from_worldbank!B149),"k",""))*1000,
       NA()))</f>
        <v>29.8</v>
      </c>
      <c r="E145">
        <f>IF(ISNUMBER(Raw_from_worldbank!C149),Raw_from_worldbank!C149,  IF(ISNUMBER(SEARCH("k",Raw_from_worldbank!C149)),
       VALUE(SUBSTITUTE(LOWER(Raw_from_worldbank!C149),"k",""))*1000,
       NA()))</f>
        <v>32.200000000000003</v>
      </c>
      <c r="F145">
        <f>IF(ISNUMBER(Raw_from_worldbank!D149),Raw_from_worldbank!D149,  IF(ISNUMBER(SEARCH("k",Raw_from_worldbank!D149)),
       VALUE(SUBSTITUTE(LOWER(Raw_from_worldbank!D149),"k",""))*1000,
       NA()))</f>
        <v>33</v>
      </c>
      <c r="G145">
        <f>IF(ISNUMBER(Raw_from_worldbank!E149),Raw_from_worldbank!E149,  IF(ISNUMBER(SEARCH("k",Raw_from_worldbank!E149)),
       VALUE(SUBSTITUTE(LOWER(Raw_from_worldbank!E149),"k",""))*1000,
       NA()))</f>
        <v>33.799999999999997</v>
      </c>
      <c r="H145">
        <f>IF(ISNUMBER(Raw_from_worldbank!F149),Raw_from_worldbank!F149,  IF(ISNUMBER(SEARCH("k",Raw_from_worldbank!F149)),
       VALUE(SUBSTITUTE(LOWER(Raw_from_worldbank!F149),"k",""))*1000,
       NA()))</f>
        <v>34.4</v>
      </c>
      <c r="I145">
        <f>IF(ISNUMBER(Raw_from_worldbank!G149),Raw_from_worldbank!G149,  IF(ISNUMBER(SEARCH("k",Raw_from_worldbank!G149)),
       VALUE(SUBSTITUTE(LOWER(Raw_from_worldbank!G149),"k",""))*1000,
       NA()))</f>
        <v>34.6</v>
      </c>
      <c r="J145">
        <f>IF(ISNUMBER(Raw_from_worldbank!H149),Raw_from_worldbank!H149,  IF(ISNUMBER(SEARCH("k",Raw_from_worldbank!H149)),
       VALUE(SUBSTITUTE(LOWER(Raw_from_worldbank!H149),"k",""))*1000,
       NA()))</f>
        <v>34.9</v>
      </c>
    </row>
    <row r="146" spans="1:10" x14ac:dyDescent="0.3">
      <c r="A146" t="str">
        <f>VLOOKUP(LOWER(B146),[1]country_name_iso_mapping!$A:$C,3, FALSE)</f>
        <v>RWA</v>
      </c>
      <c r="B146" t="s">
        <v>145</v>
      </c>
      <c r="C146" t="s">
        <v>145</v>
      </c>
      <c r="D146">
        <f>IF(ISNUMBER(Raw_from_worldbank!B150),Raw_from_worldbank!B150,  IF(ISNUMBER(SEARCH("k",Raw_from_worldbank!B150)),
       VALUE(SUBSTITUTE(LOWER(Raw_from_worldbank!B150),"k",""))*1000,
       NA()))</f>
        <v>329.2</v>
      </c>
      <c r="E146">
        <f>IF(ISNUMBER(Raw_from_worldbank!C150),Raw_from_worldbank!C150,  IF(ISNUMBER(SEARCH("k",Raw_from_worldbank!C150)),
       VALUE(SUBSTITUTE(LOWER(Raw_from_worldbank!C150),"k",""))*1000,
       NA()))</f>
        <v>356.8</v>
      </c>
      <c r="F146">
        <f>IF(ISNUMBER(Raw_from_worldbank!D150),Raw_from_worldbank!D150,  IF(ISNUMBER(SEARCH("k",Raw_from_worldbank!D150)),
       VALUE(SUBSTITUTE(LOWER(Raw_from_worldbank!D150),"k",""))*1000,
       NA()))</f>
        <v>381.8</v>
      </c>
      <c r="G146">
        <f>IF(ISNUMBER(Raw_from_worldbank!E150),Raw_from_worldbank!E150,  IF(ISNUMBER(SEARCH("k",Raw_from_worldbank!E150)),
       VALUE(SUBSTITUTE(LOWER(Raw_from_worldbank!E150),"k",""))*1000,
       NA()))</f>
        <v>395.3</v>
      </c>
      <c r="H146">
        <f>IF(ISNUMBER(Raw_from_worldbank!F150),Raw_from_worldbank!F150,  IF(ISNUMBER(SEARCH("k",Raw_from_worldbank!F150)),
       VALUE(SUBSTITUTE(LOWER(Raw_from_worldbank!F150),"k",""))*1000,
       NA()))</f>
        <v>407.9</v>
      </c>
      <c r="I146">
        <f>IF(ISNUMBER(Raw_from_worldbank!G150),Raw_from_worldbank!G150,  IF(ISNUMBER(SEARCH("k",Raw_from_worldbank!G150)),
       VALUE(SUBSTITUTE(LOWER(Raw_from_worldbank!G150),"k",""))*1000,
       NA()))</f>
        <v>420.3</v>
      </c>
      <c r="J146">
        <f>IF(ISNUMBER(Raw_from_worldbank!H150),Raw_from_worldbank!H150,  IF(ISNUMBER(SEARCH("k",Raw_from_worldbank!H150)),
       VALUE(SUBSTITUTE(LOWER(Raw_from_worldbank!H150),"k",""))*1000,
       NA()))</f>
        <v>433</v>
      </c>
    </row>
    <row r="147" spans="1:10" x14ac:dyDescent="0.3">
      <c r="A147" t="str">
        <f>VLOOKUP(LOWER(B147),[1]country_name_iso_mapping!$A:$C,3, FALSE)</f>
        <v>WSM</v>
      </c>
      <c r="B147" t="s">
        <v>146</v>
      </c>
      <c r="C147" t="s">
        <v>146</v>
      </c>
      <c r="D147">
        <f>IF(ISNUMBER(Raw_from_worldbank!B151),Raw_from_worldbank!B151,  IF(ISNUMBER(SEARCH("k",Raw_from_worldbank!B151)),
       VALUE(SUBSTITUTE(LOWER(Raw_from_worldbank!B151),"k",""))*1000,
       NA()))</f>
        <v>1.9</v>
      </c>
      <c r="E147">
        <f>IF(ISNUMBER(Raw_from_worldbank!C151),Raw_from_worldbank!C151,  IF(ISNUMBER(SEARCH("k",Raw_from_worldbank!C151)),
       VALUE(SUBSTITUTE(LOWER(Raw_from_worldbank!C151),"k",""))*1000,
       NA()))</f>
        <v>1.8</v>
      </c>
      <c r="F147">
        <f>IF(ISNUMBER(Raw_from_worldbank!D151),Raw_from_worldbank!D151,  IF(ISNUMBER(SEARCH("k",Raw_from_worldbank!D151)),
       VALUE(SUBSTITUTE(LOWER(Raw_from_worldbank!D151),"k",""))*1000,
       NA()))</f>
        <v>1.9</v>
      </c>
      <c r="G147">
        <f>IF(ISNUMBER(Raw_from_worldbank!E151),Raw_from_worldbank!E151,  IF(ISNUMBER(SEARCH("k",Raw_from_worldbank!E151)),
       VALUE(SUBSTITUTE(LOWER(Raw_from_worldbank!E151),"k",""))*1000,
       NA()))</f>
        <v>2</v>
      </c>
      <c r="H147">
        <f>IF(ISNUMBER(Raw_from_worldbank!F151),Raw_from_worldbank!F151,  IF(ISNUMBER(SEARCH("k",Raw_from_worldbank!F151)),
       VALUE(SUBSTITUTE(LOWER(Raw_from_worldbank!F151),"k",""))*1000,
       NA()))</f>
        <v>2</v>
      </c>
      <c r="I147">
        <f>IF(ISNUMBER(Raw_from_worldbank!G151),Raw_from_worldbank!G151,  IF(ISNUMBER(SEARCH("k",Raw_from_worldbank!G151)),
       VALUE(SUBSTITUTE(LOWER(Raw_from_worldbank!G151),"k",""))*1000,
       NA()))</f>
        <v>2</v>
      </c>
      <c r="J147">
        <f>IF(ISNUMBER(Raw_from_worldbank!H151),Raw_from_worldbank!H151,  IF(ISNUMBER(SEARCH("k",Raw_from_worldbank!H151)),
       VALUE(SUBSTITUTE(LOWER(Raw_from_worldbank!H151),"k",""))*1000,
       NA()))</f>
        <v>2.1</v>
      </c>
    </row>
    <row r="148" spans="1:10" x14ac:dyDescent="0.3">
      <c r="A148" t="str">
        <f>VLOOKUP(LOWER(B148),[1]country_name_iso_mapping!$A:$C,3, FALSE)</f>
        <v>SMR</v>
      </c>
      <c r="B148" t="s">
        <v>147</v>
      </c>
      <c r="C148" t="s">
        <v>147</v>
      </c>
      <c r="D148">
        <f>IF(ISNUMBER(Raw_from_worldbank!B152),Raw_from_worldbank!B152,  IF(ISNUMBER(SEARCH("k",Raw_from_worldbank!B152)),
       VALUE(SUBSTITUTE(LOWER(Raw_from_worldbank!B152),"k",""))*1000,
       NA()))</f>
        <v>0.65</v>
      </c>
      <c r="E148">
        <f>IF(ISNUMBER(Raw_from_worldbank!C152),Raw_from_worldbank!C152,  IF(ISNUMBER(SEARCH("k",Raw_from_worldbank!C152)),
       VALUE(SUBSTITUTE(LOWER(Raw_from_worldbank!C152),"k",""))*1000,
       NA()))</f>
        <v>0.63</v>
      </c>
      <c r="F148">
        <f>IF(ISNUMBER(Raw_from_worldbank!D152),Raw_from_worldbank!D152,  IF(ISNUMBER(SEARCH("k",Raw_from_worldbank!D152)),
       VALUE(SUBSTITUTE(LOWER(Raw_from_worldbank!D152),"k",""))*1000,
       NA()))</f>
        <v>0.63</v>
      </c>
      <c r="G148">
        <f>IF(ISNUMBER(Raw_from_worldbank!E152),Raw_from_worldbank!E152,  IF(ISNUMBER(SEARCH("k",Raw_from_worldbank!E152)),
       VALUE(SUBSTITUTE(LOWER(Raw_from_worldbank!E152),"k",""))*1000,
       NA()))</f>
        <v>0.63</v>
      </c>
      <c r="H148">
        <f>IF(ISNUMBER(Raw_from_worldbank!F152),Raw_from_worldbank!F152,  IF(ISNUMBER(SEARCH("k",Raw_from_worldbank!F152)),
       VALUE(SUBSTITUTE(LOWER(Raw_from_worldbank!F152),"k",""))*1000,
       NA()))</f>
        <v>0.64</v>
      </c>
      <c r="I148">
        <f>IF(ISNUMBER(Raw_from_worldbank!G152),Raw_from_worldbank!G152,  IF(ISNUMBER(SEARCH("k",Raw_from_worldbank!G152)),
       VALUE(SUBSTITUTE(LOWER(Raw_from_worldbank!G152),"k",""))*1000,
       NA()))</f>
        <v>0.64</v>
      </c>
      <c r="J148">
        <f>IF(ISNUMBER(Raw_from_worldbank!H152),Raw_from_worldbank!H152,  IF(ISNUMBER(SEARCH("k",Raw_from_worldbank!H152)),
       VALUE(SUBSTITUTE(LOWER(Raw_from_worldbank!H152),"k",""))*1000,
       NA()))</f>
        <v>0.64</v>
      </c>
    </row>
    <row r="149" spans="1:10" x14ac:dyDescent="0.3">
      <c r="A149" t="str">
        <f>VLOOKUP(LOWER(B149),[1]country_name_iso_mapping!$A:$C,3, FALSE)</f>
        <v>STP</v>
      </c>
      <c r="B149" t="s">
        <v>148</v>
      </c>
      <c r="C149" t="s">
        <v>148</v>
      </c>
      <c r="D149">
        <f>IF(ISNUMBER(Raw_from_worldbank!B153),Raw_from_worldbank!B153,  IF(ISNUMBER(SEARCH("k",Raw_from_worldbank!B153)),
       VALUE(SUBSTITUTE(LOWER(Raw_from_worldbank!B153),"k",""))*1000,
       NA()))</f>
        <v>12.7</v>
      </c>
      <c r="E149">
        <f>IF(ISNUMBER(Raw_from_worldbank!C153),Raw_from_worldbank!C153,  IF(ISNUMBER(SEARCH("k",Raw_from_worldbank!C153)),
       VALUE(SUBSTITUTE(LOWER(Raw_from_worldbank!C153),"k",""))*1000,
       NA()))</f>
        <v>13.8</v>
      </c>
      <c r="F149">
        <f>IF(ISNUMBER(Raw_from_worldbank!D153),Raw_from_worldbank!D153,  IF(ISNUMBER(SEARCH("k",Raw_from_worldbank!D153)),
       VALUE(SUBSTITUTE(LOWER(Raw_from_worldbank!D153),"k",""))*1000,
       NA()))</f>
        <v>15.6</v>
      </c>
      <c r="G149">
        <f>IF(ISNUMBER(Raw_from_worldbank!E153),Raw_from_worldbank!E153,  IF(ISNUMBER(SEARCH("k",Raw_from_worldbank!E153)),
       VALUE(SUBSTITUTE(LOWER(Raw_from_worldbank!E153),"k",""))*1000,
       NA()))</f>
        <v>16.8</v>
      </c>
      <c r="H149">
        <f>IF(ISNUMBER(Raw_from_worldbank!F153),Raw_from_worldbank!F153,  IF(ISNUMBER(SEARCH("k",Raw_from_worldbank!F153)),
       VALUE(SUBSTITUTE(LOWER(Raw_from_worldbank!F153),"k",""))*1000,
       NA()))</f>
        <v>17.3</v>
      </c>
      <c r="I149">
        <f>IF(ISNUMBER(Raw_from_worldbank!G153),Raw_from_worldbank!G153,  IF(ISNUMBER(SEARCH("k",Raw_from_worldbank!G153)),
       VALUE(SUBSTITUTE(LOWER(Raw_from_worldbank!G153),"k",""))*1000,
       NA()))</f>
        <v>17.899999999999999</v>
      </c>
      <c r="J149">
        <f>IF(ISNUMBER(Raw_from_worldbank!H153),Raw_from_worldbank!H153,  IF(ISNUMBER(SEARCH("k",Raw_from_worldbank!H153)),
       VALUE(SUBSTITUTE(LOWER(Raw_from_worldbank!H153),"k",""))*1000,
       NA()))</f>
        <v>18.399999999999999</v>
      </c>
    </row>
    <row r="150" spans="1:10" x14ac:dyDescent="0.3">
      <c r="A150" t="str">
        <f>VLOOKUP(LOWER(B150),[1]country_name_iso_mapping!$A:$C,3, FALSE)</f>
        <v>SAU</v>
      </c>
      <c r="B150" t="s">
        <v>149</v>
      </c>
      <c r="C150" t="s">
        <v>149</v>
      </c>
      <c r="D150">
        <f>IF(ISNUMBER(Raw_from_worldbank!B154),Raw_from_worldbank!B154,  IF(ISNUMBER(SEARCH("k",Raw_from_worldbank!B154)),
       VALUE(SUBSTITUTE(LOWER(Raw_from_worldbank!B154),"k",""))*1000,
       NA()))</f>
        <v>1.7</v>
      </c>
      <c r="E150">
        <f>IF(ISNUMBER(Raw_from_worldbank!C154),Raw_from_worldbank!C154,  IF(ISNUMBER(SEARCH("k",Raw_from_worldbank!C154)),
       VALUE(SUBSTITUTE(LOWER(Raw_from_worldbank!C154),"k",""))*1000,
       NA()))</f>
        <v>1.9</v>
      </c>
      <c r="F150">
        <f>IF(ISNUMBER(Raw_from_worldbank!D154),Raw_from_worldbank!D154,  IF(ISNUMBER(SEARCH("k",Raw_from_worldbank!D154)),
       VALUE(SUBSTITUTE(LOWER(Raw_from_worldbank!D154),"k",""))*1000,
       NA()))</f>
        <v>1.8</v>
      </c>
      <c r="G150">
        <f>IF(ISNUMBER(Raw_from_worldbank!E154),Raw_from_worldbank!E154,  IF(ISNUMBER(SEARCH("k",Raw_from_worldbank!E154)),
       VALUE(SUBSTITUTE(LOWER(Raw_from_worldbank!E154),"k",""))*1000,
       NA()))</f>
        <v>1.8</v>
      </c>
      <c r="H150">
        <f>IF(ISNUMBER(Raw_from_worldbank!F154),Raw_from_worldbank!F154,  IF(ISNUMBER(SEARCH("k",Raw_from_worldbank!F154)),
       VALUE(SUBSTITUTE(LOWER(Raw_from_worldbank!F154),"k",""))*1000,
       NA()))</f>
        <v>1.7</v>
      </c>
      <c r="I150">
        <f>IF(ISNUMBER(Raw_from_worldbank!G154),Raw_from_worldbank!G154,  IF(ISNUMBER(SEARCH("k",Raw_from_worldbank!G154)),
       VALUE(SUBSTITUTE(LOWER(Raw_from_worldbank!G154),"k",""))*1000,
       NA()))</f>
        <v>1.7</v>
      </c>
      <c r="J150">
        <f>IF(ISNUMBER(Raw_from_worldbank!H154),Raw_from_worldbank!H154,  IF(ISNUMBER(SEARCH("k",Raw_from_worldbank!H154)),
       VALUE(SUBSTITUTE(LOWER(Raw_from_worldbank!H154),"k",""))*1000,
       NA()))</f>
        <v>1.7</v>
      </c>
    </row>
    <row r="151" spans="1:10" x14ac:dyDescent="0.3">
      <c r="A151" t="str">
        <f>VLOOKUP(LOWER(B151),[1]country_name_iso_mapping!$A:$C,3, FALSE)</f>
        <v>SEN</v>
      </c>
      <c r="B151" t="s">
        <v>150</v>
      </c>
      <c r="C151" t="s">
        <v>150</v>
      </c>
      <c r="D151">
        <f>IF(ISNUMBER(Raw_from_worldbank!B155),Raw_from_worldbank!B155,  IF(ISNUMBER(SEARCH("k",Raw_from_worldbank!B155)),
       VALUE(SUBSTITUTE(LOWER(Raw_from_worldbank!B155),"k",""))*1000,
       NA()))</f>
        <v>234.1</v>
      </c>
      <c r="E151">
        <f>IF(ISNUMBER(Raw_from_worldbank!C155),Raw_from_worldbank!C155,  IF(ISNUMBER(SEARCH("k",Raw_from_worldbank!C155)),
       VALUE(SUBSTITUTE(LOWER(Raw_from_worldbank!C155),"k",""))*1000,
       NA()))</f>
        <v>237.5</v>
      </c>
      <c r="F151">
        <f>IF(ISNUMBER(Raw_from_worldbank!D155),Raw_from_worldbank!D155,  IF(ISNUMBER(SEARCH("k",Raw_from_worldbank!D155)),
       VALUE(SUBSTITUTE(LOWER(Raw_from_worldbank!D155),"k",""))*1000,
       NA()))</f>
        <v>241.3</v>
      </c>
      <c r="G151">
        <f>IF(ISNUMBER(Raw_from_worldbank!E155),Raw_from_worldbank!E155,  IF(ISNUMBER(SEARCH("k",Raw_from_worldbank!E155)),
       VALUE(SUBSTITUTE(LOWER(Raw_from_worldbank!E155),"k",""))*1000,
       NA()))</f>
        <v>244.4</v>
      </c>
      <c r="H151">
        <f>IF(ISNUMBER(Raw_from_worldbank!F155),Raw_from_worldbank!F155,  IF(ISNUMBER(SEARCH("k",Raw_from_worldbank!F155)),
       VALUE(SUBSTITUTE(LOWER(Raw_from_worldbank!F155),"k",""))*1000,
       NA()))</f>
        <v>244.9</v>
      </c>
      <c r="I151">
        <f>IF(ISNUMBER(Raw_from_worldbank!G155),Raw_from_worldbank!G155,  IF(ISNUMBER(SEARCH("k",Raw_from_worldbank!G155)),
       VALUE(SUBSTITUTE(LOWER(Raw_from_worldbank!G155),"k",""))*1000,
       NA()))</f>
        <v>245.2</v>
      </c>
      <c r="J151">
        <f>IF(ISNUMBER(Raw_from_worldbank!H155),Raw_from_worldbank!H155,  IF(ISNUMBER(SEARCH("k",Raw_from_worldbank!H155)),
       VALUE(SUBSTITUTE(LOWER(Raw_from_worldbank!H155),"k",""))*1000,
       NA()))</f>
        <v>245.4</v>
      </c>
    </row>
    <row r="152" spans="1:10" x14ac:dyDescent="0.3">
      <c r="A152" t="str">
        <f>VLOOKUP(LOWER(B152),[1]country_name_iso_mapping!$A:$C,3, FALSE)</f>
        <v>SRB</v>
      </c>
      <c r="B152" t="s">
        <v>151</v>
      </c>
      <c r="C152" t="s">
        <v>151</v>
      </c>
      <c r="D152">
        <f>IF(ISNUMBER(Raw_from_worldbank!B156),Raw_from_worldbank!B156,  IF(ISNUMBER(SEARCH("k",Raw_from_worldbank!B156)),
       VALUE(SUBSTITUTE(LOWER(Raw_from_worldbank!B156),"k",""))*1000,
       NA()))</f>
        <v>41.9</v>
      </c>
      <c r="E152">
        <f>IF(ISNUMBER(Raw_from_worldbank!C156),Raw_from_worldbank!C156,  IF(ISNUMBER(SEARCH("k",Raw_from_worldbank!C156)),
       VALUE(SUBSTITUTE(LOWER(Raw_from_worldbank!C156),"k",""))*1000,
       NA()))</f>
        <v>43.2</v>
      </c>
      <c r="F152">
        <f>IF(ISNUMBER(Raw_from_worldbank!D156),Raw_from_worldbank!D156,  IF(ISNUMBER(SEARCH("k",Raw_from_worldbank!D156)),
       VALUE(SUBSTITUTE(LOWER(Raw_from_worldbank!D156),"k",""))*1000,
       NA()))</f>
        <v>46.7</v>
      </c>
      <c r="G152">
        <f>IF(ISNUMBER(Raw_from_worldbank!E156),Raw_from_worldbank!E156,  IF(ISNUMBER(SEARCH("k",Raw_from_worldbank!E156)),
       VALUE(SUBSTITUTE(LOWER(Raw_from_worldbank!E156),"k",""))*1000,
       NA()))</f>
        <v>48.2</v>
      </c>
      <c r="H152">
        <f>IF(ISNUMBER(Raw_from_worldbank!F156),Raw_from_worldbank!F156,  IF(ISNUMBER(SEARCH("k",Raw_from_worldbank!F156)),
       VALUE(SUBSTITUTE(LOWER(Raw_from_worldbank!F156),"k",""))*1000,
       NA()))</f>
        <v>48.9</v>
      </c>
      <c r="I152">
        <f>IF(ISNUMBER(Raw_from_worldbank!G156),Raw_from_worldbank!G156,  IF(ISNUMBER(SEARCH("k",Raw_from_worldbank!G156)),
       VALUE(SUBSTITUTE(LOWER(Raw_from_worldbank!G156),"k",""))*1000,
       NA()))</f>
        <v>49.5</v>
      </c>
      <c r="J152">
        <f>IF(ISNUMBER(Raw_from_worldbank!H156),Raw_from_worldbank!H156,  IF(ISNUMBER(SEARCH("k",Raw_from_worldbank!H156)),
       VALUE(SUBSTITUTE(LOWER(Raw_from_worldbank!H156),"k",""))*1000,
       NA()))</f>
        <v>50.1</v>
      </c>
    </row>
    <row r="153" spans="1:10" x14ac:dyDescent="0.3">
      <c r="A153" t="str">
        <f>VLOOKUP(LOWER(B153),[1]country_name_iso_mapping!$A:$C,3, FALSE)</f>
        <v>SYC</v>
      </c>
      <c r="B153" t="s">
        <v>152</v>
      </c>
      <c r="C153" t="s">
        <v>152</v>
      </c>
      <c r="D153">
        <f>IF(ISNUMBER(Raw_from_worldbank!B157),Raw_from_worldbank!B157,  IF(ISNUMBER(SEARCH("k",Raw_from_worldbank!B157)),
       VALUE(SUBSTITUTE(LOWER(Raw_from_worldbank!B157),"k",""))*1000,
       NA()))</f>
        <v>8.1</v>
      </c>
      <c r="E153">
        <f>IF(ISNUMBER(Raw_from_worldbank!C157),Raw_from_worldbank!C157,  IF(ISNUMBER(SEARCH("k",Raw_from_worldbank!C157)),
       VALUE(SUBSTITUTE(LOWER(Raw_from_worldbank!C157),"k",""))*1000,
       NA()))</f>
        <v>7.7</v>
      </c>
      <c r="F153">
        <f>IF(ISNUMBER(Raw_from_worldbank!D157),Raw_from_worldbank!D157,  IF(ISNUMBER(SEARCH("k",Raw_from_worldbank!D157)),
       VALUE(SUBSTITUTE(LOWER(Raw_from_worldbank!D157),"k",""))*1000,
       NA()))</f>
        <v>7.3</v>
      </c>
      <c r="G153">
        <f>IF(ISNUMBER(Raw_from_worldbank!E157),Raw_from_worldbank!E157,  IF(ISNUMBER(SEARCH("k",Raw_from_worldbank!E157)),
       VALUE(SUBSTITUTE(LOWER(Raw_from_worldbank!E157),"k",""))*1000,
       NA()))</f>
        <v>7.2</v>
      </c>
      <c r="H153">
        <f>IF(ISNUMBER(Raw_from_worldbank!F157),Raw_from_worldbank!F157,  IF(ISNUMBER(SEARCH("k",Raw_from_worldbank!F157)),
       VALUE(SUBSTITUTE(LOWER(Raw_from_worldbank!F157),"k",""))*1000,
       NA()))</f>
        <v>7.2</v>
      </c>
      <c r="I153">
        <f>IF(ISNUMBER(Raw_from_worldbank!G157),Raw_from_worldbank!G157,  IF(ISNUMBER(SEARCH("k",Raw_from_worldbank!G157)),
       VALUE(SUBSTITUTE(LOWER(Raw_from_worldbank!G157),"k",""))*1000,
       NA()))</f>
        <v>7.2</v>
      </c>
      <c r="J153">
        <f>IF(ISNUMBER(Raw_from_worldbank!H157),Raw_from_worldbank!H157,  IF(ISNUMBER(SEARCH("k",Raw_from_worldbank!H157)),
       VALUE(SUBSTITUTE(LOWER(Raw_from_worldbank!H157),"k",""))*1000,
       NA()))</f>
        <v>7.3</v>
      </c>
    </row>
    <row r="154" spans="1:10" x14ac:dyDescent="0.3">
      <c r="A154" t="str">
        <f>VLOOKUP(LOWER(B154),[1]country_name_iso_mapping!$A:$C,3, FALSE)</f>
        <v>SLE</v>
      </c>
      <c r="B154" t="s">
        <v>153</v>
      </c>
      <c r="C154" t="s">
        <v>153</v>
      </c>
      <c r="D154">
        <f>IF(ISNUMBER(Raw_from_worldbank!B158),Raw_from_worldbank!B158,  IF(ISNUMBER(SEARCH("k",Raw_from_worldbank!B158)),
       VALUE(SUBSTITUTE(LOWER(Raw_from_worldbank!B158),"k",""))*1000,
       NA()))</f>
        <v>3000</v>
      </c>
      <c r="E154">
        <f>IF(ISNUMBER(Raw_from_worldbank!C158),Raw_from_worldbank!C158,  IF(ISNUMBER(SEARCH("k",Raw_from_worldbank!C158)),
       VALUE(SUBSTITUTE(LOWER(Raw_from_worldbank!C158),"k",""))*1000,
       NA()))</f>
        <v>3500</v>
      </c>
      <c r="F154">
        <f>IF(ISNUMBER(Raw_from_worldbank!D158),Raw_from_worldbank!D158,  IF(ISNUMBER(SEARCH("k",Raw_from_worldbank!D158)),
       VALUE(SUBSTITUTE(LOWER(Raw_from_worldbank!D158),"k",""))*1000,
       NA()))</f>
        <v>4700</v>
      </c>
      <c r="G154">
        <f>IF(ISNUMBER(Raw_from_worldbank!E158),Raw_from_worldbank!E158,  IF(ISNUMBER(SEARCH("k",Raw_from_worldbank!E158)),
       VALUE(SUBSTITUTE(LOWER(Raw_from_worldbank!E158),"k",""))*1000,
       NA()))</f>
        <v>6100</v>
      </c>
      <c r="H154">
        <f>IF(ISNUMBER(Raw_from_worldbank!F158),Raw_from_worldbank!F158,  IF(ISNUMBER(SEARCH("k",Raw_from_worldbank!F158)),
       VALUE(SUBSTITUTE(LOWER(Raw_from_worldbank!F158),"k",""))*1000,
       NA()))</f>
        <v>6900</v>
      </c>
      <c r="I154">
        <f>IF(ISNUMBER(Raw_from_worldbank!G158),Raw_from_worldbank!G158,  IF(ISNUMBER(SEARCH("k",Raw_from_worldbank!G158)),
       VALUE(SUBSTITUTE(LOWER(Raw_from_worldbank!G158),"k",""))*1000,
       NA()))</f>
        <v>7500</v>
      </c>
      <c r="J154">
        <f>IF(ISNUMBER(Raw_from_worldbank!H158),Raw_from_worldbank!H158,  IF(ISNUMBER(SEARCH("k",Raw_from_worldbank!H158)),
       VALUE(SUBSTITUTE(LOWER(Raw_from_worldbank!H158),"k",""))*1000,
       NA()))</f>
        <v>8100</v>
      </c>
    </row>
    <row r="155" spans="1:10" x14ac:dyDescent="0.3">
      <c r="A155" t="str">
        <f>VLOOKUP(LOWER(B155),[1]country_name_iso_mapping!$A:$C,3, FALSE)</f>
        <v>SGP</v>
      </c>
      <c r="B155" t="s">
        <v>154</v>
      </c>
      <c r="C155" t="s">
        <v>154</v>
      </c>
      <c r="D155">
        <f>IF(ISNUMBER(Raw_from_worldbank!B159),Raw_from_worldbank!B159,  IF(ISNUMBER(SEARCH("k",Raw_from_worldbank!B159)),
       VALUE(SUBSTITUTE(LOWER(Raw_from_worldbank!B159),"k",""))*1000,
       NA()))</f>
        <v>0.89</v>
      </c>
      <c r="E155">
        <f>IF(ISNUMBER(Raw_from_worldbank!C159),Raw_from_worldbank!C159,  IF(ISNUMBER(SEARCH("k",Raw_from_worldbank!C159)),
       VALUE(SUBSTITUTE(LOWER(Raw_from_worldbank!C159),"k",""))*1000,
       NA()))</f>
        <v>0.95</v>
      </c>
      <c r="F155">
        <f>IF(ISNUMBER(Raw_from_worldbank!D159),Raw_from_worldbank!D159,  IF(ISNUMBER(SEARCH("k",Raw_from_worldbank!D159)),
       VALUE(SUBSTITUTE(LOWER(Raw_from_worldbank!D159),"k",""))*1000,
       NA()))</f>
        <v>0.89</v>
      </c>
      <c r="G155">
        <f>IF(ISNUMBER(Raw_from_worldbank!E159),Raw_from_worldbank!E159,  IF(ISNUMBER(SEARCH("k",Raw_from_worldbank!E159)),
       VALUE(SUBSTITUTE(LOWER(Raw_from_worldbank!E159),"k",""))*1000,
       NA()))</f>
        <v>0.89</v>
      </c>
      <c r="H155">
        <f>IF(ISNUMBER(Raw_from_worldbank!F159),Raw_from_worldbank!F159,  IF(ISNUMBER(SEARCH("k",Raw_from_worldbank!F159)),
       VALUE(SUBSTITUTE(LOWER(Raw_from_worldbank!F159),"k",""))*1000,
       NA()))</f>
        <v>0.9</v>
      </c>
      <c r="I155">
        <f>IF(ISNUMBER(Raw_from_worldbank!G159),Raw_from_worldbank!G159,  IF(ISNUMBER(SEARCH("k",Raw_from_worldbank!G159)),
       VALUE(SUBSTITUTE(LOWER(Raw_from_worldbank!G159),"k",""))*1000,
       NA()))</f>
        <v>0.9</v>
      </c>
      <c r="J155">
        <f>IF(ISNUMBER(Raw_from_worldbank!H159),Raw_from_worldbank!H159,  IF(ISNUMBER(SEARCH("k",Raw_from_worldbank!H159)),
       VALUE(SUBSTITUTE(LOWER(Raw_from_worldbank!H159),"k",""))*1000,
       NA()))</f>
        <v>0.9</v>
      </c>
    </row>
    <row r="156" spans="1:10" x14ac:dyDescent="0.3">
      <c r="A156" t="str">
        <f>VLOOKUP(LOWER(B156),[1]country_name_iso_mapping!$A:$C,3, FALSE)</f>
        <v>SVK</v>
      </c>
      <c r="B156" t="s">
        <v>283</v>
      </c>
      <c r="C156" t="s">
        <v>155</v>
      </c>
      <c r="D156">
        <f>IF(ISNUMBER(Raw_from_worldbank!B160),Raw_from_worldbank!B160,  IF(ISNUMBER(SEARCH("k",Raw_from_worldbank!B160)),
       VALUE(SUBSTITUTE(LOWER(Raw_from_worldbank!B160),"k",""))*1000,
       NA()))</f>
        <v>0.5</v>
      </c>
      <c r="E156">
        <f>IF(ISNUMBER(Raw_from_worldbank!C160),Raw_from_worldbank!C160,  IF(ISNUMBER(SEARCH("k",Raw_from_worldbank!C160)),
       VALUE(SUBSTITUTE(LOWER(Raw_from_worldbank!C160),"k",""))*1000,
       NA()))</f>
        <v>0.5</v>
      </c>
      <c r="F156">
        <f>IF(ISNUMBER(Raw_from_worldbank!D160),Raw_from_worldbank!D160,  IF(ISNUMBER(SEARCH("k",Raw_from_worldbank!D160)),
       VALUE(SUBSTITUTE(LOWER(Raw_from_worldbank!D160),"k",""))*1000,
       NA()))</f>
        <v>0.53</v>
      </c>
      <c r="G156">
        <f>IF(ISNUMBER(Raw_from_worldbank!E160),Raw_from_worldbank!E160,  IF(ISNUMBER(SEARCH("k",Raw_from_worldbank!E160)),
       VALUE(SUBSTITUTE(LOWER(Raw_from_worldbank!E160),"k",""))*1000,
       NA()))</f>
        <v>0.55000000000000004</v>
      </c>
      <c r="H156">
        <f>IF(ISNUMBER(Raw_from_worldbank!F160),Raw_from_worldbank!F160,  IF(ISNUMBER(SEARCH("k",Raw_from_worldbank!F160)),
       VALUE(SUBSTITUTE(LOWER(Raw_from_worldbank!F160),"k",""))*1000,
       NA()))</f>
        <v>0.56000000000000005</v>
      </c>
      <c r="I156">
        <f>IF(ISNUMBER(Raw_from_worldbank!G160),Raw_from_worldbank!G160,  IF(ISNUMBER(SEARCH("k",Raw_from_worldbank!G160)),
       VALUE(SUBSTITUTE(LOWER(Raw_from_worldbank!G160),"k",""))*1000,
       NA()))</f>
        <v>0.56000000000000005</v>
      </c>
      <c r="J156">
        <f>IF(ISNUMBER(Raw_from_worldbank!H160),Raw_from_worldbank!H160,  IF(ISNUMBER(SEARCH("k",Raw_from_worldbank!H160)),
       VALUE(SUBSTITUTE(LOWER(Raw_from_worldbank!H160),"k",""))*1000,
       NA()))</f>
        <v>0.56000000000000005</v>
      </c>
    </row>
    <row r="157" spans="1:10" x14ac:dyDescent="0.3">
      <c r="A157" t="str">
        <f>VLOOKUP(LOWER(B157),[1]country_name_iso_mapping!$A:$C,3, FALSE)</f>
        <v>SVN</v>
      </c>
      <c r="B157" t="s">
        <v>156</v>
      </c>
      <c r="C157" t="s">
        <v>156</v>
      </c>
      <c r="D157">
        <f>IF(ISNUMBER(Raw_from_worldbank!B161),Raw_from_worldbank!B161,  IF(ISNUMBER(SEARCH("k",Raw_from_worldbank!B161)),
       VALUE(SUBSTITUTE(LOWER(Raw_from_worldbank!B161),"k",""))*1000,
       NA()))</f>
        <v>0.56000000000000005</v>
      </c>
      <c r="E157">
        <f>IF(ISNUMBER(Raw_from_worldbank!C161),Raw_from_worldbank!C161,  IF(ISNUMBER(SEARCH("k",Raw_from_worldbank!C161)),
       VALUE(SUBSTITUTE(LOWER(Raw_from_worldbank!C161),"k",""))*1000,
       NA()))</f>
        <v>0.56000000000000005</v>
      </c>
      <c r="F157">
        <f>IF(ISNUMBER(Raw_from_worldbank!D161),Raw_from_worldbank!D161,  IF(ISNUMBER(SEARCH("k",Raw_from_worldbank!D161)),
       VALUE(SUBSTITUTE(LOWER(Raw_from_worldbank!D161),"k",""))*1000,
       NA()))</f>
        <v>0.57999999999999996</v>
      </c>
      <c r="G157">
        <f>IF(ISNUMBER(Raw_from_worldbank!E161),Raw_from_worldbank!E161,  IF(ISNUMBER(SEARCH("k",Raw_from_worldbank!E161)),
       VALUE(SUBSTITUTE(LOWER(Raw_from_worldbank!E161),"k",""))*1000,
       NA()))</f>
        <v>0.59</v>
      </c>
      <c r="H157">
        <f>IF(ISNUMBER(Raw_from_worldbank!F161),Raw_from_worldbank!F161,  IF(ISNUMBER(SEARCH("k",Raw_from_worldbank!F161)),
       VALUE(SUBSTITUTE(LOWER(Raw_from_worldbank!F161),"k",""))*1000,
       NA()))</f>
        <v>0.59</v>
      </c>
      <c r="I157">
        <f>IF(ISNUMBER(Raw_from_worldbank!G161),Raw_from_worldbank!G161,  IF(ISNUMBER(SEARCH("k",Raw_from_worldbank!G161)),
       VALUE(SUBSTITUTE(LOWER(Raw_from_worldbank!G161),"k",""))*1000,
       NA()))</f>
        <v>0.59</v>
      </c>
      <c r="J157">
        <f>IF(ISNUMBER(Raw_from_worldbank!H161),Raw_from_worldbank!H161,  IF(ISNUMBER(SEARCH("k",Raw_from_worldbank!H161)),
       VALUE(SUBSTITUTE(LOWER(Raw_from_worldbank!H161),"k",""))*1000,
       NA()))</f>
        <v>0.59</v>
      </c>
    </row>
    <row r="158" spans="1:10" x14ac:dyDescent="0.3">
      <c r="A158" t="str">
        <f>VLOOKUP(LOWER(B158),[1]country_name_iso_mapping!$A:$C,3, FALSE)</f>
        <v>SLB</v>
      </c>
      <c r="B158" t="s">
        <v>157</v>
      </c>
      <c r="C158" t="s">
        <v>157</v>
      </c>
      <c r="D158">
        <f>IF(ISNUMBER(Raw_from_worldbank!B162),Raw_from_worldbank!B162,  IF(ISNUMBER(SEARCH("k",Raw_from_worldbank!B162)),
       VALUE(SUBSTITUTE(LOWER(Raw_from_worldbank!B162),"k",""))*1000,
       NA()))</f>
        <v>7.3</v>
      </c>
      <c r="E158">
        <f>IF(ISNUMBER(Raw_from_worldbank!C162),Raw_from_worldbank!C162,  IF(ISNUMBER(SEARCH("k",Raw_from_worldbank!C162)),
       VALUE(SUBSTITUTE(LOWER(Raw_from_worldbank!C162),"k",""))*1000,
       NA()))</f>
        <v>7</v>
      </c>
      <c r="F158">
        <f>IF(ISNUMBER(Raw_from_worldbank!D162),Raw_from_worldbank!D162,  IF(ISNUMBER(SEARCH("k",Raw_from_worldbank!D162)),
       VALUE(SUBSTITUTE(LOWER(Raw_from_worldbank!D162),"k",""))*1000,
       NA()))</f>
        <v>7</v>
      </c>
      <c r="G158">
        <f>IF(ISNUMBER(Raw_from_worldbank!E162),Raw_from_worldbank!E162,  IF(ISNUMBER(SEARCH("k",Raw_from_worldbank!E162)),
       VALUE(SUBSTITUTE(LOWER(Raw_from_worldbank!E162),"k",""))*1000,
       NA()))</f>
        <v>7</v>
      </c>
      <c r="H158">
        <f>IF(ISNUMBER(Raw_from_worldbank!F162),Raw_from_worldbank!F162,  IF(ISNUMBER(SEARCH("k",Raw_from_worldbank!F162)),
       VALUE(SUBSTITUTE(LOWER(Raw_from_worldbank!F162),"k",""))*1000,
       NA()))</f>
        <v>7.2</v>
      </c>
      <c r="I158">
        <f>IF(ISNUMBER(Raw_from_worldbank!G162),Raw_from_worldbank!G162,  IF(ISNUMBER(SEARCH("k",Raw_from_worldbank!G162)),
       VALUE(SUBSTITUTE(LOWER(Raw_from_worldbank!G162),"k",""))*1000,
       NA()))</f>
        <v>7.3</v>
      </c>
      <c r="J158">
        <f>IF(ISNUMBER(Raw_from_worldbank!H162),Raw_from_worldbank!H162,  IF(ISNUMBER(SEARCH("k",Raw_from_worldbank!H162)),
       VALUE(SUBSTITUTE(LOWER(Raw_from_worldbank!H162),"k",""))*1000,
       NA()))</f>
        <v>7.4</v>
      </c>
    </row>
    <row r="159" spans="1:10" x14ac:dyDescent="0.3">
      <c r="A159" t="str">
        <f>VLOOKUP(LOWER(B159),[1]country_name_iso_mapping!$A:$C,3, FALSE)</f>
        <v>SOM</v>
      </c>
      <c r="B159" t="s">
        <v>158</v>
      </c>
      <c r="C159" t="s">
        <v>158</v>
      </c>
      <c r="D159">
        <f>IF(ISNUMBER(Raw_from_worldbank!B163),Raw_from_worldbank!B163,  IF(ISNUMBER(SEARCH("k",Raw_from_worldbank!B163)),
       VALUE(SUBSTITUTE(LOWER(Raw_from_worldbank!B163),"k",""))*1000,
       NA()))</f>
        <v>0.36</v>
      </c>
      <c r="E159">
        <f>IF(ISNUMBER(Raw_from_worldbank!C163),Raw_from_worldbank!C163,  IF(ISNUMBER(SEARCH("k",Raw_from_worldbank!C163)),
       VALUE(SUBSTITUTE(LOWER(Raw_from_worldbank!C163),"k",""))*1000,
       NA()))</f>
        <v>0.35</v>
      </c>
      <c r="F159">
        <f>IF(ISNUMBER(Raw_from_worldbank!D163),Raw_from_worldbank!D163,  IF(ISNUMBER(SEARCH("k",Raw_from_worldbank!D163)),
       VALUE(SUBSTITUTE(LOWER(Raw_from_worldbank!D163),"k",""))*1000,
       NA()))</f>
        <v>0.36</v>
      </c>
      <c r="G159">
        <f>IF(ISNUMBER(Raw_from_worldbank!E163),Raw_from_worldbank!E163,  IF(ISNUMBER(SEARCH("k",Raw_from_worldbank!E163)),
       VALUE(SUBSTITUTE(LOWER(Raw_from_worldbank!E163),"k",""))*1000,
       NA()))</f>
        <v>0.38</v>
      </c>
      <c r="H159">
        <f>IF(ISNUMBER(Raw_from_worldbank!F163),Raw_from_worldbank!F163,  IF(ISNUMBER(SEARCH("k",Raw_from_worldbank!F163)),
       VALUE(SUBSTITUTE(LOWER(Raw_from_worldbank!F163),"k",""))*1000,
       NA()))</f>
        <v>0.39</v>
      </c>
      <c r="I159">
        <f>IF(ISNUMBER(Raw_from_worldbank!G163),Raw_from_worldbank!G163,  IF(ISNUMBER(SEARCH("k",Raw_from_worldbank!G163)),
       VALUE(SUBSTITUTE(LOWER(Raw_from_worldbank!G163),"k",""))*1000,
       NA()))</f>
        <v>0.4</v>
      </c>
      <c r="J159">
        <f>IF(ISNUMBER(Raw_from_worldbank!H163),Raw_from_worldbank!H163,  IF(ISNUMBER(SEARCH("k",Raw_from_worldbank!H163)),
       VALUE(SUBSTITUTE(LOWER(Raw_from_worldbank!H163),"k",""))*1000,
       NA()))</f>
        <v>0.4</v>
      </c>
    </row>
    <row r="160" spans="1:10" x14ac:dyDescent="0.3">
      <c r="A160" t="str">
        <f>VLOOKUP(LOWER(B160),[1]country_name_iso_mapping!$A:$C,3, FALSE)</f>
        <v>ZAF</v>
      </c>
      <c r="B160" t="s">
        <v>159</v>
      </c>
      <c r="C160" t="s">
        <v>159</v>
      </c>
      <c r="D160">
        <f>IF(ISNUMBER(Raw_from_worldbank!B164),Raw_from_worldbank!B164,  IF(ISNUMBER(SEARCH("k",Raw_from_worldbank!B164)),
       VALUE(SUBSTITUTE(LOWER(Raw_from_worldbank!B164),"k",""))*1000,
       NA()))</f>
        <v>7.1</v>
      </c>
      <c r="E160">
        <f>IF(ISNUMBER(Raw_from_worldbank!C164),Raw_from_worldbank!C164,  IF(ISNUMBER(SEARCH("k",Raw_from_worldbank!C164)),
       VALUE(SUBSTITUTE(LOWER(Raw_from_worldbank!C164),"k",""))*1000,
       NA()))</f>
        <v>7</v>
      </c>
      <c r="F160">
        <f>IF(ISNUMBER(Raw_from_worldbank!D164),Raw_from_worldbank!D164,  IF(ISNUMBER(SEARCH("k",Raw_from_worldbank!D164)),
       VALUE(SUBSTITUTE(LOWER(Raw_from_worldbank!D164),"k",""))*1000,
       NA()))</f>
        <v>7</v>
      </c>
      <c r="G160">
        <f>IF(ISNUMBER(Raw_from_worldbank!E164),Raw_from_worldbank!E164,  IF(ISNUMBER(SEARCH("k",Raw_from_worldbank!E164)),
       VALUE(SUBSTITUTE(LOWER(Raw_from_worldbank!E164),"k",""))*1000,
       NA()))</f>
        <v>7.2</v>
      </c>
      <c r="H160">
        <f>IF(ISNUMBER(Raw_from_worldbank!F164),Raw_from_worldbank!F164,  IF(ISNUMBER(SEARCH("k",Raw_from_worldbank!F164)),
       VALUE(SUBSTITUTE(LOWER(Raw_from_worldbank!F164),"k",""))*1000,
       NA()))</f>
        <v>7.4</v>
      </c>
      <c r="I160">
        <f>IF(ISNUMBER(Raw_from_worldbank!G164),Raw_from_worldbank!G164,  IF(ISNUMBER(SEARCH("k",Raw_from_worldbank!G164)),
       VALUE(SUBSTITUTE(LOWER(Raw_from_worldbank!G164),"k",""))*1000,
       NA()))</f>
        <v>7.5</v>
      </c>
      <c r="J160">
        <f>IF(ISNUMBER(Raw_from_worldbank!H164),Raw_from_worldbank!H164,  IF(ISNUMBER(SEARCH("k",Raw_from_worldbank!H164)),
       VALUE(SUBSTITUTE(LOWER(Raw_from_worldbank!H164),"k",""))*1000,
       NA()))</f>
        <v>7.7</v>
      </c>
    </row>
    <row r="161" spans="1:10" x14ac:dyDescent="0.3">
      <c r="A161" t="str">
        <f>VLOOKUP(LOWER(B161),[1]country_name_iso_mapping!$A:$C,3, FALSE)</f>
        <v>SSD</v>
      </c>
      <c r="B161" t="s">
        <v>160</v>
      </c>
      <c r="C161" t="s">
        <v>160</v>
      </c>
      <c r="D161">
        <f>IF(ISNUMBER(Raw_from_worldbank!B165),Raw_from_worldbank!B165,  IF(ISNUMBER(SEARCH("k",Raw_from_worldbank!B165)),
       VALUE(SUBSTITUTE(LOWER(Raw_from_worldbank!B165),"k",""))*1000,
       NA()))</f>
        <v>297.10000000000002</v>
      </c>
      <c r="E161">
        <f>IF(ISNUMBER(Raw_from_worldbank!C165),Raw_from_worldbank!C165,  IF(ISNUMBER(SEARCH("k",Raw_from_worldbank!C165)),
       VALUE(SUBSTITUTE(LOWER(Raw_from_worldbank!C165),"k",""))*1000,
       NA()))</f>
        <v>685.8</v>
      </c>
      <c r="F161">
        <f>IF(ISNUMBER(Raw_from_worldbank!D165),Raw_from_worldbank!D165,  IF(ISNUMBER(SEARCH("k",Raw_from_worldbank!D165)),
       VALUE(SUBSTITUTE(LOWER(Raw_from_worldbank!D165),"k",""))*1000,
       NA()))</f>
        <v>1000</v>
      </c>
      <c r="G161">
        <f>IF(ISNUMBER(Raw_from_worldbank!E165),Raw_from_worldbank!E165,  IF(ISNUMBER(SEARCH("k",Raw_from_worldbank!E165)),
       VALUE(SUBSTITUTE(LOWER(Raw_from_worldbank!E165),"k",""))*1000,
       NA()))</f>
        <v>1500</v>
      </c>
      <c r="H161">
        <f>IF(ISNUMBER(Raw_from_worldbank!F165),Raw_from_worldbank!F165,  IF(ISNUMBER(SEARCH("k",Raw_from_worldbank!F165)),
       VALUE(SUBSTITUTE(LOWER(Raw_from_worldbank!F165),"k",""))*1000,
       NA()))</f>
        <v>1800</v>
      </c>
      <c r="I161">
        <f>IF(ISNUMBER(Raw_from_worldbank!G165),Raw_from_worldbank!G165,  IF(ISNUMBER(SEARCH("k",Raw_from_worldbank!G165)),
       VALUE(SUBSTITUTE(LOWER(Raw_from_worldbank!G165),"k",""))*1000,
       NA()))</f>
        <v>2000</v>
      </c>
      <c r="J161">
        <f>IF(ISNUMBER(Raw_from_worldbank!H165),Raw_from_worldbank!H165,  IF(ISNUMBER(SEARCH("k",Raw_from_worldbank!H165)),
       VALUE(SUBSTITUTE(LOWER(Raw_from_worldbank!H165),"k",""))*1000,
       NA()))</f>
        <v>2100</v>
      </c>
    </row>
    <row r="162" spans="1:10" x14ac:dyDescent="0.3">
      <c r="A162" t="str">
        <f>VLOOKUP(LOWER(B162),[1]country_name_iso_mapping!$A:$C,3, FALSE)</f>
        <v>ESP</v>
      </c>
      <c r="B162" t="s">
        <v>161</v>
      </c>
      <c r="C162" t="s">
        <v>161</v>
      </c>
      <c r="D162">
        <f>IF(ISNUMBER(Raw_from_worldbank!B166),Raw_from_worldbank!B166,  IF(ISNUMBER(SEARCH("k",Raw_from_worldbank!B166)),
       VALUE(SUBSTITUTE(LOWER(Raw_from_worldbank!B166),"k",""))*1000,
       NA()))</f>
        <v>0.61</v>
      </c>
      <c r="E162">
        <f>IF(ISNUMBER(Raw_from_worldbank!C166),Raw_from_worldbank!C166,  IF(ISNUMBER(SEARCH("k",Raw_from_worldbank!C166)),
       VALUE(SUBSTITUTE(LOWER(Raw_from_worldbank!C166),"k",""))*1000,
       NA()))</f>
        <v>0.59</v>
      </c>
      <c r="F162">
        <f>IF(ISNUMBER(Raw_from_worldbank!D166),Raw_from_worldbank!D166,  IF(ISNUMBER(SEARCH("k",Raw_from_worldbank!D166)),
       VALUE(SUBSTITUTE(LOWER(Raw_from_worldbank!D166),"k",""))*1000,
       NA()))</f>
        <v>0.61</v>
      </c>
      <c r="G162">
        <f>IF(ISNUMBER(Raw_from_worldbank!E166),Raw_from_worldbank!E166,  IF(ISNUMBER(SEARCH("k",Raw_from_worldbank!E166)),
       VALUE(SUBSTITUTE(LOWER(Raw_from_worldbank!E166),"k",""))*1000,
       NA()))</f>
        <v>0.61</v>
      </c>
      <c r="H162">
        <f>IF(ISNUMBER(Raw_from_worldbank!F166),Raw_from_worldbank!F166,  IF(ISNUMBER(SEARCH("k",Raw_from_worldbank!F166)),
       VALUE(SUBSTITUTE(LOWER(Raw_from_worldbank!F166),"k",""))*1000,
       NA()))</f>
        <v>0.61</v>
      </c>
      <c r="I162">
        <f>IF(ISNUMBER(Raw_from_worldbank!G166),Raw_from_worldbank!G166,  IF(ISNUMBER(SEARCH("k",Raw_from_worldbank!G166)),
       VALUE(SUBSTITUTE(LOWER(Raw_from_worldbank!G166),"k",""))*1000,
       NA()))</f>
        <v>0.61</v>
      </c>
      <c r="J162">
        <f>IF(ISNUMBER(Raw_from_worldbank!H166),Raw_from_worldbank!H166,  IF(ISNUMBER(SEARCH("k",Raw_from_worldbank!H166)),
       VALUE(SUBSTITUTE(LOWER(Raw_from_worldbank!H166),"k",""))*1000,
       NA()))</f>
        <v>0.61</v>
      </c>
    </row>
    <row r="163" spans="1:10" x14ac:dyDescent="0.3">
      <c r="A163" t="str">
        <f>VLOOKUP(LOWER(B163),[1]country_name_iso_mapping!$A:$C,3, FALSE)</f>
        <v>LKA</v>
      </c>
      <c r="B163" t="s">
        <v>162</v>
      </c>
      <c r="C163" t="s">
        <v>162</v>
      </c>
      <c r="D163">
        <f>IF(ISNUMBER(Raw_from_worldbank!B167),Raw_from_worldbank!B167,  IF(ISNUMBER(SEARCH("k",Raw_from_worldbank!B167)),
       VALUE(SUBSTITUTE(LOWER(Raw_from_worldbank!B167),"k",""))*1000,
       NA()))</f>
        <v>54.4</v>
      </c>
      <c r="E163">
        <f>IF(ISNUMBER(Raw_from_worldbank!C167),Raw_from_worldbank!C167,  IF(ISNUMBER(SEARCH("k",Raw_from_worldbank!C167)),
       VALUE(SUBSTITUTE(LOWER(Raw_from_worldbank!C167),"k",""))*1000,
       NA()))</f>
        <v>75.599999999999994</v>
      </c>
      <c r="F163" t="e">
        <f>IF(ISNUMBER(Raw_from_worldbank!D167),Raw_from_worldbank!D167,  IF(ISNUMBER(SEARCH("k",Raw_from_worldbank!D167)),
       VALUE(SUBSTITUTE(LOWER(Raw_from_worldbank!D167),"k",""))*1000,
       NA()))</f>
        <v>#N/A</v>
      </c>
      <c r="G163" t="e">
        <f>IF(ISNUMBER(Raw_from_worldbank!E167),Raw_from_worldbank!E167,  IF(ISNUMBER(SEARCH("k",Raw_from_worldbank!E167)),
       VALUE(SUBSTITUTE(LOWER(Raw_from_worldbank!E167),"k",""))*1000,
       NA()))</f>
        <v>#N/A</v>
      </c>
      <c r="H163" t="e">
        <f>IF(ISNUMBER(Raw_from_worldbank!F167),Raw_from_worldbank!F167,  IF(ISNUMBER(SEARCH("k",Raw_from_worldbank!F167)),
       VALUE(SUBSTITUTE(LOWER(Raw_from_worldbank!F167),"k",""))*1000,
       NA()))</f>
        <v>#N/A</v>
      </c>
      <c r="I163" t="e">
        <f>IF(ISNUMBER(Raw_from_worldbank!G167),Raw_from_worldbank!G167,  IF(ISNUMBER(SEARCH("k",Raw_from_worldbank!G167)),
       VALUE(SUBSTITUTE(LOWER(Raw_from_worldbank!G167),"k",""))*1000,
       NA()))</f>
        <v>#N/A</v>
      </c>
      <c r="J163" t="e">
        <f>IF(ISNUMBER(Raw_from_worldbank!H167),Raw_from_worldbank!H167,  IF(ISNUMBER(SEARCH("k",Raw_from_worldbank!H167)),
       VALUE(SUBSTITUTE(LOWER(Raw_from_worldbank!H167),"k",""))*1000,
       NA()))</f>
        <v>#N/A</v>
      </c>
    </row>
    <row r="164" spans="1:10" x14ac:dyDescent="0.3">
      <c r="A164" t="str">
        <f>VLOOKUP(LOWER(B164),[1]country_name_iso_mapping!$A:$C,3, FALSE)</f>
        <v>KNA</v>
      </c>
      <c r="B164" t="s">
        <v>284</v>
      </c>
      <c r="C164" t="s">
        <v>163</v>
      </c>
      <c r="D164">
        <f>IF(ISNUMBER(Raw_from_worldbank!B168),Raw_from_worldbank!B168,  IF(ISNUMBER(SEARCH("k",Raw_from_worldbank!B168)),
       VALUE(SUBSTITUTE(LOWER(Raw_from_worldbank!B168),"k",""))*1000,
       NA()))</f>
        <v>1.7</v>
      </c>
      <c r="E164">
        <f>IF(ISNUMBER(Raw_from_worldbank!C168),Raw_from_worldbank!C168,  IF(ISNUMBER(SEARCH("k",Raw_from_worldbank!C168)),
       VALUE(SUBSTITUTE(LOWER(Raw_from_worldbank!C168),"k",""))*1000,
       NA()))</f>
        <v>1.6</v>
      </c>
      <c r="F164">
        <f>IF(ISNUMBER(Raw_from_worldbank!D168),Raw_from_worldbank!D168,  IF(ISNUMBER(SEARCH("k",Raw_from_worldbank!D168)),
       VALUE(SUBSTITUTE(LOWER(Raw_from_worldbank!D168),"k",""))*1000,
       NA()))</f>
        <v>1.7</v>
      </c>
      <c r="G164">
        <f>IF(ISNUMBER(Raw_from_worldbank!E168),Raw_from_worldbank!E168,  IF(ISNUMBER(SEARCH("k",Raw_from_worldbank!E168)),
       VALUE(SUBSTITUTE(LOWER(Raw_from_worldbank!E168),"k",""))*1000,
       NA()))</f>
        <v>1.6</v>
      </c>
      <c r="H164">
        <f>IF(ISNUMBER(Raw_from_worldbank!F168),Raw_from_worldbank!F168,  IF(ISNUMBER(SEARCH("k",Raw_from_worldbank!F168)),
       VALUE(SUBSTITUTE(LOWER(Raw_from_worldbank!F168),"k",""))*1000,
       NA()))</f>
        <v>1.7</v>
      </c>
      <c r="I164">
        <f>IF(ISNUMBER(Raw_from_worldbank!G168),Raw_from_worldbank!G168,  IF(ISNUMBER(SEARCH("k",Raw_from_worldbank!G168)),
       VALUE(SUBSTITUTE(LOWER(Raw_from_worldbank!G168),"k",""))*1000,
       NA()))</f>
        <v>1.7</v>
      </c>
      <c r="J164">
        <f>IF(ISNUMBER(Raw_from_worldbank!H168),Raw_from_worldbank!H168,  IF(ISNUMBER(SEARCH("k",Raw_from_worldbank!H168)),
       VALUE(SUBSTITUTE(LOWER(Raw_from_worldbank!H168),"k",""))*1000,
       NA()))</f>
        <v>1.7</v>
      </c>
    </row>
    <row r="165" spans="1:10" x14ac:dyDescent="0.3">
      <c r="A165" t="str">
        <f>VLOOKUP(LOWER(B165),[1]country_name_iso_mapping!$A:$C,3, FALSE)</f>
        <v>LCA</v>
      </c>
      <c r="B165" t="s">
        <v>285</v>
      </c>
      <c r="C165" t="s">
        <v>164</v>
      </c>
      <c r="D165">
        <f>IF(ISNUMBER(Raw_from_worldbank!B169),Raw_from_worldbank!B169,  IF(ISNUMBER(SEARCH("k",Raw_from_worldbank!B169)),
       VALUE(SUBSTITUTE(LOWER(Raw_from_worldbank!B169),"k",""))*1000,
       NA()))</f>
        <v>1.9</v>
      </c>
      <c r="E165">
        <f>IF(ISNUMBER(Raw_from_worldbank!C169),Raw_from_worldbank!C169,  IF(ISNUMBER(SEARCH("k",Raw_from_worldbank!C169)),
       VALUE(SUBSTITUTE(LOWER(Raw_from_worldbank!C169),"k",""))*1000,
       NA()))</f>
        <v>1.9</v>
      </c>
      <c r="F165">
        <f>IF(ISNUMBER(Raw_from_worldbank!D169),Raw_from_worldbank!D169,  IF(ISNUMBER(SEARCH("k",Raw_from_worldbank!D169)),
       VALUE(SUBSTITUTE(LOWER(Raw_from_worldbank!D169),"k",""))*1000,
       NA()))</f>
        <v>1.9</v>
      </c>
      <c r="G165">
        <f>IF(ISNUMBER(Raw_from_worldbank!E169),Raw_from_worldbank!E169,  IF(ISNUMBER(SEARCH("k",Raw_from_worldbank!E169)),
       VALUE(SUBSTITUTE(LOWER(Raw_from_worldbank!E169),"k",""))*1000,
       NA()))</f>
        <v>1.9</v>
      </c>
      <c r="H165">
        <f>IF(ISNUMBER(Raw_from_worldbank!F169),Raw_from_worldbank!F169,  IF(ISNUMBER(SEARCH("k",Raw_from_worldbank!F169)),
       VALUE(SUBSTITUTE(LOWER(Raw_from_worldbank!F169),"k",""))*1000,
       NA()))</f>
        <v>1.9</v>
      </c>
      <c r="I165">
        <f>IF(ISNUMBER(Raw_from_worldbank!G169),Raw_from_worldbank!G169,  IF(ISNUMBER(SEARCH("k",Raw_from_worldbank!G169)),
       VALUE(SUBSTITUTE(LOWER(Raw_from_worldbank!G169),"k",""))*1000,
       NA()))</f>
        <v>2</v>
      </c>
      <c r="J165">
        <f>IF(ISNUMBER(Raw_from_worldbank!H169),Raw_from_worldbank!H169,  IF(ISNUMBER(SEARCH("k",Raw_from_worldbank!H169)),
       VALUE(SUBSTITUTE(LOWER(Raw_from_worldbank!H169),"k",""))*1000,
       NA()))</f>
        <v>2</v>
      </c>
    </row>
    <row r="166" spans="1:10" x14ac:dyDescent="0.3">
      <c r="A166" t="str">
        <f>VLOOKUP(LOWER(B166),[1]country_name_iso_mapping!$A:$C,3, FALSE)</f>
        <v>VCT</v>
      </c>
      <c r="B166" t="s">
        <v>286</v>
      </c>
      <c r="C166" t="s">
        <v>165</v>
      </c>
      <c r="D166">
        <f>IF(ISNUMBER(Raw_from_worldbank!B170),Raw_from_worldbank!B170,  IF(ISNUMBER(SEARCH("k",Raw_from_worldbank!B170)),
       VALUE(SUBSTITUTE(LOWER(Raw_from_worldbank!B170),"k",""))*1000,
       NA()))</f>
        <v>1.5</v>
      </c>
      <c r="E166">
        <f>IF(ISNUMBER(Raw_from_worldbank!C170),Raw_from_worldbank!C170,  IF(ISNUMBER(SEARCH("k",Raw_from_worldbank!C170)),
       VALUE(SUBSTITUTE(LOWER(Raw_from_worldbank!C170),"k",""))*1000,
       NA()))</f>
        <v>1.4</v>
      </c>
      <c r="F166">
        <f>IF(ISNUMBER(Raw_from_worldbank!D170),Raw_from_worldbank!D170,  IF(ISNUMBER(SEARCH("k",Raw_from_worldbank!D170)),
       VALUE(SUBSTITUTE(LOWER(Raw_from_worldbank!D170),"k",""))*1000,
       NA()))</f>
        <v>1.4</v>
      </c>
      <c r="G166">
        <f>IF(ISNUMBER(Raw_from_worldbank!E170),Raw_from_worldbank!E170,  IF(ISNUMBER(SEARCH("k",Raw_from_worldbank!E170)),
       VALUE(SUBSTITUTE(LOWER(Raw_from_worldbank!E170),"k",""))*1000,
       NA()))</f>
        <v>1.4</v>
      </c>
      <c r="H166">
        <f>IF(ISNUMBER(Raw_from_worldbank!F170),Raw_from_worldbank!F170,  IF(ISNUMBER(SEARCH("k",Raw_from_worldbank!F170)),
       VALUE(SUBSTITUTE(LOWER(Raw_from_worldbank!F170),"k",""))*1000,
       NA()))</f>
        <v>1.4</v>
      </c>
      <c r="I166">
        <f>IF(ISNUMBER(Raw_from_worldbank!G170),Raw_from_worldbank!G170,  IF(ISNUMBER(SEARCH("k",Raw_from_worldbank!G170)),
       VALUE(SUBSTITUTE(LOWER(Raw_from_worldbank!G170),"k",""))*1000,
       NA()))</f>
        <v>1.4</v>
      </c>
      <c r="J166">
        <f>IF(ISNUMBER(Raw_from_worldbank!H170),Raw_from_worldbank!H170,  IF(ISNUMBER(SEARCH("k",Raw_from_worldbank!H170)),
       VALUE(SUBSTITUTE(LOWER(Raw_from_worldbank!H170),"k",""))*1000,
       NA()))</f>
        <v>1.4</v>
      </c>
    </row>
    <row r="167" spans="1:10" x14ac:dyDescent="0.3">
      <c r="A167" t="str">
        <f>VLOOKUP(LOWER(B167),[1]country_name_iso_mapping!$A:$C,3, FALSE)</f>
        <v>SDN</v>
      </c>
      <c r="B167" t="s">
        <v>166</v>
      </c>
      <c r="C167" t="s">
        <v>166</v>
      </c>
      <c r="D167">
        <f>IF(ISNUMBER(Raw_from_worldbank!B171),Raw_from_worldbank!B171,  IF(ISNUMBER(SEARCH("k",Raw_from_worldbank!B171)),
       VALUE(SUBSTITUTE(LOWER(Raw_from_worldbank!B171),"k",""))*1000,
       NA()))</f>
        <v>75.900000000000006</v>
      </c>
      <c r="E167">
        <f>IF(ISNUMBER(Raw_from_worldbank!C171),Raw_from_worldbank!C171,  IF(ISNUMBER(SEARCH("k",Raw_from_worldbank!C171)),
       VALUE(SUBSTITUTE(LOWER(Raw_from_worldbank!C171),"k",""))*1000,
       NA()))</f>
        <v>93.4</v>
      </c>
      <c r="F167">
        <f>IF(ISNUMBER(Raw_from_worldbank!D171),Raw_from_worldbank!D171,  IF(ISNUMBER(SEARCH("k",Raw_from_worldbank!D171)),
       VALUE(SUBSTITUTE(LOWER(Raw_from_worldbank!D171),"k",""))*1000,
       NA()))</f>
        <v>279.60000000000002</v>
      </c>
      <c r="G167">
        <f>IF(ISNUMBER(Raw_from_worldbank!E171),Raw_from_worldbank!E171,  IF(ISNUMBER(SEARCH("k",Raw_from_worldbank!E171)),
       VALUE(SUBSTITUTE(LOWER(Raw_from_worldbank!E171),"k",""))*1000,
       NA()))</f>
        <v>685.6</v>
      </c>
      <c r="H167">
        <f>IF(ISNUMBER(Raw_from_worldbank!F171),Raw_from_worldbank!F171,  IF(ISNUMBER(SEARCH("k",Raw_from_worldbank!F171)),
       VALUE(SUBSTITUTE(LOWER(Raw_from_worldbank!F171),"k",""))*1000,
       NA()))</f>
        <v>1100</v>
      </c>
      <c r="I167">
        <f>IF(ISNUMBER(Raw_from_worldbank!G171),Raw_from_worldbank!G171,  IF(ISNUMBER(SEARCH("k",Raw_from_worldbank!G171)),
       VALUE(SUBSTITUTE(LOWER(Raw_from_worldbank!G171),"k",""))*1000,
       NA()))</f>
        <v>1300</v>
      </c>
      <c r="J167">
        <f>IF(ISNUMBER(Raw_from_worldbank!H171),Raw_from_worldbank!H171,  IF(ISNUMBER(SEARCH("k",Raw_from_worldbank!H171)),
       VALUE(SUBSTITUTE(LOWER(Raw_from_worldbank!H171),"k",""))*1000,
       NA()))</f>
        <v>1500</v>
      </c>
    </row>
    <row r="168" spans="1:10" x14ac:dyDescent="0.3">
      <c r="A168" t="str">
        <f>VLOOKUP(LOWER(B168),[1]country_name_iso_mapping!$A:$C,3, FALSE)</f>
        <v>SUR</v>
      </c>
      <c r="B168" t="s">
        <v>167</v>
      </c>
      <c r="C168" t="s">
        <v>167</v>
      </c>
      <c r="D168">
        <f>IF(ISNUMBER(Raw_from_worldbank!B172),Raw_from_worldbank!B172,  IF(ISNUMBER(SEARCH("k",Raw_from_worldbank!B172)),
       VALUE(SUBSTITUTE(LOWER(Raw_from_worldbank!B172),"k",""))*1000,
       NA()))</f>
        <v>6.1</v>
      </c>
      <c r="E168">
        <f>IF(ISNUMBER(Raw_from_worldbank!C172),Raw_from_worldbank!C172,  IF(ISNUMBER(SEARCH("k",Raw_from_worldbank!C172)),
       VALUE(SUBSTITUTE(LOWER(Raw_from_worldbank!C172),"k",""))*1000,
       NA()))</f>
        <v>8.1999999999999993</v>
      </c>
      <c r="F168">
        <f>IF(ISNUMBER(Raw_from_worldbank!D172),Raw_from_worldbank!D172,  IF(ISNUMBER(SEARCH("k",Raw_from_worldbank!D172)),
       VALUE(SUBSTITUTE(LOWER(Raw_from_worldbank!D172),"k",""))*1000,
       NA()))</f>
        <v>11.9</v>
      </c>
      <c r="G168">
        <f>IF(ISNUMBER(Raw_from_worldbank!E172),Raw_from_worldbank!E172,  IF(ISNUMBER(SEARCH("k",Raw_from_worldbank!E172)),
       VALUE(SUBSTITUTE(LOWER(Raw_from_worldbank!E172),"k",""))*1000,
       NA()))</f>
        <v>13.7</v>
      </c>
      <c r="H168">
        <f>IF(ISNUMBER(Raw_from_worldbank!F172),Raw_from_worldbank!F172,  IF(ISNUMBER(SEARCH("k",Raw_from_worldbank!F172)),
       VALUE(SUBSTITUTE(LOWER(Raw_from_worldbank!F172),"k",""))*1000,
       NA()))</f>
        <v>15.3</v>
      </c>
      <c r="I168">
        <f>IF(ISNUMBER(Raw_from_worldbank!G172),Raw_from_worldbank!G172,  IF(ISNUMBER(SEARCH("k",Raw_from_worldbank!G172)),
       VALUE(SUBSTITUTE(LOWER(Raw_from_worldbank!G172),"k",""))*1000,
       NA()))</f>
        <v>16.3</v>
      </c>
      <c r="J168">
        <f>IF(ISNUMBER(Raw_from_worldbank!H172),Raw_from_worldbank!H172,  IF(ISNUMBER(SEARCH("k",Raw_from_worldbank!H172)),
       VALUE(SUBSTITUTE(LOWER(Raw_from_worldbank!H172),"k",""))*1000,
       NA()))</f>
        <v>17.2</v>
      </c>
    </row>
    <row r="169" spans="1:10" x14ac:dyDescent="0.3">
      <c r="A169" t="str">
        <f>VLOOKUP(LOWER(B169),[1]country_name_iso_mapping!$A:$C,3, FALSE)</f>
        <v>SWE</v>
      </c>
      <c r="B169" t="s">
        <v>168</v>
      </c>
      <c r="C169" t="s">
        <v>168</v>
      </c>
      <c r="D169">
        <f>IF(ISNUMBER(Raw_from_worldbank!B173),Raw_from_worldbank!B173,  IF(ISNUMBER(SEARCH("k",Raw_from_worldbank!B173)),
       VALUE(SUBSTITUTE(LOWER(Raw_from_worldbank!B173),"k",""))*1000,
       NA()))</f>
        <v>8.6999999999999993</v>
      </c>
      <c r="E169">
        <f>IF(ISNUMBER(Raw_from_worldbank!C173),Raw_from_worldbank!C173,  IF(ISNUMBER(SEARCH("k",Raw_from_worldbank!C173)),
       VALUE(SUBSTITUTE(LOWER(Raw_from_worldbank!C173),"k",""))*1000,
       NA()))</f>
        <v>8.6</v>
      </c>
      <c r="F169">
        <f>IF(ISNUMBER(Raw_from_worldbank!D173),Raw_from_worldbank!D173,  IF(ISNUMBER(SEARCH("k",Raw_from_worldbank!D173)),
       VALUE(SUBSTITUTE(LOWER(Raw_from_worldbank!D173),"k",""))*1000,
       NA()))</f>
        <v>8.8000000000000007</v>
      </c>
      <c r="G169">
        <f>IF(ISNUMBER(Raw_from_worldbank!E173),Raw_from_worldbank!E173,  IF(ISNUMBER(SEARCH("k",Raw_from_worldbank!E173)),
       VALUE(SUBSTITUTE(LOWER(Raw_from_worldbank!E173),"k",""))*1000,
       NA()))</f>
        <v>8.8000000000000007</v>
      </c>
      <c r="H169">
        <f>IF(ISNUMBER(Raw_from_worldbank!F173),Raw_from_worldbank!F173,  IF(ISNUMBER(SEARCH("k",Raw_from_worldbank!F173)),
       VALUE(SUBSTITUTE(LOWER(Raw_from_worldbank!F173),"k",""))*1000,
       NA()))</f>
        <v>8.9</v>
      </c>
      <c r="I169">
        <f>IF(ISNUMBER(Raw_from_worldbank!G173),Raw_from_worldbank!G173,  IF(ISNUMBER(SEARCH("k",Raw_from_worldbank!G173)),
       VALUE(SUBSTITUTE(LOWER(Raw_from_worldbank!G173),"k",""))*1000,
       NA()))</f>
        <v>8.9</v>
      </c>
      <c r="J169">
        <f>IF(ISNUMBER(Raw_from_worldbank!H173),Raw_from_worldbank!H173,  IF(ISNUMBER(SEARCH("k",Raw_from_worldbank!H173)),
       VALUE(SUBSTITUTE(LOWER(Raw_from_worldbank!H173),"k",""))*1000,
       NA()))</f>
        <v>8.9</v>
      </c>
    </row>
    <row r="170" spans="1:10" x14ac:dyDescent="0.3">
      <c r="A170" t="str">
        <f>VLOOKUP(LOWER(B170),[1]country_name_iso_mapping!$A:$C,3, FALSE)</f>
        <v>CHE</v>
      </c>
      <c r="B170" t="s">
        <v>169</v>
      </c>
      <c r="C170" t="s">
        <v>169</v>
      </c>
      <c r="D170">
        <f>IF(ISNUMBER(Raw_from_worldbank!B174),Raw_from_worldbank!B174,  IF(ISNUMBER(SEARCH("k",Raw_from_worldbank!B174)),
       VALUE(SUBSTITUTE(LOWER(Raw_from_worldbank!B174),"k",""))*1000,
       NA()))</f>
        <v>1.1000000000000001</v>
      </c>
      <c r="E170">
        <f>IF(ISNUMBER(Raw_from_worldbank!C174),Raw_from_worldbank!C174,  IF(ISNUMBER(SEARCH("k",Raw_from_worldbank!C174)),
       VALUE(SUBSTITUTE(LOWER(Raw_from_worldbank!C174),"k",""))*1000,
       NA()))</f>
        <v>1</v>
      </c>
      <c r="F170">
        <f>IF(ISNUMBER(Raw_from_worldbank!D174),Raw_from_worldbank!D174,  IF(ISNUMBER(SEARCH("k",Raw_from_worldbank!D174)),
       VALUE(SUBSTITUTE(LOWER(Raw_from_worldbank!D174),"k",""))*1000,
       NA()))</f>
        <v>1</v>
      </c>
      <c r="G170">
        <f>IF(ISNUMBER(Raw_from_worldbank!E174),Raw_from_worldbank!E174,  IF(ISNUMBER(SEARCH("k",Raw_from_worldbank!E174)),
       VALUE(SUBSTITUTE(LOWER(Raw_from_worldbank!E174),"k",""))*1000,
       NA()))</f>
        <v>1</v>
      </c>
      <c r="H170">
        <f>IF(ISNUMBER(Raw_from_worldbank!F174),Raw_from_worldbank!F174,  IF(ISNUMBER(SEARCH("k",Raw_from_worldbank!F174)),
       VALUE(SUBSTITUTE(LOWER(Raw_from_worldbank!F174),"k",""))*1000,
       NA()))</f>
        <v>1</v>
      </c>
      <c r="I170">
        <f>IF(ISNUMBER(Raw_from_worldbank!G174),Raw_from_worldbank!G174,  IF(ISNUMBER(SEARCH("k",Raw_from_worldbank!G174)),
       VALUE(SUBSTITUTE(LOWER(Raw_from_worldbank!G174),"k",""))*1000,
       NA()))</f>
        <v>0.99</v>
      </c>
      <c r="J170">
        <f>IF(ISNUMBER(Raw_from_worldbank!H174),Raw_from_worldbank!H174,  IF(ISNUMBER(SEARCH("k",Raw_from_worldbank!H174)),
       VALUE(SUBSTITUTE(LOWER(Raw_from_worldbank!H174),"k",""))*1000,
       NA()))</f>
        <v>0.98</v>
      </c>
    </row>
    <row r="171" spans="1:10" x14ac:dyDescent="0.3">
      <c r="A171" t="str">
        <f>VLOOKUP(LOWER(B171),[1]country_name_iso_mapping!$A:$C,3, FALSE)</f>
        <v>SYR</v>
      </c>
      <c r="B171" t="s">
        <v>170</v>
      </c>
      <c r="C171" t="s">
        <v>170</v>
      </c>
      <c r="D171" t="e">
        <f>IF(ISNUMBER(Raw_from_worldbank!B175),Raw_from_worldbank!B175,  IF(ISNUMBER(SEARCH("k",Raw_from_worldbank!B175)),
       VALUE(SUBSTITUTE(LOWER(Raw_from_worldbank!B175),"k",""))*1000,
       NA()))</f>
        <v>#N/A</v>
      </c>
      <c r="E171" t="e">
        <f>IF(ISNUMBER(Raw_from_worldbank!C175),Raw_from_worldbank!C175,  IF(ISNUMBER(SEARCH("k",Raw_from_worldbank!C175)),
       VALUE(SUBSTITUTE(LOWER(Raw_from_worldbank!C175),"k",""))*1000,
       NA()))</f>
        <v>#N/A</v>
      </c>
      <c r="F171" t="e">
        <f>IF(ISNUMBER(Raw_from_worldbank!D175),Raw_from_worldbank!D175,  IF(ISNUMBER(SEARCH("k",Raw_from_worldbank!D175)),
       VALUE(SUBSTITUTE(LOWER(Raw_from_worldbank!D175),"k",""))*1000,
       NA()))</f>
        <v>#N/A</v>
      </c>
      <c r="G171" t="e">
        <f>IF(ISNUMBER(Raw_from_worldbank!E175),Raw_from_worldbank!E175,  IF(ISNUMBER(SEARCH("k",Raw_from_worldbank!E175)),
       VALUE(SUBSTITUTE(LOWER(Raw_from_worldbank!E175),"k",""))*1000,
       NA()))</f>
        <v>#N/A</v>
      </c>
      <c r="H171" t="e">
        <f>IF(ISNUMBER(Raw_from_worldbank!F175),Raw_from_worldbank!F175,  IF(ISNUMBER(SEARCH("k",Raw_from_worldbank!F175)),
       VALUE(SUBSTITUTE(LOWER(Raw_from_worldbank!F175),"k",""))*1000,
       NA()))</f>
        <v>#N/A</v>
      </c>
      <c r="I171" t="e">
        <f>IF(ISNUMBER(Raw_from_worldbank!G175),Raw_from_worldbank!G175,  IF(ISNUMBER(SEARCH("k",Raw_from_worldbank!G175)),
       VALUE(SUBSTITUTE(LOWER(Raw_from_worldbank!G175),"k",""))*1000,
       NA()))</f>
        <v>#N/A</v>
      </c>
      <c r="J171" t="e">
        <f>IF(ISNUMBER(Raw_from_worldbank!H175),Raw_from_worldbank!H175,  IF(ISNUMBER(SEARCH("k",Raw_from_worldbank!H175)),
       VALUE(SUBSTITUTE(LOWER(Raw_from_worldbank!H175),"k",""))*1000,
       NA()))</f>
        <v>#N/A</v>
      </c>
    </row>
    <row r="172" spans="1:10" x14ac:dyDescent="0.3">
      <c r="A172" t="str">
        <f>VLOOKUP(LOWER(B172),[1]country_name_iso_mapping!$A:$C,3, FALSE)</f>
        <v>TWN</v>
      </c>
      <c r="B172" t="s">
        <v>287</v>
      </c>
      <c r="C172" t="s">
        <v>171</v>
      </c>
      <c r="D172">
        <f>IF(ISNUMBER(Raw_from_worldbank!B176),Raw_from_worldbank!B176,  IF(ISNUMBER(SEARCH("k",Raw_from_worldbank!B176)),
       VALUE(SUBSTITUTE(LOWER(Raw_from_worldbank!B176),"k",""))*1000,
       NA()))</f>
        <v>14.7</v>
      </c>
      <c r="E172">
        <f>IF(ISNUMBER(Raw_from_worldbank!C176),Raw_from_worldbank!C176,  IF(ISNUMBER(SEARCH("k",Raw_from_worldbank!C176)),
       VALUE(SUBSTITUTE(LOWER(Raw_from_worldbank!C176),"k",""))*1000,
       NA()))</f>
        <v>14</v>
      </c>
      <c r="F172">
        <f>IF(ISNUMBER(Raw_from_worldbank!D176),Raw_from_worldbank!D176,  IF(ISNUMBER(SEARCH("k",Raw_from_worldbank!D176)),
       VALUE(SUBSTITUTE(LOWER(Raw_from_worldbank!D176),"k",""))*1000,
       NA()))</f>
        <v>13.9</v>
      </c>
      <c r="G172">
        <f>IF(ISNUMBER(Raw_from_worldbank!E176),Raw_from_worldbank!E176,  IF(ISNUMBER(SEARCH("k",Raw_from_worldbank!E176)),
       VALUE(SUBSTITUTE(LOWER(Raw_from_worldbank!E176),"k",""))*1000,
       NA()))</f>
        <v>13.8</v>
      </c>
      <c r="H172">
        <f>IF(ISNUMBER(Raw_from_worldbank!F176),Raw_from_worldbank!F176,  IF(ISNUMBER(SEARCH("k",Raw_from_worldbank!F176)),
       VALUE(SUBSTITUTE(LOWER(Raw_from_worldbank!F176),"k",""))*1000,
       NA()))</f>
        <v>13.8</v>
      </c>
      <c r="I172">
        <f>IF(ISNUMBER(Raw_from_worldbank!G176),Raw_from_worldbank!G176,  IF(ISNUMBER(SEARCH("k",Raw_from_worldbank!G176)),
       VALUE(SUBSTITUTE(LOWER(Raw_from_worldbank!G176),"k",""))*1000,
       NA()))</f>
        <v>13.7</v>
      </c>
      <c r="J172">
        <f>IF(ISNUMBER(Raw_from_worldbank!H176),Raw_from_worldbank!H176,  IF(ISNUMBER(SEARCH("k",Raw_from_worldbank!H176)),
       VALUE(SUBSTITUTE(LOWER(Raw_from_worldbank!H176),"k",""))*1000,
       NA()))</f>
        <v>13.7</v>
      </c>
    </row>
    <row r="173" spans="1:10" x14ac:dyDescent="0.3">
      <c r="A173" t="str">
        <f>VLOOKUP(LOWER(B173),[1]country_name_iso_mapping!$A:$C,3, FALSE)</f>
        <v>TJK</v>
      </c>
      <c r="B173" t="s">
        <v>172</v>
      </c>
      <c r="C173" t="s">
        <v>172</v>
      </c>
      <c r="D173">
        <f>IF(ISNUMBER(Raw_from_worldbank!B177),Raw_from_worldbank!B177,  IF(ISNUMBER(SEARCH("k",Raw_from_worldbank!B177)),
       VALUE(SUBSTITUTE(LOWER(Raw_from_worldbank!B177),"k",""))*1000,
       NA()))</f>
        <v>2.4</v>
      </c>
      <c r="E173">
        <f>IF(ISNUMBER(Raw_from_worldbank!C177),Raw_from_worldbank!C177,  IF(ISNUMBER(SEARCH("k",Raw_from_worldbank!C177)),
       VALUE(SUBSTITUTE(LOWER(Raw_from_worldbank!C177),"k",""))*1000,
       NA()))</f>
        <v>2.4</v>
      </c>
      <c r="F173">
        <f>IF(ISNUMBER(Raw_from_worldbank!D177),Raw_from_worldbank!D177,  IF(ISNUMBER(SEARCH("k",Raw_from_worldbank!D177)),
       VALUE(SUBSTITUTE(LOWER(Raw_from_worldbank!D177),"k",""))*1000,
       NA()))</f>
        <v>2.4</v>
      </c>
      <c r="G173">
        <f>IF(ISNUMBER(Raw_from_worldbank!E177),Raw_from_worldbank!E177,  IF(ISNUMBER(SEARCH("k",Raw_from_worldbank!E177)),
       VALUE(SUBSTITUTE(LOWER(Raw_from_worldbank!E177),"k",""))*1000,
       NA()))</f>
        <v>2.4</v>
      </c>
      <c r="H173">
        <f>IF(ISNUMBER(Raw_from_worldbank!F177),Raw_from_worldbank!F177,  IF(ISNUMBER(SEARCH("k",Raw_from_worldbank!F177)),
       VALUE(SUBSTITUTE(LOWER(Raw_from_worldbank!F177),"k",""))*1000,
       NA()))</f>
        <v>2.5</v>
      </c>
      <c r="I173">
        <f>IF(ISNUMBER(Raw_from_worldbank!G177),Raw_from_worldbank!G177,  IF(ISNUMBER(SEARCH("k",Raw_from_worldbank!G177)),
       VALUE(SUBSTITUTE(LOWER(Raw_from_worldbank!G177),"k",""))*1000,
       NA()))</f>
        <v>2.6</v>
      </c>
      <c r="J173">
        <f>IF(ISNUMBER(Raw_from_worldbank!H177),Raw_from_worldbank!H177,  IF(ISNUMBER(SEARCH("k",Raw_from_worldbank!H177)),
       VALUE(SUBSTITUTE(LOWER(Raw_from_worldbank!H177),"k",""))*1000,
       NA()))</f>
        <v>2.8</v>
      </c>
    </row>
    <row r="174" spans="1:10" x14ac:dyDescent="0.3">
      <c r="A174" t="str">
        <f>VLOOKUP(LOWER(B174),[1]country_name_iso_mapping!$A:$C,3, FALSE)</f>
        <v>TZA</v>
      </c>
      <c r="B174" t="s">
        <v>288</v>
      </c>
      <c r="C174" t="s">
        <v>173</v>
      </c>
      <c r="D174">
        <f>IF(ISNUMBER(Raw_from_worldbank!B178),Raw_from_worldbank!B178,  IF(ISNUMBER(SEARCH("k",Raw_from_worldbank!B178)),
       VALUE(SUBSTITUTE(LOWER(Raw_from_worldbank!B178),"k",""))*1000,
       NA()))</f>
        <v>842.2</v>
      </c>
      <c r="E174">
        <f>IF(ISNUMBER(Raw_from_worldbank!C178),Raw_from_worldbank!C178,  IF(ISNUMBER(SEARCH("k",Raw_from_worldbank!C178)),
       VALUE(SUBSTITUTE(LOWER(Raw_from_worldbank!C178),"k",""))*1000,
       NA()))</f>
        <v>821.7</v>
      </c>
      <c r="F174">
        <f>IF(ISNUMBER(Raw_from_worldbank!D178),Raw_from_worldbank!D178,  IF(ISNUMBER(SEARCH("k",Raw_from_worldbank!D178)),
       VALUE(SUBSTITUTE(LOWER(Raw_from_worldbank!D178),"k",""))*1000,
       NA()))</f>
        <v>839.6</v>
      </c>
      <c r="G174">
        <f>IF(ISNUMBER(Raw_from_worldbank!E178),Raw_from_worldbank!E178,  IF(ISNUMBER(SEARCH("k",Raw_from_worldbank!E178)),
       VALUE(SUBSTITUTE(LOWER(Raw_from_worldbank!E178),"k",""))*1000,
       NA()))</f>
        <v>859.2</v>
      </c>
      <c r="H174">
        <f>IF(ISNUMBER(Raw_from_worldbank!F178),Raw_from_worldbank!F178,  IF(ISNUMBER(SEARCH("k",Raw_from_worldbank!F178)),
       VALUE(SUBSTITUTE(LOWER(Raw_from_worldbank!F178),"k",""))*1000,
       NA()))</f>
        <v>880.5</v>
      </c>
      <c r="I174">
        <f>IF(ISNUMBER(Raw_from_worldbank!G178),Raw_from_worldbank!G178,  IF(ISNUMBER(SEARCH("k",Raw_from_worldbank!G178)),
       VALUE(SUBSTITUTE(LOWER(Raw_from_worldbank!G178),"k",""))*1000,
       NA()))</f>
        <v>902</v>
      </c>
      <c r="J174">
        <f>IF(ISNUMBER(Raw_from_worldbank!H178),Raw_from_worldbank!H178,  IF(ISNUMBER(SEARCH("k",Raw_from_worldbank!H178)),
       VALUE(SUBSTITUTE(LOWER(Raw_from_worldbank!H178),"k",""))*1000,
       NA()))</f>
        <v>928.3</v>
      </c>
    </row>
    <row r="175" spans="1:10" x14ac:dyDescent="0.3">
      <c r="A175" t="str">
        <f>VLOOKUP(LOWER(B175),[1]country_name_iso_mapping!$A:$C,3, FALSE)</f>
        <v>THA</v>
      </c>
      <c r="B175" t="s">
        <v>174</v>
      </c>
      <c r="C175" t="s">
        <v>174</v>
      </c>
      <c r="D175">
        <f>IF(ISNUMBER(Raw_from_worldbank!B179),Raw_from_worldbank!B179,  IF(ISNUMBER(SEARCH("k",Raw_from_worldbank!B179)),
       VALUE(SUBSTITUTE(LOWER(Raw_from_worldbank!B179),"k",""))*1000,
       NA()))</f>
        <v>12</v>
      </c>
      <c r="E175">
        <f>IF(ISNUMBER(Raw_from_worldbank!C179),Raw_from_worldbank!C179,  IF(ISNUMBER(SEARCH("k",Raw_from_worldbank!C179)),
       VALUE(SUBSTITUTE(LOWER(Raw_from_worldbank!C179),"k",""))*1000,
       NA()))</f>
        <v>11.7</v>
      </c>
      <c r="F175">
        <f>IF(ISNUMBER(Raw_from_worldbank!D179),Raw_from_worldbank!D179,  IF(ISNUMBER(SEARCH("k",Raw_from_worldbank!D179)),
       VALUE(SUBSTITUTE(LOWER(Raw_from_worldbank!D179),"k",""))*1000,
       NA()))</f>
        <v>11.5</v>
      </c>
      <c r="G175">
        <f>IF(ISNUMBER(Raw_from_worldbank!E179),Raw_from_worldbank!E179,  IF(ISNUMBER(SEARCH("k",Raw_from_worldbank!E179)),
       VALUE(SUBSTITUTE(LOWER(Raw_from_worldbank!E179),"k",""))*1000,
       NA()))</f>
        <v>11.3</v>
      </c>
      <c r="H175">
        <f>IF(ISNUMBER(Raw_from_worldbank!F179),Raw_from_worldbank!F179,  IF(ISNUMBER(SEARCH("k",Raw_from_worldbank!F179)),
       VALUE(SUBSTITUTE(LOWER(Raw_from_worldbank!F179),"k",""))*1000,
       NA()))</f>
        <v>11.1</v>
      </c>
      <c r="I175">
        <f>IF(ISNUMBER(Raw_from_worldbank!G179),Raw_from_worldbank!G179,  IF(ISNUMBER(SEARCH("k",Raw_from_worldbank!G179)),
       VALUE(SUBSTITUTE(LOWER(Raw_from_worldbank!G179),"k",""))*1000,
       NA()))</f>
        <v>11.2</v>
      </c>
      <c r="J175">
        <f>IF(ISNUMBER(Raw_from_worldbank!H179),Raw_from_worldbank!H179,  IF(ISNUMBER(SEARCH("k",Raw_from_worldbank!H179)),
       VALUE(SUBSTITUTE(LOWER(Raw_from_worldbank!H179),"k",""))*1000,
       NA()))</f>
        <v>11.3</v>
      </c>
    </row>
    <row r="176" spans="1:10" x14ac:dyDescent="0.3">
      <c r="A176" t="str">
        <f>VLOOKUP(LOWER(B176),[1]country_name_iso_mapping!$A:$C,3, FALSE)</f>
        <v>TLS</v>
      </c>
      <c r="B176" t="s">
        <v>289</v>
      </c>
      <c r="C176" t="s">
        <v>175</v>
      </c>
      <c r="D176">
        <f>IF(ISNUMBER(Raw_from_worldbank!B180),Raw_from_worldbank!B180,  IF(ISNUMBER(SEARCH("k",Raw_from_worldbank!B180)),
       VALUE(SUBSTITUTE(LOWER(Raw_from_worldbank!B180),"k",""))*1000,
       NA()))</f>
        <v>0.49</v>
      </c>
      <c r="E176">
        <f>IF(ISNUMBER(Raw_from_worldbank!C180),Raw_from_worldbank!C180,  IF(ISNUMBER(SEARCH("k",Raw_from_worldbank!C180)),
       VALUE(SUBSTITUTE(LOWER(Raw_from_worldbank!C180),"k",""))*1000,
       NA()))</f>
        <v>0.51</v>
      </c>
      <c r="F176">
        <f>IF(ISNUMBER(Raw_from_worldbank!D180),Raw_from_worldbank!D180,  IF(ISNUMBER(SEARCH("k",Raw_from_worldbank!D180)),
       VALUE(SUBSTITUTE(LOWER(Raw_from_worldbank!D180),"k",""))*1000,
       NA()))</f>
        <v>0.43</v>
      </c>
      <c r="G176">
        <f>IF(ISNUMBER(Raw_from_worldbank!E180),Raw_from_worldbank!E180,  IF(ISNUMBER(SEARCH("k",Raw_from_worldbank!E180)),
       VALUE(SUBSTITUTE(LOWER(Raw_from_worldbank!E180),"k",""))*1000,
       NA()))</f>
        <v>0.39</v>
      </c>
      <c r="H176">
        <f>IF(ISNUMBER(Raw_from_worldbank!F180),Raw_from_worldbank!F180,  IF(ISNUMBER(SEARCH("k",Raw_from_worldbank!F180)),
       VALUE(SUBSTITUTE(LOWER(Raw_from_worldbank!F180),"k",""))*1000,
       NA()))</f>
        <v>0.4</v>
      </c>
      <c r="I176">
        <f>IF(ISNUMBER(Raw_from_worldbank!G180),Raw_from_worldbank!G180,  IF(ISNUMBER(SEARCH("k",Raw_from_worldbank!G180)),
       VALUE(SUBSTITUTE(LOWER(Raw_from_worldbank!G180),"k",""))*1000,
       NA()))</f>
        <v>0.4</v>
      </c>
      <c r="J176">
        <f>IF(ISNUMBER(Raw_from_worldbank!H180),Raw_from_worldbank!H180,  IF(ISNUMBER(SEARCH("k",Raw_from_worldbank!H180)),
       VALUE(SUBSTITUTE(LOWER(Raw_from_worldbank!H180),"k",""))*1000,
       NA()))</f>
        <v>0.41</v>
      </c>
    </row>
    <row r="177" spans="1:10" x14ac:dyDescent="0.3">
      <c r="A177" t="str">
        <f>VLOOKUP(LOWER(B177),[1]country_name_iso_mapping!$A:$C,3, FALSE)</f>
        <v>TGO</v>
      </c>
      <c r="B177" t="s">
        <v>176</v>
      </c>
      <c r="C177" t="s">
        <v>176</v>
      </c>
      <c r="D177">
        <f>IF(ISNUMBER(Raw_from_worldbank!B181),Raw_from_worldbank!B181,  IF(ISNUMBER(SEARCH("k",Raw_from_worldbank!B181)),
       VALUE(SUBSTITUTE(LOWER(Raw_from_worldbank!B181),"k",""))*1000,
       NA()))</f>
        <v>228.1</v>
      </c>
      <c r="E177">
        <f>IF(ISNUMBER(Raw_from_worldbank!C181),Raw_from_worldbank!C181,  IF(ISNUMBER(SEARCH("k",Raw_from_worldbank!C181)),
       VALUE(SUBSTITUTE(LOWER(Raw_from_worldbank!C181),"k",""))*1000,
       NA()))</f>
        <v>220.8</v>
      </c>
      <c r="F177">
        <f>IF(ISNUMBER(Raw_from_worldbank!D181),Raw_from_worldbank!D181,  IF(ISNUMBER(SEARCH("k",Raw_from_worldbank!D181)),
       VALUE(SUBSTITUTE(LOWER(Raw_from_worldbank!D181),"k",""))*1000,
       NA()))</f>
        <v>219</v>
      </c>
      <c r="G177">
        <f>IF(ISNUMBER(Raw_from_worldbank!E181),Raw_from_worldbank!E181,  IF(ISNUMBER(SEARCH("k",Raw_from_worldbank!E181)),
       VALUE(SUBSTITUTE(LOWER(Raw_from_worldbank!E181),"k",""))*1000,
       NA()))</f>
        <v>218.6</v>
      </c>
      <c r="H177">
        <f>IF(ISNUMBER(Raw_from_worldbank!F181),Raw_from_worldbank!F181,  IF(ISNUMBER(SEARCH("k",Raw_from_worldbank!F181)),
       VALUE(SUBSTITUTE(LOWER(Raw_from_worldbank!F181),"k",""))*1000,
       NA()))</f>
        <v>219.1</v>
      </c>
      <c r="I177">
        <f>IF(ISNUMBER(Raw_from_worldbank!G181),Raw_from_worldbank!G181,  IF(ISNUMBER(SEARCH("k",Raw_from_worldbank!G181)),
       VALUE(SUBSTITUTE(LOWER(Raw_from_worldbank!G181),"k",""))*1000,
       NA()))</f>
        <v>219.3</v>
      </c>
      <c r="J177">
        <f>IF(ISNUMBER(Raw_from_worldbank!H181),Raw_from_worldbank!H181,  IF(ISNUMBER(SEARCH("k",Raw_from_worldbank!H181)),
       VALUE(SUBSTITUTE(LOWER(Raw_from_worldbank!H181),"k",""))*1000,
       NA()))</f>
        <v>219.6</v>
      </c>
    </row>
    <row r="178" spans="1:10" x14ac:dyDescent="0.3">
      <c r="A178" t="str">
        <f>VLOOKUP(LOWER(B178),[1]country_name_iso_mapping!$A:$C,3, FALSE)</f>
        <v>TON</v>
      </c>
      <c r="B178" t="s">
        <v>177</v>
      </c>
      <c r="C178" t="s">
        <v>177</v>
      </c>
      <c r="D178">
        <f>IF(ISNUMBER(Raw_from_worldbank!B182),Raw_from_worldbank!B182,  IF(ISNUMBER(SEARCH("k",Raw_from_worldbank!B182)),
       VALUE(SUBSTITUTE(LOWER(Raw_from_worldbank!B182),"k",""))*1000,
       NA()))</f>
        <v>1.7</v>
      </c>
      <c r="E178">
        <f>IF(ISNUMBER(Raw_from_worldbank!C182),Raw_from_worldbank!C182,  IF(ISNUMBER(SEARCH("k",Raw_from_worldbank!C182)),
       VALUE(SUBSTITUTE(LOWER(Raw_from_worldbank!C182),"k",""))*1000,
       NA()))</f>
        <v>1.7</v>
      </c>
      <c r="F178">
        <f>IF(ISNUMBER(Raw_from_worldbank!D182),Raw_from_worldbank!D182,  IF(ISNUMBER(SEARCH("k",Raw_from_worldbank!D182)),
       VALUE(SUBSTITUTE(LOWER(Raw_from_worldbank!D182),"k",""))*1000,
       NA()))</f>
        <v>1.8</v>
      </c>
      <c r="G178">
        <f>IF(ISNUMBER(Raw_from_worldbank!E182),Raw_from_worldbank!E182,  IF(ISNUMBER(SEARCH("k",Raw_from_worldbank!E182)),
       VALUE(SUBSTITUTE(LOWER(Raw_from_worldbank!E182),"k",""))*1000,
       NA()))</f>
        <v>1.9</v>
      </c>
      <c r="H178">
        <f>IF(ISNUMBER(Raw_from_worldbank!F182),Raw_from_worldbank!F182,  IF(ISNUMBER(SEARCH("k",Raw_from_worldbank!F182)),
       VALUE(SUBSTITUTE(LOWER(Raw_from_worldbank!F182),"k",""))*1000,
       NA()))</f>
        <v>1.9</v>
      </c>
      <c r="I178">
        <f>IF(ISNUMBER(Raw_from_worldbank!G182),Raw_from_worldbank!G182,  IF(ISNUMBER(SEARCH("k",Raw_from_worldbank!G182)),
       VALUE(SUBSTITUTE(LOWER(Raw_from_worldbank!G182),"k",""))*1000,
       NA()))</f>
        <v>1.9</v>
      </c>
      <c r="J178">
        <f>IF(ISNUMBER(Raw_from_worldbank!H182),Raw_from_worldbank!H182,  IF(ISNUMBER(SEARCH("k",Raw_from_worldbank!H182)),
       VALUE(SUBSTITUTE(LOWER(Raw_from_worldbank!H182),"k",""))*1000,
       NA()))</f>
        <v>2</v>
      </c>
    </row>
    <row r="179" spans="1:10" x14ac:dyDescent="0.3">
      <c r="A179" t="str">
        <f>VLOOKUP(LOWER(B179),[1]country_name_iso_mapping!$A:$C,3, FALSE)</f>
        <v>TTO</v>
      </c>
      <c r="B179" t="s">
        <v>178</v>
      </c>
      <c r="C179" t="s">
        <v>178</v>
      </c>
      <c r="D179">
        <f>IF(ISNUMBER(Raw_from_worldbank!B183),Raw_from_worldbank!B183,  IF(ISNUMBER(SEARCH("k",Raw_from_worldbank!B183)),
       VALUE(SUBSTITUTE(LOWER(Raw_from_worldbank!B183),"k",""))*1000,
       NA()))</f>
        <v>4.3</v>
      </c>
      <c r="E179">
        <f>IF(ISNUMBER(Raw_from_worldbank!C183),Raw_from_worldbank!C183,  IF(ISNUMBER(SEARCH("k",Raw_from_worldbank!C183)),
       VALUE(SUBSTITUTE(LOWER(Raw_from_worldbank!C183),"k",""))*1000,
       NA()))</f>
        <v>4.8</v>
      </c>
      <c r="F179">
        <f>IF(ISNUMBER(Raw_from_worldbank!D183),Raw_from_worldbank!D183,  IF(ISNUMBER(SEARCH("k",Raw_from_worldbank!D183)),
       VALUE(SUBSTITUTE(LOWER(Raw_from_worldbank!D183),"k",""))*1000,
       NA()))</f>
        <v>4.3</v>
      </c>
      <c r="G179">
        <f>IF(ISNUMBER(Raw_from_worldbank!E183),Raw_from_worldbank!E183,  IF(ISNUMBER(SEARCH("k",Raw_from_worldbank!E183)),
       VALUE(SUBSTITUTE(LOWER(Raw_from_worldbank!E183),"k",""))*1000,
       NA()))</f>
        <v>4.0999999999999996</v>
      </c>
      <c r="H179">
        <f>IF(ISNUMBER(Raw_from_worldbank!F183),Raw_from_worldbank!F183,  IF(ISNUMBER(SEARCH("k",Raw_from_worldbank!F183)),
       VALUE(SUBSTITUTE(LOWER(Raw_from_worldbank!F183),"k",""))*1000,
       NA()))</f>
        <v>4.0999999999999996</v>
      </c>
      <c r="I179">
        <f>IF(ISNUMBER(Raw_from_worldbank!G183),Raw_from_worldbank!G183,  IF(ISNUMBER(SEARCH("k",Raw_from_worldbank!G183)),
       VALUE(SUBSTITUTE(LOWER(Raw_from_worldbank!G183),"k",""))*1000,
       NA()))</f>
        <v>4.0999999999999996</v>
      </c>
      <c r="J179">
        <f>IF(ISNUMBER(Raw_from_worldbank!H183),Raw_from_worldbank!H183,  IF(ISNUMBER(SEARCH("k",Raw_from_worldbank!H183)),
       VALUE(SUBSTITUTE(LOWER(Raw_from_worldbank!H183),"k",""))*1000,
       NA()))</f>
        <v>4</v>
      </c>
    </row>
    <row r="180" spans="1:10" x14ac:dyDescent="0.3">
      <c r="A180" t="str">
        <f>VLOOKUP(LOWER(B180),[1]country_name_iso_mapping!$A:$C,3, FALSE)</f>
        <v>TUN</v>
      </c>
      <c r="B180" t="s">
        <v>179</v>
      </c>
      <c r="C180" t="s">
        <v>179</v>
      </c>
      <c r="D180">
        <f>IF(ISNUMBER(Raw_from_worldbank!B184),Raw_from_worldbank!B184,  IF(ISNUMBER(SEARCH("k",Raw_from_worldbank!B184)),
       VALUE(SUBSTITUTE(LOWER(Raw_from_worldbank!B184),"k",""))*1000,
       NA()))</f>
        <v>0.92</v>
      </c>
      <c r="E180">
        <f>IF(ISNUMBER(Raw_from_worldbank!C184),Raw_from_worldbank!C184,  IF(ISNUMBER(SEARCH("k",Raw_from_worldbank!C184)),
       VALUE(SUBSTITUTE(LOWER(Raw_from_worldbank!C184),"k",""))*1000,
       NA()))</f>
        <v>0.93</v>
      </c>
      <c r="F180">
        <f>IF(ISNUMBER(Raw_from_worldbank!D184),Raw_from_worldbank!D184,  IF(ISNUMBER(SEARCH("k",Raw_from_worldbank!D184)),
       VALUE(SUBSTITUTE(LOWER(Raw_from_worldbank!D184),"k",""))*1000,
       NA()))</f>
        <v>0.99</v>
      </c>
      <c r="G180">
        <f>IF(ISNUMBER(Raw_from_worldbank!E184),Raw_from_worldbank!E184,  IF(ISNUMBER(SEARCH("k",Raw_from_worldbank!E184)),
       VALUE(SUBSTITUTE(LOWER(Raw_from_worldbank!E184),"k",""))*1000,
       NA()))</f>
        <v>1</v>
      </c>
      <c r="H180">
        <f>IF(ISNUMBER(Raw_from_worldbank!F184),Raw_from_worldbank!F184,  IF(ISNUMBER(SEARCH("k",Raw_from_worldbank!F184)),
       VALUE(SUBSTITUTE(LOWER(Raw_from_worldbank!F184),"k",""))*1000,
       NA()))</f>
        <v>1.1000000000000001</v>
      </c>
      <c r="I180">
        <f>IF(ISNUMBER(Raw_from_worldbank!G184),Raw_from_worldbank!G184,  IF(ISNUMBER(SEARCH("k",Raw_from_worldbank!G184)),
       VALUE(SUBSTITUTE(LOWER(Raw_from_worldbank!G184),"k",""))*1000,
       NA()))</f>
        <v>1.2</v>
      </c>
      <c r="J180">
        <f>IF(ISNUMBER(Raw_from_worldbank!H184),Raw_from_worldbank!H184,  IF(ISNUMBER(SEARCH("k",Raw_from_worldbank!H184)),
       VALUE(SUBSTITUTE(LOWER(Raw_from_worldbank!H184),"k",""))*1000,
       NA()))</f>
        <v>1.2</v>
      </c>
    </row>
    <row r="181" spans="1:10" x14ac:dyDescent="0.3">
      <c r="A181" t="str">
        <f>VLOOKUP(LOWER(B181),[1]country_name_iso_mapping!$A:$C,3, FALSE)</f>
        <v>TUR</v>
      </c>
      <c r="B181" t="s">
        <v>180</v>
      </c>
      <c r="C181" t="s">
        <v>180</v>
      </c>
      <c r="D181">
        <f>IF(ISNUMBER(Raw_from_worldbank!B185),Raw_from_worldbank!B185,  IF(ISNUMBER(SEARCH("k",Raw_from_worldbank!B185)),
       VALUE(SUBSTITUTE(LOWER(Raw_from_worldbank!B185),"k",""))*1000,
       NA()))</f>
        <v>2.4</v>
      </c>
      <c r="E181">
        <f>IF(ISNUMBER(Raw_from_worldbank!C185),Raw_from_worldbank!C185,  IF(ISNUMBER(SEARCH("k",Raw_from_worldbank!C185)),
       VALUE(SUBSTITUTE(LOWER(Raw_from_worldbank!C185),"k",""))*1000,
       NA()))</f>
        <v>4.5</v>
      </c>
      <c r="F181">
        <f>IF(ISNUMBER(Raw_from_worldbank!D185),Raw_from_worldbank!D185,  IF(ISNUMBER(SEARCH("k",Raw_from_worldbank!D185)),
       VALUE(SUBSTITUTE(LOWER(Raw_from_worldbank!D185),"k",""))*1000,
       NA()))</f>
        <v>7.2</v>
      </c>
      <c r="G181">
        <f>IF(ISNUMBER(Raw_from_worldbank!E185),Raw_from_worldbank!E185,  IF(ISNUMBER(SEARCH("k",Raw_from_worldbank!E185)),
       VALUE(SUBSTITUTE(LOWER(Raw_from_worldbank!E185),"k",""))*1000,
       NA()))</f>
        <v>10.8</v>
      </c>
      <c r="H181">
        <f>IF(ISNUMBER(Raw_from_worldbank!F185),Raw_from_worldbank!F185,  IF(ISNUMBER(SEARCH("k",Raw_from_worldbank!F185)),
       VALUE(SUBSTITUTE(LOWER(Raw_from_worldbank!F185),"k",""))*1000,
       NA()))</f>
        <v>14.5</v>
      </c>
      <c r="I181">
        <f>IF(ISNUMBER(Raw_from_worldbank!G185),Raw_from_worldbank!G185,  IF(ISNUMBER(SEARCH("k",Raw_from_worldbank!G185)),
       VALUE(SUBSTITUTE(LOWER(Raw_from_worldbank!G185),"k",""))*1000,
       NA()))</f>
        <v>17.2</v>
      </c>
      <c r="J181">
        <f>IF(ISNUMBER(Raw_from_worldbank!H185),Raw_from_worldbank!H185,  IF(ISNUMBER(SEARCH("k",Raw_from_worldbank!H185)),
       VALUE(SUBSTITUTE(LOWER(Raw_from_worldbank!H185),"k",""))*1000,
       NA()))</f>
        <v>19.7</v>
      </c>
    </row>
    <row r="182" spans="1:10" x14ac:dyDescent="0.3">
      <c r="A182" t="str">
        <f>VLOOKUP(LOWER(B182),[1]country_name_iso_mapping!$A:$C,3, FALSE)</f>
        <v>TKM</v>
      </c>
      <c r="B182" t="s">
        <v>181</v>
      </c>
      <c r="C182" t="s">
        <v>181</v>
      </c>
      <c r="D182">
        <f>IF(ISNUMBER(Raw_from_worldbank!B186),Raw_from_worldbank!B186,  IF(ISNUMBER(SEARCH("k",Raw_from_worldbank!B186)),
       VALUE(SUBSTITUTE(LOWER(Raw_from_worldbank!B186),"k",""))*1000,
       NA()))</f>
        <v>2</v>
      </c>
      <c r="E182">
        <f>IF(ISNUMBER(Raw_from_worldbank!C186),Raw_from_worldbank!C186,  IF(ISNUMBER(SEARCH("k",Raw_from_worldbank!C186)),
       VALUE(SUBSTITUTE(LOWER(Raw_from_worldbank!C186),"k",""))*1000,
       NA()))</f>
        <v>2.2999999999999998</v>
      </c>
      <c r="F182">
        <f>IF(ISNUMBER(Raw_from_worldbank!D186),Raw_from_worldbank!D186,  IF(ISNUMBER(SEARCH("k",Raw_from_worldbank!D186)),
       VALUE(SUBSTITUTE(LOWER(Raw_from_worldbank!D186),"k",""))*1000,
       NA()))</f>
        <v>2.2000000000000002</v>
      </c>
      <c r="G182">
        <f>IF(ISNUMBER(Raw_from_worldbank!E186),Raw_from_worldbank!E186,  IF(ISNUMBER(SEARCH("k",Raw_from_worldbank!E186)),
       VALUE(SUBSTITUTE(LOWER(Raw_from_worldbank!E186),"k",""))*1000,
       NA()))</f>
        <v>2.2000000000000002</v>
      </c>
      <c r="H182">
        <f>IF(ISNUMBER(Raw_from_worldbank!F186),Raw_from_worldbank!F186,  IF(ISNUMBER(SEARCH("k",Raw_from_worldbank!F186)),
       VALUE(SUBSTITUTE(LOWER(Raw_from_worldbank!F186),"k",""))*1000,
       NA()))</f>
        <v>2.2999999999999998</v>
      </c>
      <c r="I182">
        <f>IF(ISNUMBER(Raw_from_worldbank!G186),Raw_from_worldbank!G186,  IF(ISNUMBER(SEARCH("k",Raw_from_worldbank!G186)),
       VALUE(SUBSTITUTE(LOWER(Raw_from_worldbank!G186),"k",""))*1000,
       NA()))</f>
        <v>2.4</v>
      </c>
      <c r="J182">
        <f>IF(ISNUMBER(Raw_from_worldbank!H186),Raw_from_worldbank!H186,  IF(ISNUMBER(SEARCH("k",Raw_from_worldbank!H186)),
       VALUE(SUBSTITUTE(LOWER(Raw_from_worldbank!H186),"k",""))*1000,
       NA()))</f>
        <v>2.5</v>
      </c>
    </row>
    <row r="183" spans="1:10" x14ac:dyDescent="0.3">
      <c r="A183" t="str">
        <f>VLOOKUP(LOWER(B183),[1]country_name_iso_mapping!$A:$C,3, FALSE)</f>
        <v>TUV</v>
      </c>
      <c r="B183" t="s">
        <v>182</v>
      </c>
      <c r="C183" t="s">
        <v>182</v>
      </c>
      <c r="D183">
        <f>IF(ISNUMBER(Raw_from_worldbank!B187),Raw_from_worldbank!B187,  IF(ISNUMBER(SEARCH("k",Raw_from_worldbank!B187)),
       VALUE(SUBSTITUTE(LOWER(Raw_from_worldbank!B187),"k",""))*1000,
       NA()))</f>
        <v>1.5</v>
      </c>
      <c r="E183">
        <f>IF(ISNUMBER(Raw_from_worldbank!C187),Raw_from_worldbank!C187,  IF(ISNUMBER(SEARCH("k",Raw_from_worldbank!C187)),
       VALUE(SUBSTITUTE(LOWER(Raw_from_worldbank!C187),"k",""))*1000,
       NA()))</f>
        <v>1.5</v>
      </c>
      <c r="F183">
        <f>IF(ISNUMBER(Raw_from_worldbank!D187),Raw_from_worldbank!D187,  IF(ISNUMBER(SEARCH("k",Raw_from_worldbank!D187)),
       VALUE(SUBSTITUTE(LOWER(Raw_from_worldbank!D187),"k",""))*1000,
       NA()))</f>
        <v>1.5</v>
      </c>
      <c r="G183">
        <f>IF(ISNUMBER(Raw_from_worldbank!E187),Raw_from_worldbank!E187,  IF(ISNUMBER(SEARCH("k",Raw_from_worldbank!E187)),
       VALUE(SUBSTITUTE(LOWER(Raw_from_worldbank!E187),"k",""))*1000,
       NA()))</f>
        <v>1.5</v>
      </c>
      <c r="H183">
        <f>IF(ISNUMBER(Raw_from_worldbank!F187),Raw_from_worldbank!F187,  IF(ISNUMBER(SEARCH("k",Raw_from_worldbank!F187)),
       VALUE(SUBSTITUTE(LOWER(Raw_from_worldbank!F187),"k",""))*1000,
       NA()))</f>
        <v>1.6</v>
      </c>
      <c r="I183">
        <f>IF(ISNUMBER(Raw_from_worldbank!G187),Raw_from_worldbank!G187,  IF(ISNUMBER(SEARCH("k",Raw_from_worldbank!G187)),
       VALUE(SUBSTITUTE(LOWER(Raw_from_worldbank!G187),"k",""))*1000,
       NA()))</f>
        <v>1.6</v>
      </c>
      <c r="J183">
        <f>IF(ISNUMBER(Raw_from_worldbank!H187),Raw_from_worldbank!H187,  IF(ISNUMBER(SEARCH("k",Raw_from_worldbank!H187)),
       VALUE(SUBSTITUTE(LOWER(Raw_from_worldbank!H187),"k",""))*1000,
       NA()))</f>
        <v>1.6</v>
      </c>
    </row>
    <row r="184" spans="1:10" x14ac:dyDescent="0.3">
      <c r="A184" t="str">
        <f>VLOOKUP(LOWER(B184),[1]country_name_iso_mapping!$A:$C,3, FALSE)</f>
        <v>UGA</v>
      </c>
      <c r="B184" t="s">
        <v>183</v>
      </c>
      <c r="C184" t="s">
        <v>183</v>
      </c>
      <c r="D184">
        <f>IF(ISNUMBER(Raw_from_worldbank!B188),Raw_from_worldbank!B188,  IF(ISNUMBER(SEARCH("k",Raw_from_worldbank!B188)),
       VALUE(SUBSTITUTE(LOWER(Raw_from_worldbank!B188),"k",""))*1000,
       NA()))</f>
        <v>1300</v>
      </c>
      <c r="E184">
        <f>IF(ISNUMBER(Raw_from_worldbank!C188),Raw_from_worldbank!C188,  IF(ISNUMBER(SEARCH("k",Raw_from_worldbank!C188)),
       VALUE(SUBSTITUTE(LOWER(Raw_from_worldbank!C188),"k",""))*1000,
       NA()))</f>
        <v>1300</v>
      </c>
      <c r="F184">
        <f>IF(ISNUMBER(Raw_from_worldbank!D188),Raw_from_worldbank!D188,  IF(ISNUMBER(SEARCH("k",Raw_from_worldbank!D188)),
       VALUE(SUBSTITUTE(LOWER(Raw_from_worldbank!D188),"k",""))*1000,
       NA()))</f>
        <v>1300</v>
      </c>
      <c r="G184">
        <f>IF(ISNUMBER(Raw_from_worldbank!E188),Raw_from_worldbank!E188,  IF(ISNUMBER(SEARCH("k",Raw_from_worldbank!E188)),
       VALUE(SUBSTITUTE(LOWER(Raw_from_worldbank!E188),"k",""))*1000,
       NA()))</f>
        <v>1300</v>
      </c>
      <c r="H184">
        <f>IF(ISNUMBER(Raw_from_worldbank!F188),Raw_from_worldbank!F188,  IF(ISNUMBER(SEARCH("k",Raw_from_worldbank!F188)),
       VALUE(SUBSTITUTE(LOWER(Raw_from_worldbank!F188),"k",""))*1000,
       NA()))</f>
        <v>1400</v>
      </c>
      <c r="I184">
        <f>IF(ISNUMBER(Raw_from_worldbank!G188),Raw_from_worldbank!G188,  IF(ISNUMBER(SEARCH("k",Raw_from_worldbank!G188)),
       VALUE(SUBSTITUTE(LOWER(Raw_from_worldbank!G188),"k",""))*1000,
       NA()))</f>
        <v>1400</v>
      </c>
      <c r="J184">
        <f>IF(ISNUMBER(Raw_from_worldbank!H188),Raw_from_worldbank!H188,  IF(ISNUMBER(SEARCH("k",Raw_from_worldbank!H188)),
       VALUE(SUBSTITUTE(LOWER(Raw_from_worldbank!H188),"k",""))*1000,
       NA()))</f>
        <v>1500</v>
      </c>
    </row>
    <row r="185" spans="1:10" x14ac:dyDescent="0.3">
      <c r="A185" t="str">
        <f>VLOOKUP(LOWER(B185),[1]country_name_iso_mapping!$A:$C,3, FALSE)</f>
        <v>UKR</v>
      </c>
      <c r="B185" t="s">
        <v>184</v>
      </c>
      <c r="C185" t="s">
        <v>184</v>
      </c>
      <c r="D185">
        <f>IF(ISNUMBER(Raw_from_worldbank!B189),Raw_from_worldbank!B189,  IF(ISNUMBER(SEARCH("k",Raw_from_worldbank!B189)),
       VALUE(SUBSTITUTE(LOWER(Raw_from_worldbank!B189),"k",""))*1000,
       NA()))</f>
        <v>9.1999999999999993</v>
      </c>
      <c r="E185">
        <f>IF(ISNUMBER(Raw_from_worldbank!C189),Raw_from_worldbank!C189,  IF(ISNUMBER(SEARCH("k",Raw_from_worldbank!C189)),
       VALUE(SUBSTITUTE(LOWER(Raw_from_worldbank!C189),"k",""))*1000,
       NA()))</f>
        <v>11.6</v>
      </c>
      <c r="F185">
        <f>IF(ISNUMBER(Raw_from_worldbank!D189),Raw_from_worldbank!D189,  IF(ISNUMBER(SEARCH("k",Raw_from_worldbank!D189)),
       VALUE(SUBSTITUTE(LOWER(Raw_from_worldbank!D189),"k",""))*1000,
       NA()))</f>
        <v>13.3</v>
      </c>
      <c r="G185">
        <f>IF(ISNUMBER(Raw_from_worldbank!E189),Raw_from_worldbank!E189,  IF(ISNUMBER(SEARCH("k",Raw_from_worldbank!E189)),
       VALUE(SUBSTITUTE(LOWER(Raw_from_worldbank!E189),"k",""))*1000,
       NA()))</f>
        <v>15</v>
      </c>
      <c r="H185">
        <f>IF(ISNUMBER(Raw_from_worldbank!F189),Raw_from_worldbank!F189,  IF(ISNUMBER(SEARCH("k",Raw_from_worldbank!F189)),
       VALUE(SUBSTITUTE(LOWER(Raw_from_worldbank!F189),"k",""))*1000,
       NA()))</f>
        <v>15.9</v>
      </c>
      <c r="I185">
        <f>IF(ISNUMBER(Raw_from_worldbank!G189),Raw_from_worldbank!G189,  IF(ISNUMBER(SEARCH("k",Raw_from_worldbank!G189)),
       VALUE(SUBSTITUTE(LOWER(Raw_from_worldbank!G189),"k",""))*1000,
       NA()))</f>
        <v>16.5</v>
      </c>
      <c r="J185">
        <f>IF(ISNUMBER(Raw_from_worldbank!H189),Raw_from_worldbank!H189,  IF(ISNUMBER(SEARCH("k",Raw_from_worldbank!H189)),
       VALUE(SUBSTITUTE(LOWER(Raw_from_worldbank!H189),"k",""))*1000,
       NA()))</f>
        <v>17</v>
      </c>
    </row>
    <row r="186" spans="1:10" x14ac:dyDescent="0.3">
      <c r="A186" t="str">
        <f>VLOOKUP(LOWER(B186),[1]country_name_iso_mapping!$A:$C,3, FALSE)</f>
        <v>ARE</v>
      </c>
      <c r="B186" t="s">
        <v>185</v>
      </c>
      <c r="C186" t="s">
        <v>185</v>
      </c>
      <c r="D186">
        <f>IF(ISNUMBER(Raw_from_worldbank!B190),Raw_from_worldbank!B190,  IF(ISNUMBER(SEARCH("k",Raw_from_worldbank!B190)),
       VALUE(SUBSTITUTE(LOWER(Raw_from_worldbank!B190),"k",""))*1000,
       NA()))</f>
        <v>2.1</v>
      </c>
      <c r="E186">
        <f>IF(ISNUMBER(Raw_from_worldbank!C190),Raw_from_worldbank!C190,  IF(ISNUMBER(SEARCH("k",Raw_from_worldbank!C190)),
       VALUE(SUBSTITUTE(LOWER(Raw_from_worldbank!C190),"k",""))*1000,
       NA()))</f>
        <v>2.2000000000000002</v>
      </c>
      <c r="F186">
        <f>IF(ISNUMBER(Raw_from_worldbank!D190),Raw_from_worldbank!D190,  IF(ISNUMBER(SEARCH("k",Raw_from_worldbank!D190)),
       VALUE(SUBSTITUTE(LOWER(Raw_from_worldbank!D190),"k",""))*1000,
       NA()))</f>
        <v>2.1</v>
      </c>
      <c r="G186">
        <f>IF(ISNUMBER(Raw_from_worldbank!E190),Raw_from_worldbank!E190,  IF(ISNUMBER(SEARCH("k",Raw_from_worldbank!E190)),
       VALUE(SUBSTITUTE(LOWER(Raw_from_worldbank!E190),"k",""))*1000,
       NA()))</f>
        <v>2</v>
      </c>
      <c r="H186">
        <f>IF(ISNUMBER(Raw_from_worldbank!F190),Raw_from_worldbank!F190,  IF(ISNUMBER(SEARCH("k",Raw_from_worldbank!F190)),
       VALUE(SUBSTITUTE(LOWER(Raw_from_worldbank!F190),"k",""))*1000,
       NA()))</f>
        <v>2</v>
      </c>
      <c r="I186">
        <f>IF(ISNUMBER(Raw_from_worldbank!G190),Raw_from_worldbank!G190,  IF(ISNUMBER(SEARCH("k",Raw_from_worldbank!G190)),
       VALUE(SUBSTITUTE(LOWER(Raw_from_worldbank!G190),"k",""))*1000,
       NA()))</f>
        <v>2</v>
      </c>
      <c r="J186">
        <f>IF(ISNUMBER(Raw_from_worldbank!H190),Raw_from_worldbank!H190,  IF(ISNUMBER(SEARCH("k",Raw_from_worldbank!H190)),
       VALUE(SUBSTITUTE(LOWER(Raw_from_worldbank!H190),"k",""))*1000,
       NA()))</f>
        <v>2</v>
      </c>
    </row>
    <row r="187" spans="1:10" x14ac:dyDescent="0.3">
      <c r="A187" t="str">
        <f>VLOOKUP(LOWER(B187),[1]country_name_iso_mapping!$A:$C,3, FALSE)</f>
        <v>GBR</v>
      </c>
      <c r="B187" t="s">
        <v>186</v>
      </c>
      <c r="C187" t="s">
        <v>186</v>
      </c>
      <c r="D187">
        <f>IF(ISNUMBER(Raw_from_worldbank!B191),Raw_from_worldbank!B191,  IF(ISNUMBER(SEARCH("k",Raw_from_worldbank!B191)),
       VALUE(SUBSTITUTE(LOWER(Raw_from_worldbank!B191),"k",""))*1000,
       NA()))</f>
        <v>0.68</v>
      </c>
      <c r="E187">
        <f>IF(ISNUMBER(Raw_from_worldbank!C191),Raw_from_worldbank!C191,  IF(ISNUMBER(SEARCH("k",Raw_from_worldbank!C191)),
       VALUE(SUBSTITUTE(LOWER(Raw_from_worldbank!C191),"k",""))*1000,
       NA()))</f>
        <v>0.66</v>
      </c>
      <c r="F187">
        <f>IF(ISNUMBER(Raw_from_worldbank!D191),Raw_from_worldbank!D191,  IF(ISNUMBER(SEARCH("k",Raw_from_worldbank!D191)),
       VALUE(SUBSTITUTE(LOWER(Raw_from_worldbank!D191),"k",""))*1000,
       NA()))</f>
        <v>0.69</v>
      </c>
      <c r="G187">
        <f>IF(ISNUMBER(Raw_from_worldbank!E191),Raw_from_worldbank!E191,  IF(ISNUMBER(SEARCH("k",Raw_from_worldbank!E191)),
       VALUE(SUBSTITUTE(LOWER(Raw_from_worldbank!E191),"k",""))*1000,
       NA()))</f>
        <v>0.68</v>
      </c>
      <c r="H187">
        <f>IF(ISNUMBER(Raw_from_worldbank!F191),Raw_from_worldbank!F191,  IF(ISNUMBER(SEARCH("k",Raw_from_worldbank!F191)),
       VALUE(SUBSTITUTE(LOWER(Raw_from_worldbank!F191),"k",""))*1000,
       NA()))</f>
        <v>0.68</v>
      </c>
      <c r="I187">
        <f>IF(ISNUMBER(Raw_from_worldbank!G191),Raw_from_worldbank!G191,  IF(ISNUMBER(SEARCH("k",Raw_from_worldbank!G191)),
       VALUE(SUBSTITUTE(LOWER(Raw_from_worldbank!G191),"k",""))*1000,
       NA()))</f>
        <v>0.69</v>
      </c>
      <c r="J187">
        <f>IF(ISNUMBER(Raw_from_worldbank!H191),Raw_from_worldbank!H191,  IF(ISNUMBER(SEARCH("k",Raw_from_worldbank!H191)),
       VALUE(SUBSTITUTE(LOWER(Raw_from_worldbank!H191),"k",""))*1000,
       NA()))</f>
        <v>0.69</v>
      </c>
    </row>
    <row r="188" spans="1:10" x14ac:dyDescent="0.3">
      <c r="A188" t="str">
        <f>VLOOKUP(LOWER(B188),[1]country_name_iso_mapping!$A:$C,3, FALSE)</f>
        <v>USA</v>
      </c>
      <c r="B188" t="s">
        <v>290</v>
      </c>
      <c r="C188" t="s">
        <v>187</v>
      </c>
      <c r="D188">
        <f>IF(ISNUMBER(Raw_from_worldbank!B192),Raw_from_worldbank!B192,  IF(ISNUMBER(SEARCH("k",Raw_from_worldbank!B192)),
       VALUE(SUBSTITUTE(LOWER(Raw_from_worldbank!B192),"k",""))*1000,
       NA()))</f>
        <v>1</v>
      </c>
      <c r="E188">
        <f>IF(ISNUMBER(Raw_from_worldbank!C192),Raw_from_worldbank!C192,  IF(ISNUMBER(SEARCH("k",Raw_from_worldbank!C192)),
       VALUE(SUBSTITUTE(LOWER(Raw_from_worldbank!C192),"k",""))*1000,
       NA()))</f>
        <v>1</v>
      </c>
      <c r="F188">
        <f>IF(ISNUMBER(Raw_from_worldbank!D192),Raw_from_worldbank!D192,  IF(ISNUMBER(SEARCH("k",Raw_from_worldbank!D192)),
       VALUE(SUBSTITUTE(LOWER(Raw_from_worldbank!D192),"k",""))*1000,
       NA()))</f>
        <v>1</v>
      </c>
      <c r="G188">
        <f>IF(ISNUMBER(Raw_from_worldbank!E192),Raw_from_worldbank!E192,  IF(ISNUMBER(SEARCH("k",Raw_from_worldbank!E192)),
       VALUE(SUBSTITUTE(LOWER(Raw_from_worldbank!E192),"k",""))*1000,
       NA()))</f>
        <v>1</v>
      </c>
      <c r="H188">
        <f>IF(ISNUMBER(Raw_from_worldbank!F192),Raw_from_worldbank!F192,  IF(ISNUMBER(SEARCH("k",Raw_from_worldbank!F192)),
       VALUE(SUBSTITUTE(LOWER(Raw_from_worldbank!F192),"k",""))*1000,
       NA()))</f>
        <v>1</v>
      </c>
      <c r="I188">
        <f>IF(ISNUMBER(Raw_from_worldbank!G192),Raw_from_worldbank!G192,  IF(ISNUMBER(SEARCH("k",Raw_from_worldbank!G192)),
       VALUE(SUBSTITUTE(LOWER(Raw_from_worldbank!G192),"k",""))*1000,
       NA()))</f>
        <v>1</v>
      </c>
      <c r="J188">
        <f>IF(ISNUMBER(Raw_from_worldbank!H192),Raw_from_worldbank!H192,  IF(ISNUMBER(SEARCH("k",Raw_from_worldbank!H192)),
       VALUE(SUBSTITUTE(LOWER(Raw_from_worldbank!H192),"k",""))*1000,
       NA()))</f>
        <v>1</v>
      </c>
    </row>
    <row r="189" spans="1:10" x14ac:dyDescent="0.3">
      <c r="A189" t="str">
        <f>VLOOKUP(LOWER(B189),[1]country_name_iso_mapping!$A:$C,3, FALSE)</f>
        <v>URY</v>
      </c>
      <c r="B189" t="s">
        <v>188</v>
      </c>
      <c r="C189" t="s">
        <v>188</v>
      </c>
      <c r="D189">
        <f>IF(ISNUMBER(Raw_from_worldbank!B193),Raw_from_worldbank!B193,  IF(ISNUMBER(SEARCH("k",Raw_from_worldbank!B193)),
       VALUE(SUBSTITUTE(LOWER(Raw_from_worldbank!B193),"k",""))*1000,
       NA()))</f>
        <v>30.4</v>
      </c>
      <c r="E189">
        <f>IF(ISNUMBER(Raw_from_worldbank!C193),Raw_from_worldbank!C193,  IF(ISNUMBER(SEARCH("k",Raw_from_worldbank!C193)),
       VALUE(SUBSTITUTE(LOWER(Raw_from_worldbank!C193),"k",""))*1000,
       NA()))</f>
        <v>29.6</v>
      </c>
      <c r="F189">
        <f>IF(ISNUMBER(Raw_from_worldbank!D193),Raw_from_worldbank!D193,  IF(ISNUMBER(SEARCH("k",Raw_from_worldbank!D193)),
       VALUE(SUBSTITUTE(LOWER(Raw_from_worldbank!D193),"k",""))*1000,
       NA()))</f>
        <v>29.5</v>
      </c>
      <c r="G189">
        <f>IF(ISNUMBER(Raw_from_worldbank!E193),Raw_from_worldbank!E193,  IF(ISNUMBER(SEARCH("k",Raw_from_worldbank!E193)),
       VALUE(SUBSTITUTE(LOWER(Raw_from_worldbank!E193),"k",""))*1000,
       NA()))</f>
        <v>30.4</v>
      </c>
      <c r="H189">
        <f>IF(ISNUMBER(Raw_from_worldbank!F193),Raw_from_worldbank!F193,  IF(ISNUMBER(SEARCH("k",Raw_from_worldbank!F193)),
       VALUE(SUBSTITUTE(LOWER(Raw_from_worldbank!F193),"k",""))*1000,
       NA()))</f>
        <v>31.5</v>
      </c>
      <c r="I189">
        <f>IF(ISNUMBER(Raw_from_worldbank!G193),Raw_from_worldbank!G193,  IF(ISNUMBER(SEARCH("k",Raw_from_worldbank!G193)),
       VALUE(SUBSTITUTE(LOWER(Raw_from_worldbank!G193),"k",""))*1000,
       NA()))</f>
        <v>32.5</v>
      </c>
      <c r="J189">
        <f>IF(ISNUMBER(Raw_from_worldbank!H193),Raw_from_worldbank!H193,  IF(ISNUMBER(SEARCH("k",Raw_from_worldbank!H193)),
       VALUE(SUBSTITUTE(LOWER(Raw_from_worldbank!H193),"k",""))*1000,
       NA()))</f>
        <v>33.5</v>
      </c>
    </row>
    <row r="190" spans="1:10" x14ac:dyDescent="0.3">
      <c r="A190" t="str">
        <f>VLOOKUP(LOWER(B190),[1]country_name_iso_mapping!$A:$C,3, FALSE)</f>
        <v>UZB</v>
      </c>
      <c r="B190" t="s">
        <v>189</v>
      </c>
      <c r="C190" t="s">
        <v>189</v>
      </c>
      <c r="D190">
        <f>IF(ISNUMBER(Raw_from_worldbank!B194),Raw_from_worldbank!B194,  IF(ISNUMBER(SEARCH("k",Raw_from_worldbank!B194)),
       VALUE(SUBSTITUTE(LOWER(Raw_from_worldbank!B194),"k",""))*1000,
       NA()))</f>
        <v>2500</v>
      </c>
      <c r="E190">
        <f>IF(ISNUMBER(Raw_from_worldbank!C194),Raw_from_worldbank!C194,  IF(ISNUMBER(SEARCH("k",Raw_from_worldbank!C194)),
       VALUE(SUBSTITUTE(LOWER(Raw_from_worldbank!C194),"k",""))*1000,
       NA()))</f>
        <v>2600</v>
      </c>
      <c r="F190">
        <f>IF(ISNUMBER(Raw_from_worldbank!D194),Raw_from_worldbank!D194,  IF(ISNUMBER(SEARCH("k",Raw_from_worldbank!D194)),
       VALUE(SUBSTITUTE(LOWER(Raw_from_worldbank!D194),"k",""))*1000,
       NA()))</f>
        <v>2900</v>
      </c>
      <c r="G190">
        <f>IF(ISNUMBER(Raw_from_worldbank!E194),Raw_from_worldbank!E194,  IF(ISNUMBER(SEARCH("k",Raw_from_worldbank!E194)),
       VALUE(SUBSTITUTE(LOWER(Raw_from_worldbank!E194),"k",""))*1000,
       NA()))</f>
        <v>3100</v>
      </c>
      <c r="H190">
        <f>IF(ISNUMBER(Raw_from_worldbank!F194),Raw_from_worldbank!F194,  IF(ISNUMBER(SEARCH("k",Raw_from_worldbank!F194)),
       VALUE(SUBSTITUTE(LOWER(Raw_from_worldbank!F194),"k",""))*1000,
       NA()))</f>
        <v>3500</v>
      </c>
      <c r="I190">
        <f>IF(ISNUMBER(Raw_from_worldbank!G194),Raw_from_worldbank!G194,  IF(ISNUMBER(SEARCH("k",Raw_from_worldbank!G194)),
       VALUE(SUBSTITUTE(LOWER(Raw_from_worldbank!G194),"k",""))*1000,
       NA()))</f>
        <v>3800</v>
      </c>
      <c r="J190">
        <f>IF(ISNUMBER(Raw_from_worldbank!H194),Raw_from_worldbank!H194,  IF(ISNUMBER(SEARCH("k",Raw_from_worldbank!H194)),
       VALUE(SUBSTITUTE(LOWER(Raw_from_worldbank!H194),"k",""))*1000,
       NA()))</f>
        <v>4000</v>
      </c>
    </row>
    <row r="191" spans="1:10" x14ac:dyDescent="0.3">
      <c r="A191" t="str">
        <f>VLOOKUP(LOWER(B191),[1]country_name_iso_mapping!$A:$C,3, FALSE)</f>
        <v>VUT</v>
      </c>
      <c r="B191" t="s">
        <v>190</v>
      </c>
      <c r="C191" t="s">
        <v>190</v>
      </c>
      <c r="D191">
        <f>IF(ISNUMBER(Raw_from_worldbank!B195),Raw_from_worldbank!B195,  IF(ISNUMBER(SEARCH("k",Raw_from_worldbank!B195)),
       VALUE(SUBSTITUTE(LOWER(Raw_from_worldbank!B195),"k",""))*1000,
       NA()))</f>
        <v>124.9</v>
      </c>
      <c r="E191">
        <f>IF(ISNUMBER(Raw_from_worldbank!C195),Raw_from_worldbank!C195,  IF(ISNUMBER(SEARCH("k",Raw_from_worldbank!C195)),
       VALUE(SUBSTITUTE(LOWER(Raw_from_worldbank!C195),"k",""))*1000,
       NA()))</f>
        <v>129.80000000000001</v>
      </c>
      <c r="F191">
        <f>IF(ISNUMBER(Raw_from_worldbank!D195),Raw_from_worldbank!D195,  IF(ISNUMBER(SEARCH("k",Raw_from_worldbank!D195)),
       VALUE(SUBSTITUTE(LOWER(Raw_from_worldbank!D195),"k",""))*1000,
       NA()))</f>
        <v>139.4</v>
      </c>
      <c r="G191">
        <f>IF(ISNUMBER(Raw_from_worldbank!E195),Raw_from_worldbank!E195,  IF(ISNUMBER(SEARCH("k",Raw_from_worldbank!E195)),
       VALUE(SUBSTITUTE(LOWER(Raw_from_worldbank!E195),"k",""))*1000,
       NA()))</f>
        <v>145.80000000000001</v>
      </c>
      <c r="H191">
        <f>IF(ISNUMBER(Raw_from_worldbank!F195),Raw_from_worldbank!F195,  IF(ISNUMBER(SEARCH("k",Raw_from_worldbank!F195)),
       VALUE(SUBSTITUTE(LOWER(Raw_from_worldbank!F195),"k",""))*1000,
       NA()))</f>
        <v>150.30000000000001</v>
      </c>
      <c r="I191">
        <f>IF(ISNUMBER(Raw_from_worldbank!G195),Raw_from_worldbank!G195,  IF(ISNUMBER(SEARCH("k",Raw_from_worldbank!G195)),
       VALUE(SUBSTITUTE(LOWER(Raw_from_worldbank!G195),"k",""))*1000,
       NA()))</f>
        <v>153.30000000000001</v>
      </c>
      <c r="J191">
        <f>IF(ISNUMBER(Raw_from_worldbank!H195),Raw_from_worldbank!H195,  IF(ISNUMBER(SEARCH("k",Raw_from_worldbank!H195)),
       VALUE(SUBSTITUTE(LOWER(Raw_from_worldbank!H195),"k",""))*1000,
       NA()))</f>
        <v>156.30000000000001</v>
      </c>
    </row>
    <row r="192" spans="1:10" x14ac:dyDescent="0.3">
      <c r="A192" t="str">
        <f>VLOOKUP(LOWER(B192),[1]country_name_iso_mapping!$A:$C,3, FALSE)</f>
        <v>VEN</v>
      </c>
      <c r="B192" t="s">
        <v>291</v>
      </c>
      <c r="C192" t="s">
        <v>191</v>
      </c>
      <c r="D192">
        <f>IF(ISNUMBER(Raw_from_worldbank!B196),Raw_from_worldbank!B196,  IF(ISNUMBER(SEARCH("k",Raw_from_worldbank!B196)),
       VALUE(SUBSTITUTE(LOWER(Raw_from_worldbank!B196),"k",""))*1000,
       NA()))</f>
        <v>1.1000000000000001</v>
      </c>
      <c r="E192">
        <f>IF(ISNUMBER(Raw_from_worldbank!C196),Raw_from_worldbank!C196,  IF(ISNUMBER(SEARCH("k",Raw_from_worldbank!C196)),
       VALUE(SUBSTITUTE(LOWER(Raw_from_worldbank!C196),"k",""))*1000,
       NA()))</f>
        <v>3.3</v>
      </c>
      <c r="F192">
        <f>IF(ISNUMBER(Raw_from_worldbank!D196),Raw_from_worldbank!D196,  IF(ISNUMBER(SEARCH("k",Raw_from_worldbank!D196)),
       VALUE(SUBSTITUTE(LOWER(Raw_from_worldbank!D196),"k",""))*1000,
       NA()))</f>
        <v>13.5</v>
      </c>
      <c r="G192">
        <f>IF(ISNUMBER(Raw_from_worldbank!E196),Raw_from_worldbank!E196,  IF(ISNUMBER(SEARCH("k",Raw_from_worldbank!E196)),
       VALUE(SUBSTITUTE(LOWER(Raw_from_worldbank!E196),"k",""))*1000,
       NA()))</f>
        <v>26.7</v>
      </c>
      <c r="H192">
        <f>IF(ISNUMBER(Raw_from_worldbank!F196),Raw_from_worldbank!F196,  IF(ISNUMBER(SEARCH("k",Raw_from_worldbank!F196)),
       VALUE(SUBSTITUTE(LOWER(Raw_from_worldbank!F196),"k",""))*1000,
       NA()))</f>
        <v>65.900000000000006</v>
      </c>
      <c r="I192" t="e">
        <f>IF(ISNUMBER(Raw_from_worldbank!G196),Raw_from_worldbank!G196,  IF(ISNUMBER(SEARCH("k",Raw_from_worldbank!G196)),
       VALUE(SUBSTITUTE(LOWER(Raw_from_worldbank!G196),"k",""))*1000,
       NA()))</f>
        <v>#N/A</v>
      </c>
      <c r="J192" t="e">
        <f>IF(ISNUMBER(Raw_from_worldbank!H196),Raw_from_worldbank!H196,  IF(ISNUMBER(SEARCH("k",Raw_from_worldbank!H196)),
       VALUE(SUBSTITUTE(LOWER(Raw_from_worldbank!H196),"k",""))*1000,
       NA()))</f>
        <v>#N/A</v>
      </c>
    </row>
    <row r="193" spans="1:10" x14ac:dyDescent="0.3">
      <c r="A193" t="str">
        <f>VLOOKUP(LOWER(B193),[1]country_name_iso_mapping!$A:$C,3, FALSE)</f>
        <v>VNM</v>
      </c>
      <c r="B193" t="s">
        <v>192</v>
      </c>
      <c r="C193" t="s">
        <v>192</v>
      </c>
      <c r="D193">
        <f>IF(ISNUMBER(Raw_from_worldbank!B197),Raw_from_worldbank!B197,  IF(ISNUMBER(SEARCH("k",Raw_from_worldbank!B197)),
       VALUE(SUBSTITUTE(LOWER(Raw_from_worldbank!B197),"k",""))*1000,
       NA()))</f>
        <v>7400</v>
      </c>
      <c r="E193">
        <f>IF(ISNUMBER(Raw_from_worldbank!C197),Raw_from_worldbank!C197,  IF(ISNUMBER(SEARCH("k",Raw_from_worldbank!C197)),
       VALUE(SUBSTITUTE(LOWER(Raw_from_worldbank!C197),"k",""))*1000,
       NA()))</f>
        <v>7200</v>
      </c>
      <c r="F193">
        <f>IF(ISNUMBER(Raw_from_worldbank!D197),Raw_from_worldbank!D197,  IF(ISNUMBER(SEARCH("k",Raw_from_worldbank!D197)),
       VALUE(SUBSTITUTE(LOWER(Raw_from_worldbank!D197),"k",""))*1000,
       NA()))</f>
        <v>7100</v>
      </c>
      <c r="G193">
        <f>IF(ISNUMBER(Raw_from_worldbank!E197),Raw_from_worldbank!E197,  IF(ISNUMBER(SEARCH("k",Raw_from_worldbank!E197)),
       VALUE(SUBSTITUTE(LOWER(Raw_from_worldbank!E197),"k",""))*1000,
       NA()))</f>
        <v>7200</v>
      </c>
      <c r="H193">
        <f>IF(ISNUMBER(Raw_from_worldbank!F197),Raw_from_worldbank!F197,  IF(ISNUMBER(SEARCH("k",Raw_from_worldbank!F197)),
       VALUE(SUBSTITUTE(LOWER(Raw_from_worldbank!F197),"k",""))*1000,
       NA()))</f>
        <v>7300</v>
      </c>
      <c r="I193">
        <f>IF(ISNUMBER(Raw_from_worldbank!G197),Raw_from_worldbank!G197,  IF(ISNUMBER(SEARCH("k",Raw_from_worldbank!G197)),
       VALUE(SUBSTITUTE(LOWER(Raw_from_worldbank!G197),"k",""))*1000,
       NA()))</f>
        <v>7400</v>
      </c>
      <c r="J193">
        <f>IF(ISNUMBER(Raw_from_worldbank!H197),Raw_from_worldbank!H197,  IF(ISNUMBER(SEARCH("k",Raw_from_worldbank!H197)),
       VALUE(SUBSTITUTE(LOWER(Raw_from_worldbank!H197),"k",""))*1000,
       NA()))</f>
        <v>7500</v>
      </c>
    </row>
    <row r="194" spans="1:10" x14ac:dyDescent="0.3">
      <c r="A194" t="str">
        <f>VLOOKUP(LOWER(B194),[1]country_name_iso_mapping!$A:$C,3, FALSE)</f>
        <v>PSE</v>
      </c>
      <c r="B194" t="s">
        <v>292</v>
      </c>
      <c r="C194" t="s">
        <v>193</v>
      </c>
      <c r="D194">
        <f>IF(ISNUMBER(Raw_from_worldbank!B198),Raw_from_worldbank!B198,  IF(ISNUMBER(SEARCH("k",Raw_from_worldbank!B198)),
       VALUE(SUBSTITUTE(LOWER(Raw_from_worldbank!B198),"k",""))*1000,
       NA()))</f>
        <v>1.9</v>
      </c>
      <c r="E194">
        <f>IF(ISNUMBER(Raw_from_worldbank!C198),Raw_from_worldbank!C198,  IF(ISNUMBER(SEARCH("k",Raw_from_worldbank!C198)),
       VALUE(SUBSTITUTE(LOWER(Raw_from_worldbank!C198),"k",""))*1000,
       NA()))</f>
        <v>1.9</v>
      </c>
      <c r="F194">
        <f>IF(ISNUMBER(Raw_from_worldbank!D198),Raw_from_worldbank!D198,  IF(ISNUMBER(SEARCH("k",Raw_from_worldbank!D198)),
       VALUE(SUBSTITUTE(LOWER(Raw_from_worldbank!D198),"k",""))*1000,
       NA()))</f>
        <v>2.1</v>
      </c>
      <c r="G194" t="e">
        <f>IF(ISNUMBER(Raw_from_worldbank!E198),Raw_from_worldbank!E198,  IF(ISNUMBER(SEARCH("k",Raw_from_worldbank!E198)),
       VALUE(SUBSTITUTE(LOWER(Raw_from_worldbank!E198),"k",""))*1000,
       NA()))</f>
        <v>#N/A</v>
      </c>
      <c r="H194" t="e">
        <f>IF(ISNUMBER(Raw_from_worldbank!F198),Raw_from_worldbank!F198,  IF(ISNUMBER(SEARCH("k",Raw_from_worldbank!F198)),
       VALUE(SUBSTITUTE(LOWER(Raw_from_worldbank!F198),"k",""))*1000,
       NA()))</f>
        <v>#N/A</v>
      </c>
      <c r="I194" t="e">
        <f>IF(ISNUMBER(Raw_from_worldbank!G198),Raw_from_worldbank!G198,  IF(ISNUMBER(SEARCH("k",Raw_from_worldbank!G198)),
       VALUE(SUBSTITUTE(LOWER(Raw_from_worldbank!G198),"k",""))*1000,
       NA()))</f>
        <v>#N/A</v>
      </c>
      <c r="J194" t="e">
        <f>IF(ISNUMBER(Raw_from_worldbank!H198),Raw_from_worldbank!H198,  IF(ISNUMBER(SEARCH("k",Raw_from_worldbank!H198)),
       VALUE(SUBSTITUTE(LOWER(Raw_from_worldbank!H198),"k",""))*1000,
       NA()))</f>
        <v>#N/A</v>
      </c>
    </row>
    <row r="195" spans="1:10" x14ac:dyDescent="0.3">
      <c r="A195" t="str">
        <f>VLOOKUP(LOWER(B195),[1]country_name_iso_mapping!$A:$C,3, FALSE)</f>
        <v>YEM</v>
      </c>
      <c r="B195" t="s">
        <v>293</v>
      </c>
      <c r="C195" t="s">
        <v>194</v>
      </c>
      <c r="D195">
        <f>IF(ISNUMBER(Raw_from_worldbank!B199),Raw_from_worldbank!B199,  IF(ISNUMBER(SEARCH("k",Raw_from_worldbank!B199)),
       VALUE(SUBSTITUTE(LOWER(Raw_from_worldbank!B199),"k",""))*1000,
       NA()))</f>
        <v>320.8</v>
      </c>
      <c r="E195">
        <f>IF(ISNUMBER(Raw_from_worldbank!C199),Raw_from_worldbank!C199,  IF(ISNUMBER(SEARCH("k",Raw_from_worldbank!C199)),
       VALUE(SUBSTITUTE(LOWER(Raw_from_worldbank!C199),"k",""))*1000,
       NA()))</f>
        <v>388.6</v>
      </c>
      <c r="F195">
        <f>IF(ISNUMBER(Raw_from_worldbank!D199),Raw_from_worldbank!D199,  IF(ISNUMBER(SEARCH("k",Raw_from_worldbank!D199)),
       VALUE(SUBSTITUTE(LOWER(Raw_from_worldbank!D199),"k",""))*1000,
       NA()))</f>
        <v>364</v>
      </c>
      <c r="G195">
        <f>IF(ISNUMBER(Raw_from_worldbank!E199),Raw_from_worldbank!E199,  IF(ISNUMBER(SEARCH("k",Raw_from_worldbank!E199)),
       VALUE(SUBSTITUTE(LOWER(Raw_from_worldbank!E199),"k",""))*1000,
       NA()))</f>
        <v>416</v>
      </c>
      <c r="H195">
        <f>IF(ISNUMBER(Raw_from_worldbank!F199),Raw_from_worldbank!F199,  IF(ISNUMBER(SEARCH("k",Raw_from_worldbank!F199)),
       VALUE(SUBSTITUTE(LOWER(Raw_from_worldbank!F199),"k",""))*1000,
       NA()))</f>
        <v>478.7</v>
      </c>
      <c r="I195">
        <f>IF(ISNUMBER(Raw_from_worldbank!G199),Raw_from_worldbank!G199,  IF(ISNUMBER(SEARCH("k",Raw_from_worldbank!G199)),
       VALUE(SUBSTITUTE(LOWER(Raw_from_worldbank!G199),"k",""))*1000,
       NA()))</f>
        <v>551.4</v>
      </c>
      <c r="J195">
        <f>IF(ISNUMBER(Raw_from_worldbank!H199),Raw_from_worldbank!H199,  IF(ISNUMBER(SEARCH("k",Raw_from_worldbank!H199)),
       VALUE(SUBSTITUTE(LOWER(Raw_from_worldbank!H199),"k",""))*1000,
       NA()))</f>
        <v>633.4</v>
      </c>
    </row>
    <row r="196" spans="1:10" x14ac:dyDescent="0.3">
      <c r="A196" t="str">
        <f>VLOOKUP(LOWER(B196),[1]country_name_iso_mapping!$A:$C,3, FALSE)</f>
        <v>ZMB</v>
      </c>
      <c r="B196" t="s">
        <v>195</v>
      </c>
      <c r="C196" t="s">
        <v>195</v>
      </c>
      <c r="D196">
        <f>IF(ISNUMBER(Raw_from_worldbank!B200),Raw_from_worldbank!B200,  IF(ISNUMBER(SEARCH("k",Raw_from_worldbank!B200)),
       VALUE(SUBSTITUTE(LOWER(Raw_from_worldbank!B200),"k",""))*1000,
       NA()))</f>
        <v>6.3</v>
      </c>
      <c r="E196">
        <f>IF(ISNUMBER(Raw_from_worldbank!C200),Raw_from_worldbank!C200,  IF(ISNUMBER(SEARCH("k",Raw_from_worldbank!C200)),
       VALUE(SUBSTITUTE(LOWER(Raw_from_worldbank!C200),"k",""))*1000,
       NA()))</f>
        <v>6.2</v>
      </c>
      <c r="F196">
        <f>IF(ISNUMBER(Raw_from_worldbank!D200),Raw_from_worldbank!D200,  IF(ISNUMBER(SEARCH("k",Raw_from_worldbank!D200)),
       VALUE(SUBSTITUTE(LOWER(Raw_from_worldbank!D200),"k",""))*1000,
       NA()))</f>
        <v>6.6</v>
      </c>
      <c r="G196">
        <f>IF(ISNUMBER(Raw_from_worldbank!E200),Raw_from_worldbank!E200,  IF(ISNUMBER(SEARCH("k",Raw_from_worldbank!E200)),
       VALUE(SUBSTITUTE(LOWER(Raw_from_worldbank!E200),"k",""))*1000,
       NA()))</f>
        <v>7.1</v>
      </c>
      <c r="H196">
        <f>IF(ISNUMBER(Raw_from_worldbank!F200),Raw_from_worldbank!F200,  IF(ISNUMBER(SEARCH("k",Raw_from_worldbank!F200)),
       VALUE(SUBSTITUTE(LOWER(Raw_from_worldbank!F200),"k",""))*1000,
       NA()))</f>
        <v>7.5</v>
      </c>
      <c r="I196">
        <f>IF(ISNUMBER(Raw_from_worldbank!G200),Raw_from_worldbank!G200,  IF(ISNUMBER(SEARCH("k",Raw_from_worldbank!G200)),
       VALUE(SUBSTITUTE(LOWER(Raw_from_worldbank!G200),"k",""))*1000,
       NA()))</f>
        <v>7.9</v>
      </c>
      <c r="J196">
        <f>IF(ISNUMBER(Raw_from_worldbank!H200),Raw_from_worldbank!H200,  IF(ISNUMBER(SEARCH("k",Raw_from_worldbank!H200)),
       VALUE(SUBSTITUTE(LOWER(Raw_from_worldbank!H200),"k",""))*1000,
       NA()))</f>
        <v>8.3000000000000007</v>
      </c>
    </row>
    <row r="197" spans="1:10" x14ac:dyDescent="0.3">
      <c r="A197" t="str">
        <f>VLOOKUP(LOWER(B197),[1]country_name_iso_mapping!$A:$C,3, FALSE)</f>
        <v>ZWE</v>
      </c>
      <c r="B197" t="s">
        <v>196</v>
      </c>
      <c r="C197" t="s">
        <v>196</v>
      </c>
      <c r="D197">
        <f>IF(ISNUMBER(Raw_from_worldbank!B201),Raw_from_worldbank!B201,  IF(ISNUMBER(SEARCH("k",Raw_from_worldbank!B201)),
       VALUE(SUBSTITUTE(LOWER(Raw_from_worldbank!B201),"k",""))*1000,
       NA()))</f>
        <v>85.5</v>
      </c>
      <c r="E197">
        <f>IF(ISNUMBER(Raw_from_worldbank!C201),Raw_from_worldbank!C201,  IF(ISNUMBER(SEARCH("k",Raw_from_worldbank!C201)),
       VALUE(SUBSTITUTE(LOWER(Raw_from_worldbank!C201),"k",""))*1000,
       NA()))</f>
        <v>291.39999999999998</v>
      </c>
      <c r="F197">
        <f>IF(ISNUMBER(Raw_from_worldbank!D201),Raw_from_worldbank!D201,  IF(ISNUMBER(SEARCH("k",Raw_from_worldbank!D201)),
       VALUE(SUBSTITUTE(LOWER(Raw_from_worldbank!D201),"k",""))*1000,
       NA()))</f>
        <v>2600</v>
      </c>
      <c r="G197">
        <f>IF(ISNUMBER(Raw_from_worldbank!E201),Raw_from_worldbank!E201,  IF(ISNUMBER(SEARCH("k",Raw_from_worldbank!E201)),
       VALUE(SUBSTITUTE(LOWER(Raw_from_worldbank!E201),"k",""))*1000,
       NA()))</f>
        <v>16600</v>
      </c>
      <c r="H197">
        <f>IF(ISNUMBER(Raw_from_worldbank!F201),Raw_from_worldbank!F201,  IF(ISNUMBER(SEARCH("k",Raw_from_worldbank!F201)),
       VALUE(SUBSTITUTE(LOWER(Raw_from_worldbank!F201),"k",""))*1000,
       NA()))</f>
        <v>106500</v>
      </c>
      <c r="I197">
        <f>IF(ISNUMBER(Raw_from_worldbank!G201),Raw_from_worldbank!G201,  IF(ISNUMBER(SEARCH("k",Raw_from_worldbank!G201)),
       VALUE(SUBSTITUTE(LOWER(Raw_from_worldbank!G201),"k",""))*1000,
       NA()))</f>
        <v>639300</v>
      </c>
      <c r="J197" t="e">
        <f>IF(ISNUMBER(Raw_from_worldbank!H201),Raw_from_worldbank!H201,  IF(ISNUMBER(SEARCH("k",Raw_from_worldbank!H201)),
       VALUE(SUBSTITUTE(LOWER(Raw_from_worldbank!H201),"k",""))*1000,
       NA()))</f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6E487-A57A-421D-9D4F-6F7697327E22}">
  <dimension ref="A1:H201"/>
  <sheetViews>
    <sheetView topLeftCell="A28" workbookViewId="0">
      <selection activeCell="E4" sqref="E4"/>
    </sheetView>
  </sheetViews>
  <sheetFormatPr defaultRowHeight="14.4" x14ac:dyDescent="0.3"/>
  <cols>
    <col min="1" max="1" width="26.44140625" customWidth="1"/>
    <col min="2" max="8" width="11.109375" bestFit="1" customWidth="1"/>
  </cols>
  <sheetData>
    <row r="1" spans="1:8" x14ac:dyDescent="0.3">
      <c r="A1" s="1" t="s">
        <v>252</v>
      </c>
    </row>
    <row r="2" spans="1:8" x14ac:dyDescent="0.3">
      <c r="A2" s="1" t="s">
        <v>253</v>
      </c>
    </row>
    <row r="5" spans="1:8" s="1" customFormat="1" x14ac:dyDescent="0.3">
      <c r="A5" s="1" t="s">
        <v>0</v>
      </c>
      <c r="B5" s="1" t="s">
        <v>260</v>
      </c>
      <c r="C5" s="1" t="s">
        <v>261</v>
      </c>
      <c r="D5" s="1" t="s">
        <v>242</v>
      </c>
      <c r="E5" s="1" t="s">
        <v>243</v>
      </c>
      <c r="F5" s="1" t="s">
        <v>244</v>
      </c>
      <c r="G5" s="1" t="s">
        <v>245</v>
      </c>
      <c r="H5" s="1" t="s">
        <v>246</v>
      </c>
    </row>
    <row r="6" spans="1:8" x14ac:dyDescent="0.3">
      <c r="A6" t="s">
        <v>1</v>
      </c>
      <c r="B6">
        <v>17.3</v>
      </c>
      <c r="C6">
        <v>17.7</v>
      </c>
      <c r="D6" t="s">
        <v>197</v>
      </c>
      <c r="E6" t="s">
        <v>197</v>
      </c>
      <c r="F6" t="s">
        <v>197</v>
      </c>
      <c r="G6" t="s">
        <v>197</v>
      </c>
      <c r="H6" t="s">
        <v>197</v>
      </c>
    </row>
    <row r="7" spans="1:8" x14ac:dyDescent="0.3">
      <c r="A7" t="s">
        <v>2</v>
      </c>
      <c r="B7">
        <v>40</v>
      </c>
      <c r="C7">
        <v>41.1</v>
      </c>
      <c r="D7">
        <v>41.4</v>
      </c>
      <c r="E7">
        <v>41.8</v>
      </c>
      <c r="F7">
        <v>42.3</v>
      </c>
      <c r="G7">
        <v>42.7</v>
      </c>
      <c r="H7">
        <v>43.2</v>
      </c>
    </row>
    <row r="8" spans="1:8" x14ac:dyDescent="0.3">
      <c r="A8" t="s">
        <v>3</v>
      </c>
      <c r="B8">
        <v>41.7</v>
      </c>
      <c r="C8">
        <v>47.9</v>
      </c>
      <c r="D8">
        <v>46</v>
      </c>
      <c r="E8">
        <v>47.8</v>
      </c>
      <c r="F8">
        <v>49.8</v>
      </c>
      <c r="G8">
        <v>51.8</v>
      </c>
      <c r="H8">
        <v>53.6</v>
      </c>
    </row>
    <row r="9" spans="1:8" x14ac:dyDescent="0.3">
      <c r="A9" t="s">
        <v>4</v>
      </c>
      <c r="B9">
        <v>0.61</v>
      </c>
      <c r="C9">
        <v>0.59</v>
      </c>
      <c r="D9">
        <v>0.6</v>
      </c>
      <c r="E9">
        <v>0.6</v>
      </c>
      <c r="F9">
        <v>0.61</v>
      </c>
      <c r="G9">
        <v>0.6</v>
      </c>
      <c r="H9">
        <v>0.6</v>
      </c>
    </row>
    <row r="10" spans="1:8" x14ac:dyDescent="0.3">
      <c r="A10" t="s">
        <v>5</v>
      </c>
      <c r="B10">
        <v>210.4</v>
      </c>
      <c r="C10">
        <v>229.1</v>
      </c>
      <c r="D10">
        <v>250.7</v>
      </c>
      <c r="E10">
        <v>304.5</v>
      </c>
      <c r="F10">
        <v>332.3</v>
      </c>
      <c r="G10">
        <v>347.1</v>
      </c>
      <c r="H10">
        <v>362.5</v>
      </c>
    </row>
    <row r="11" spans="1:8" x14ac:dyDescent="0.3">
      <c r="A11" t="s">
        <v>6</v>
      </c>
      <c r="B11">
        <v>2.1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</row>
    <row r="12" spans="1:8" x14ac:dyDescent="0.3">
      <c r="A12" t="s">
        <v>7</v>
      </c>
      <c r="B12">
        <v>42.5</v>
      </c>
      <c r="C12">
        <v>67.3</v>
      </c>
      <c r="D12">
        <v>154</v>
      </c>
      <c r="E12">
        <v>528.70000000000005</v>
      </c>
      <c r="F12">
        <v>826.5</v>
      </c>
      <c r="G12" t="s">
        <v>198</v>
      </c>
      <c r="H12" t="s">
        <v>199</v>
      </c>
    </row>
    <row r="13" spans="1:8" x14ac:dyDescent="0.3">
      <c r="A13" t="s">
        <v>8</v>
      </c>
      <c r="B13">
        <v>160</v>
      </c>
      <c r="C13">
        <v>161.4</v>
      </c>
      <c r="D13">
        <v>160.1</v>
      </c>
      <c r="E13">
        <v>162.6</v>
      </c>
      <c r="F13">
        <v>166.2</v>
      </c>
      <c r="G13">
        <v>169.5</v>
      </c>
      <c r="H13">
        <v>172.9</v>
      </c>
    </row>
    <row r="14" spans="1:8" x14ac:dyDescent="0.3">
      <c r="A14" t="s">
        <v>9</v>
      </c>
      <c r="B14">
        <v>1.3</v>
      </c>
      <c r="C14">
        <v>1.2</v>
      </c>
      <c r="D14">
        <v>1.2</v>
      </c>
      <c r="E14">
        <v>1.2</v>
      </c>
      <c r="F14">
        <v>1.2</v>
      </c>
      <c r="G14">
        <v>1.2</v>
      </c>
      <c r="H14">
        <v>1.2</v>
      </c>
    </row>
    <row r="15" spans="1:8" x14ac:dyDescent="0.3">
      <c r="A15" t="s">
        <v>10</v>
      </c>
      <c r="B15">
        <v>1.5</v>
      </c>
      <c r="C15">
        <v>1.5</v>
      </c>
      <c r="D15">
        <v>1.5</v>
      </c>
      <c r="E15">
        <v>1.5</v>
      </c>
      <c r="F15">
        <v>1.6</v>
      </c>
      <c r="G15">
        <v>1.6</v>
      </c>
      <c r="H15">
        <v>1.6</v>
      </c>
    </row>
    <row r="16" spans="1:8" x14ac:dyDescent="0.3">
      <c r="A16" t="s">
        <v>11</v>
      </c>
      <c r="B16">
        <v>0.76</v>
      </c>
      <c r="C16">
        <v>0.75</v>
      </c>
      <c r="D16">
        <v>0.78</v>
      </c>
      <c r="E16">
        <v>0.79</v>
      </c>
      <c r="F16">
        <v>0.8</v>
      </c>
      <c r="G16">
        <v>0.8</v>
      </c>
      <c r="H16">
        <v>0.8</v>
      </c>
    </row>
    <row r="17" spans="1:8" x14ac:dyDescent="0.3">
      <c r="A17" t="s">
        <v>12</v>
      </c>
      <c r="B17">
        <v>0.57999999999999996</v>
      </c>
      <c r="C17">
        <v>0.74</v>
      </c>
      <c r="D17">
        <v>0.69</v>
      </c>
      <c r="E17">
        <v>0.67</v>
      </c>
      <c r="F17">
        <v>0.67</v>
      </c>
      <c r="G17">
        <v>0.67</v>
      </c>
      <c r="H17">
        <v>0.67</v>
      </c>
    </row>
    <row r="18" spans="1:8" x14ac:dyDescent="0.3">
      <c r="A18" t="s">
        <v>13</v>
      </c>
      <c r="B18">
        <v>0.84</v>
      </c>
      <c r="C18">
        <v>0.77</v>
      </c>
      <c r="D18">
        <v>0.76</v>
      </c>
      <c r="E18">
        <v>0.76</v>
      </c>
      <c r="F18">
        <v>0.76</v>
      </c>
      <c r="G18">
        <v>0.76</v>
      </c>
      <c r="H18">
        <v>0.76</v>
      </c>
    </row>
    <row r="19" spans="1:8" x14ac:dyDescent="0.3">
      <c r="A19" t="s">
        <v>14</v>
      </c>
      <c r="B19">
        <v>0.18</v>
      </c>
      <c r="C19">
        <v>0.18</v>
      </c>
      <c r="D19">
        <v>0.17</v>
      </c>
      <c r="E19">
        <v>0.17</v>
      </c>
      <c r="F19">
        <v>0.17</v>
      </c>
      <c r="G19">
        <v>0.17</v>
      </c>
      <c r="H19">
        <v>0.17</v>
      </c>
    </row>
    <row r="20" spans="1:8" x14ac:dyDescent="0.3">
      <c r="A20" t="s">
        <v>15</v>
      </c>
      <c r="B20">
        <v>31.9</v>
      </c>
      <c r="C20">
        <v>31.3</v>
      </c>
      <c r="D20">
        <v>32</v>
      </c>
      <c r="E20">
        <v>32.9</v>
      </c>
      <c r="F20">
        <v>34.1</v>
      </c>
      <c r="G20">
        <v>35.4</v>
      </c>
      <c r="H20">
        <v>36.700000000000003</v>
      </c>
    </row>
    <row r="21" spans="1:8" x14ac:dyDescent="0.3">
      <c r="A21" t="s">
        <v>16</v>
      </c>
      <c r="B21">
        <v>2.2999999999999998</v>
      </c>
      <c r="C21">
        <v>2.2000000000000002</v>
      </c>
      <c r="D21">
        <v>2.2999999999999998</v>
      </c>
      <c r="E21">
        <v>2.2999999999999998</v>
      </c>
      <c r="F21">
        <v>2.2999999999999998</v>
      </c>
      <c r="G21">
        <v>2.2999999999999998</v>
      </c>
      <c r="H21">
        <v>2.4</v>
      </c>
    </row>
    <row r="22" spans="1:8" x14ac:dyDescent="0.3">
      <c r="A22" t="s">
        <v>17</v>
      </c>
      <c r="B22">
        <v>0.85</v>
      </c>
      <c r="C22">
        <v>0.92</v>
      </c>
      <c r="D22">
        <v>0.97</v>
      </c>
      <c r="E22">
        <v>0.97</v>
      </c>
      <c r="F22">
        <v>1</v>
      </c>
      <c r="G22">
        <v>1.1000000000000001</v>
      </c>
      <c r="H22">
        <v>1.1000000000000001</v>
      </c>
    </row>
    <row r="23" spans="1:8" x14ac:dyDescent="0.3">
      <c r="A23" t="s">
        <v>18</v>
      </c>
      <c r="B23">
        <v>0.76</v>
      </c>
      <c r="C23">
        <v>0.75</v>
      </c>
      <c r="D23">
        <v>0.75</v>
      </c>
      <c r="E23">
        <v>0.76</v>
      </c>
      <c r="F23">
        <v>0.76</v>
      </c>
      <c r="G23">
        <v>0.76</v>
      </c>
      <c r="H23">
        <v>0.76</v>
      </c>
    </row>
    <row r="24" spans="1:8" x14ac:dyDescent="0.3">
      <c r="A24" t="s">
        <v>19</v>
      </c>
      <c r="B24">
        <v>1.2</v>
      </c>
      <c r="C24">
        <v>1.3</v>
      </c>
      <c r="D24">
        <v>1.3</v>
      </c>
      <c r="E24">
        <v>1.3</v>
      </c>
      <c r="F24">
        <v>1.3</v>
      </c>
      <c r="G24">
        <v>1.3</v>
      </c>
      <c r="H24">
        <v>1.3</v>
      </c>
    </row>
    <row r="25" spans="1:8" x14ac:dyDescent="0.3">
      <c r="A25" t="s">
        <v>20</v>
      </c>
      <c r="B25">
        <v>206.2</v>
      </c>
      <c r="C25">
        <v>200.6</v>
      </c>
      <c r="D25">
        <v>198.3</v>
      </c>
      <c r="E25">
        <v>199.4</v>
      </c>
      <c r="F25">
        <v>199.9</v>
      </c>
      <c r="G25">
        <v>200.1</v>
      </c>
      <c r="H25">
        <v>200.3</v>
      </c>
    </row>
    <row r="26" spans="1:8" x14ac:dyDescent="0.3">
      <c r="A26" t="s">
        <v>21</v>
      </c>
      <c r="B26">
        <v>20.3</v>
      </c>
      <c r="C26">
        <v>20.2</v>
      </c>
      <c r="D26">
        <v>20.399999999999999</v>
      </c>
      <c r="E26">
        <v>20.9</v>
      </c>
      <c r="F26">
        <v>21.5</v>
      </c>
      <c r="G26">
        <v>22</v>
      </c>
      <c r="H26">
        <v>22.5</v>
      </c>
    </row>
    <row r="27" spans="1:8" x14ac:dyDescent="0.3">
      <c r="A27" t="s">
        <v>22</v>
      </c>
      <c r="B27">
        <v>2.6</v>
      </c>
      <c r="C27">
        <v>2.6</v>
      </c>
      <c r="D27">
        <v>2.5</v>
      </c>
      <c r="E27">
        <v>2.6</v>
      </c>
      <c r="F27">
        <v>2.6</v>
      </c>
      <c r="G27">
        <v>2.7</v>
      </c>
      <c r="H27">
        <v>2.7</v>
      </c>
    </row>
    <row r="28" spans="1:8" x14ac:dyDescent="0.3">
      <c r="A28" t="s">
        <v>23</v>
      </c>
      <c r="B28">
        <v>0.68</v>
      </c>
      <c r="C28">
        <v>0.71</v>
      </c>
      <c r="D28">
        <v>0.72</v>
      </c>
      <c r="E28">
        <v>0.73</v>
      </c>
      <c r="F28">
        <v>0.74</v>
      </c>
      <c r="G28">
        <v>0.74</v>
      </c>
      <c r="H28">
        <v>0.74</v>
      </c>
    </row>
    <row r="29" spans="1:8" x14ac:dyDescent="0.3">
      <c r="A29" t="s">
        <v>24</v>
      </c>
      <c r="B29">
        <v>4.9000000000000004</v>
      </c>
      <c r="C29">
        <v>5.2</v>
      </c>
      <c r="D29">
        <v>5.4</v>
      </c>
      <c r="E29">
        <v>5.3</v>
      </c>
      <c r="F29">
        <v>5.5</v>
      </c>
      <c r="G29">
        <v>5.7</v>
      </c>
      <c r="H29">
        <v>5.9</v>
      </c>
    </row>
    <row r="30" spans="1:8" x14ac:dyDescent="0.3">
      <c r="A30" t="s">
        <v>25</v>
      </c>
      <c r="B30">
        <v>2.6</v>
      </c>
      <c r="C30">
        <v>2.6</v>
      </c>
      <c r="D30">
        <v>2.7</v>
      </c>
      <c r="E30">
        <v>2.7</v>
      </c>
      <c r="F30">
        <v>2.8</v>
      </c>
      <c r="G30">
        <v>2.8</v>
      </c>
      <c r="H30">
        <v>2.9</v>
      </c>
    </row>
    <row r="31" spans="1:8" x14ac:dyDescent="0.3">
      <c r="A31" t="s">
        <v>26</v>
      </c>
      <c r="B31">
        <v>0.64</v>
      </c>
      <c r="C31">
        <v>0.74</v>
      </c>
      <c r="D31">
        <v>0.62</v>
      </c>
      <c r="E31">
        <v>0.61</v>
      </c>
      <c r="F31">
        <v>0.62</v>
      </c>
      <c r="G31">
        <v>0.61</v>
      </c>
      <c r="H31">
        <v>0.61</v>
      </c>
    </row>
    <row r="32" spans="1:8" x14ac:dyDescent="0.3">
      <c r="A32" t="s">
        <v>27</v>
      </c>
      <c r="B32">
        <v>0.75</v>
      </c>
      <c r="C32">
        <v>0.81</v>
      </c>
      <c r="D32">
        <v>0.84</v>
      </c>
      <c r="E32">
        <v>0.85</v>
      </c>
      <c r="F32">
        <v>0.87</v>
      </c>
      <c r="G32">
        <v>0.87</v>
      </c>
      <c r="H32">
        <v>0.88</v>
      </c>
    </row>
    <row r="33" spans="1:8" x14ac:dyDescent="0.3">
      <c r="A33" t="s">
        <v>28</v>
      </c>
      <c r="B33">
        <v>205.6</v>
      </c>
      <c r="C33">
        <v>203.9</v>
      </c>
      <c r="D33">
        <v>199.5</v>
      </c>
      <c r="E33">
        <v>199.1</v>
      </c>
      <c r="F33">
        <v>199.9</v>
      </c>
      <c r="G33">
        <v>200.4</v>
      </c>
      <c r="H33">
        <v>200.9</v>
      </c>
    </row>
    <row r="34" spans="1:8" x14ac:dyDescent="0.3">
      <c r="A34" t="s">
        <v>29</v>
      </c>
      <c r="B34">
        <v>669.1</v>
      </c>
      <c r="C34">
        <v>739.7</v>
      </c>
      <c r="D34">
        <v>950</v>
      </c>
      <c r="E34" t="s">
        <v>198</v>
      </c>
      <c r="F34" t="s">
        <v>200</v>
      </c>
      <c r="G34" t="s">
        <v>201</v>
      </c>
      <c r="H34" t="s">
        <v>202</v>
      </c>
    </row>
    <row r="35" spans="1:8" x14ac:dyDescent="0.3">
      <c r="A35" t="s">
        <v>30</v>
      </c>
      <c r="B35">
        <v>45.2</v>
      </c>
      <c r="C35">
        <v>45.5</v>
      </c>
      <c r="D35">
        <v>45.8</v>
      </c>
      <c r="E35">
        <v>45.7</v>
      </c>
      <c r="F35">
        <v>45.8</v>
      </c>
      <c r="G35">
        <v>45.8</v>
      </c>
      <c r="H35">
        <v>45.9</v>
      </c>
    </row>
    <row r="36" spans="1:8" x14ac:dyDescent="0.3">
      <c r="A36" t="s">
        <v>31</v>
      </c>
      <c r="B36" t="s">
        <v>203</v>
      </c>
      <c r="C36" t="s">
        <v>203</v>
      </c>
      <c r="D36" t="s">
        <v>203</v>
      </c>
      <c r="E36" t="s">
        <v>203</v>
      </c>
      <c r="F36" t="s">
        <v>203</v>
      </c>
      <c r="G36" t="s">
        <v>203</v>
      </c>
      <c r="H36" t="s">
        <v>203</v>
      </c>
    </row>
    <row r="37" spans="1:8" x14ac:dyDescent="0.3">
      <c r="A37" t="s">
        <v>32</v>
      </c>
      <c r="B37">
        <v>226.1</v>
      </c>
      <c r="C37">
        <v>224.6</v>
      </c>
      <c r="D37">
        <v>223.4</v>
      </c>
      <c r="E37">
        <v>225.3</v>
      </c>
      <c r="F37">
        <v>229.8</v>
      </c>
      <c r="G37">
        <v>232</v>
      </c>
      <c r="H37">
        <v>233.4</v>
      </c>
    </row>
    <row r="38" spans="1:8" x14ac:dyDescent="0.3">
      <c r="A38" t="s">
        <v>33</v>
      </c>
      <c r="B38">
        <v>1.2</v>
      </c>
      <c r="C38">
        <v>1.2</v>
      </c>
      <c r="D38">
        <v>1.2</v>
      </c>
      <c r="E38">
        <v>1.2</v>
      </c>
      <c r="F38">
        <v>1.2</v>
      </c>
      <c r="G38">
        <v>1.2</v>
      </c>
      <c r="H38">
        <v>1.2</v>
      </c>
    </row>
    <row r="39" spans="1:8" x14ac:dyDescent="0.3">
      <c r="A39" t="s">
        <v>34</v>
      </c>
      <c r="B39">
        <v>284.2</v>
      </c>
      <c r="C39">
        <v>282.39999999999998</v>
      </c>
      <c r="D39">
        <v>281.89999999999998</v>
      </c>
      <c r="E39">
        <v>291.60000000000002</v>
      </c>
      <c r="F39">
        <v>299.39999999999998</v>
      </c>
      <c r="G39">
        <v>305</v>
      </c>
      <c r="H39">
        <v>308.8</v>
      </c>
    </row>
    <row r="40" spans="1:8" x14ac:dyDescent="0.3">
      <c r="A40" t="s">
        <v>35</v>
      </c>
      <c r="B40">
        <v>231.6</v>
      </c>
      <c r="C40">
        <v>241.2</v>
      </c>
      <c r="D40">
        <v>231.5</v>
      </c>
      <c r="E40">
        <v>232.7</v>
      </c>
      <c r="F40">
        <v>232.4</v>
      </c>
      <c r="G40">
        <v>234.7</v>
      </c>
      <c r="H40">
        <v>237.5</v>
      </c>
    </row>
    <row r="41" spans="1:8" x14ac:dyDescent="0.3">
      <c r="A41" t="s">
        <v>36</v>
      </c>
      <c r="B41">
        <v>455.9</v>
      </c>
      <c r="C41">
        <v>459.6</v>
      </c>
      <c r="D41">
        <v>472.7</v>
      </c>
      <c r="E41">
        <v>475.3</v>
      </c>
      <c r="F41">
        <v>481</v>
      </c>
      <c r="G41">
        <v>486.2</v>
      </c>
      <c r="H41">
        <v>491.4</v>
      </c>
    </row>
    <row r="42" spans="1:8" x14ac:dyDescent="0.3">
      <c r="A42" t="s">
        <v>37</v>
      </c>
      <c r="B42">
        <v>4.2</v>
      </c>
      <c r="C42">
        <v>4</v>
      </c>
      <c r="D42">
        <v>3.8</v>
      </c>
      <c r="E42">
        <v>3.8</v>
      </c>
      <c r="F42">
        <v>3.8</v>
      </c>
      <c r="G42">
        <v>3.8</v>
      </c>
      <c r="H42">
        <v>3.8</v>
      </c>
    </row>
    <row r="43" spans="1:8" x14ac:dyDescent="0.3">
      <c r="A43" t="s">
        <v>38</v>
      </c>
      <c r="B43" t="s">
        <v>203</v>
      </c>
      <c r="C43" t="s">
        <v>201</v>
      </c>
      <c r="D43" t="s">
        <v>202</v>
      </c>
      <c r="E43" t="s">
        <v>202</v>
      </c>
      <c r="F43" t="s">
        <v>202</v>
      </c>
      <c r="G43" t="s">
        <v>204</v>
      </c>
      <c r="H43" t="s">
        <v>204</v>
      </c>
    </row>
    <row r="44" spans="1:8" x14ac:dyDescent="0.3">
      <c r="A44" t="s">
        <v>39</v>
      </c>
      <c r="B44">
        <v>181.2</v>
      </c>
      <c r="C44">
        <v>178.2</v>
      </c>
      <c r="D44">
        <v>177</v>
      </c>
      <c r="E44">
        <v>176.3</v>
      </c>
      <c r="F44">
        <v>176.9</v>
      </c>
      <c r="G44">
        <v>177.2</v>
      </c>
      <c r="H44">
        <v>177.4</v>
      </c>
    </row>
    <row r="45" spans="1:8" x14ac:dyDescent="0.3">
      <c r="A45" t="s">
        <v>40</v>
      </c>
      <c r="B45">
        <v>992.7</v>
      </c>
      <c r="C45">
        <v>974.3</v>
      </c>
      <c r="D45" t="s">
        <v>198</v>
      </c>
      <c r="E45" t="s">
        <v>200</v>
      </c>
      <c r="F45" t="s">
        <v>200</v>
      </c>
      <c r="G45" t="s">
        <v>203</v>
      </c>
      <c r="H45" t="s">
        <v>201</v>
      </c>
    </row>
    <row r="46" spans="1:8" x14ac:dyDescent="0.3">
      <c r="A46" t="s">
        <v>41</v>
      </c>
      <c r="B46">
        <v>311.60000000000002</v>
      </c>
      <c r="C46">
        <v>335.1</v>
      </c>
      <c r="D46">
        <v>312.8</v>
      </c>
      <c r="E46">
        <v>311.60000000000002</v>
      </c>
      <c r="F46">
        <v>310.60000000000002</v>
      </c>
      <c r="G46">
        <v>310</v>
      </c>
      <c r="H46">
        <v>310.39999999999998</v>
      </c>
    </row>
    <row r="47" spans="1:8" x14ac:dyDescent="0.3">
      <c r="A47" t="s">
        <v>42</v>
      </c>
      <c r="B47">
        <v>344.2</v>
      </c>
      <c r="C47">
        <v>341.8</v>
      </c>
      <c r="D47">
        <v>329.4</v>
      </c>
      <c r="E47">
        <v>325.7</v>
      </c>
      <c r="F47">
        <v>330.3</v>
      </c>
      <c r="G47">
        <v>334.5</v>
      </c>
      <c r="H47">
        <v>338.8</v>
      </c>
    </row>
    <row r="48" spans="1:8" x14ac:dyDescent="0.3">
      <c r="A48" t="s">
        <v>43</v>
      </c>
      <c r="B48">
        <v>252.7</v>
      </c>
      <c r="C48">
        <v>245.4</v>
      </c>
      <c r="D48">
        <v>241.1</v>
      </c>
      <c r="E48">
        <v>241</v>
      </c>
      <c r="F48">
        <v>241.5</v>
      </c>
      <c r="G48">
        <v>241.8</v>
      </c>
      <c r="H48">
        <v>242.1</v>
      </c>
    </row>
    <row r="49" spans="1:8" x14ac:dyDescent="0.3">
      <c r="A49" t="s">
        <v>44</v>
      </c>
      <c r="B49">
        <v>0.43</v>
      </c>
      <c r="C49">
        <v>0.44</v>
      </c>
      <c r="D49">
        <v>0.46</v>
      </c>
      <c r="E49">
        <v>0.47</v>
      </c>
      <c r="F49">
        <v>0.47</v>
      </c>
      <c r="G49">
        <v>0.47</v>
      </c>
      <c r="H49">
        <v>0.47</v>
      </c>
    </row>
    <row r="50" spans="1:8" x14ac:dyDescent="0.3">
      <c r="A50" t="s">
        <v>45</v>
      </c>
      <c r="B50">
        <v>0.57999999999999996</v>
      </c>
      <c r="C50">
        <v>0.56999999999999995</v>
      </c>
      <c r="D50">
        <v>0.57999999999999996</v>
      </c>
      <c r="E50">
        <v>0.59</v>
      </c>
      <c r="F50">
        <v>0.59</v>
      </c>
      <c r="G50">
        <v>0.59</v>
      </c>
      <c r="H50">
        <v>0.6</v>
      </c>
    </row>
    <row r="51" spans="1:8" x14ac:dyDescent="0.3">
      <c r="A51" t="s">
        <v>46</v>
      </c>
      <c r="B51">
        <v>12.9</v>
      </c>
      <c r="C51">
        <v>13.1</v>
      </c>
      <c r="D51">
        <v>13.8</v>
      </c>
      <c r="E51">
        <v>13.8</v>
      </c>
      <c r="F51">
        <v>13.9</v>
      </c>
      <c r="G51">
        <v>13.9</v>
      </c>
      <c r="H51">
        <v>13.9</v>
      </c>
    </row>
    <row r="52" spans="1:8" x14ac:dyDescent="0.3">
      <c r="A52" t="s">
        <v>47</v>
      </c>
      <c r="B52">
        <v>6.7</v>
      </c>
      <c r="C52">
        <v>6.8</v>
      </c>
      <c r="D52">
        <v>6.3</v>
      </c>
      <c r="E52">
        <v>6.1</v>
      </c>
      <c r="F52">
        <v>6.1</v>
      </c>
      <c r="G52">
        <v>6.2</v>
      </c>
      <c r="H52">
        <v>6.2</v>
      </c>
    </row>
    <row r="53" spans="1:8" x14ac:dyDescent="0.3">
      <c r="A53" t="s">
        <v>48</v>
      </c>
      <c r="B53">
        <v>100.7</v>
      </c>
      <c r="C53">
        <v>99.6</v>
      </c>
      <c r="D53">
        <v>97</v>
      </c>
      <c r="E53">
        <v>96.5</v>
      </c>
      <c r="F53">
        <v>96.6</v>
      </c>
      <c r="G53">
        <v>97.3</v>
      </c>
      <c r="H53">
        <v>97.5</v>
      </c>
    </row>
    <row r="54" spans="1:8" x14ac:dyDescent="0.3">
      <c r="A54" t="s">
        <v>49</v>
      </c>
      <c r="B54">
        <v>1.7</v>
      </c>
      <c r="C54">
        <v>1.7</v>
      </c>
      <c r="D54">
        <v>1.7</v>
      </c>
      <c r="E54">
        <v>1.7</v>
      </c>
      <c r="F54">
        <v>1.7</v>
      </c>
      <c r="G54">
        <v>1.7</v>
      </c>
      <c r="H54">
        <v>1.7</v>
      </c>
    </row>
    <row r="55" spans="1:8" x14ac:dyDescent="0.3">
      <c r="A55" t="s">
        <v>50</v>
      </c>
      <c r="B55">
        <v>23.6</v>
      </c>
      <c r="C55">
        <v>24.4</v>
      </c>
      <c r="D55">
        <v>24.7</v>
      </c>
      <c r="E55">
        <v>25.1</v>
      </c>
      <c r="F55">
        <v>25.7</v>
      </c>
      <c r="G55">
        <v>26.2</v>
      </c>
      <c r="H55">
        <v>26.8</v>
      </c>
    </row>
    <row r="56" spans="1:8" x14ac:dyDescent="0.3">
      <c r="A56" t="s">
        <v>51</v>
      </c>
      <c r="B56">
        <v>0.49</v>
      </c>
      <c r="C56">
        <v>0.47</v>
      </c>
      <c r="D56">
        <v>0.46</v>
      </c>
      <c r="E56">
        <v>0.45</v>
      </c>
      <c r="F56">
        <v>0.45</v>
      </c>
      <c r="G56">
        <v>0.45</v>
      </c>
      <c r="H56">
        <v>0.45</v>
      </c>
    </row>
    <row r="57" spans="1:8" x14ac:dyDescent="0.3">
      <c r="A57" t="s">
        <v>52</v>
      </c>
      <c r="B57">
        <v>4.5</v>
      </c>
      <c r="C57">
        <v>4.7</v>
      </c>
      <c r="D57">
        <v>5.6</v>
      </c>
      <c r="E57">
        <v>7.3</v>
      </c>
      <c r="F57">
        <v>9.1999999999999993</v>
      </c>
      <c r="G57">
        <v>10.1</v>
      </c>
      <c r="H57">
        <v>11</v>
      </c>
    </row>
    <row r="58" spans="1:8" x14ac:dyDescent="0.3">
      <c r="A58" t="s">
        <v>53</v>
      </c>
      <c r="B58">
        <v>0.45</v>
      </c>
      <c r="C58">
        <v>0.45</v>
      </c>
      <c r="D58">
        <v>0.45</v>
      </c>
      <c r="E58">
        <v>0.44</v>
      </c>
      <c r="F58">
        <v>0.44</v>
      </c>
      <c r="G58">
        <v>0.45</v>
      </c>
      <c r="H58">
        <v>0.45</v>
      </c>
    </row>
    <row r="59" spans="1:8" x14ac:dyDescent="0.3">
      <c r="A59" t="s">
        <v>54</v>
      </c>
      <c r="B59">
        <v>258</v>
      </c>
      <c r="C59">
        <v>251.9</v>
      </c>
      <c r="D59">
        <v>219.6</v>
      </c>
      <c r="E59">
        <v>222.9</v>
      </c>
      <c r="F59">
        <v>231.1</v>
      </c>
      <c r="G59">
        <v>238.7</v>
      </c>
      <c r="H59">
        <v>241.5</v>
      </c>
    </row>
    <row r="60" spans="1:8" x14ac:dyDescent="0.3">
      <c r="A60" t="s">
        <v>55</v>
      </c>
      <c r="B60" t="s">
        <v>197</v>
      </c>
      <c r="C60" t="s">
        <v>197</v>
      </c>
      <c r="D60" t="s">
        <v>197</v>
      </c>
      <c r="E60" t="s">
        <v>197</v>
      </c>
      <c r="F60" t="s">
        <v>197</v>
      </c>
      <c r="G60" t="s">
        <v>197</v>
      </c>
      <c r="H60" t="s">
        <v>197</v>
      </c>
    </row>
    <row r="61" spans="1:8" x14ac:dyDescent="0.3">
      <c r="A61" t="s">
        <v>56</v>
      </c>
      <c r="B61">
        <v>0.55000000000000004</v>
      </c>
      <c r="C61">
        <v>0.6</v>
      </c>
      <c r="D61">
        <v>0.62</v>
      </c>
      <c r="E61">
        <v>0.66</v>
      </c>
      <c r="F61">
        <v>0.66</v>
      </c>
      <c r="G61">
        <v>0.67</v>
      </c>
      <c r="H61">
        <v>0.68</v>
      </c>
    </row>
    <row r="62" spans="1:8" x14ac:dyDescent="0.3">
      <c r="A62" t="s">
        <v>57</v>
      </c>
      <c r="B62">
        <v>6</v>
      </c>
      <c r="C62">
        <v>6.1</v>
      </c>
      <c r="D62">
        <v>6.4</v>
      </c>
      <c r="E62">
        <v>6.6</v>
      </c>
      <c r="F62">
        <v>6.7</v>
      </c>
      <c r="G62">
        <v>6.8</v>
      </c>
      <c r="H62">
        <v>6.9</v>
      </c>
    </row>
    <row r="63" spans="1:8" x14ac:dyDescent="0.3">
      <c r="A63" t="s">
        <v>58</v>
      </c>
      <c r="B63">
        <v>13.8</v>
      </c>
      <c r="C63">
        <v>17.2</v>
      </c>
      <c r="D63">
        <v>22</v>
      </c>
      <c r="E63">
        <v>27.5</v>
      </c>
      <c r="F63">
        <v>32.700000000000003</v>
      </c>
      <c r="G63">
        <v>37.299999999999997</v>
      </c>
      <c r="H63">
        <v>41.8</v>
      </c>
    </row>
    <row r="64" spans="1:8" x14ac:dyDescent="0.3">
      <c r="A64" t="s">
        <v>59</v>
      </c>
      <c r="B64">
        <v>0.84</v>
      </c>
      <c r="C64">
        <v>0.81</v>
      </c>
      <c r="D64">
        <v>0.81</v>
      </c>
      <c r="E64">
        <v>0.83</v>
      </c>
      <c r="F64">
        <v>0.84</v>
      </c>
      <c r="G64">
        <v>0.85</v>
      </c>
      <c r="H64">
        <v>0.86</v>
      </c>
    </row>
    <row r="65" spans="1:8" x14ac:dyDescent="0.3">
      <c r="A65" t="s">
        <v>60</v>
      </c>
      <c r="B65">
        <v>0.84</v>
      </c>
      <c r="C65">
        <v>0.83</v>
      </c>
      <c r="D65">
        <v>0.84</v>
      </c>
      <c r="E65">
        <v>0.84</v>
      </c>
      <c r="F65">
        <v>0.84</v>
      </c>
      <c r="G65">
        <v>0.84</v>
      </c>
      <c r="H65">
        <v>0.84</v>
      </c>
    </row>
    <row r="66" spans="1:8" x14ac:dyDescent="0.3">
      <c r="A66" t="s">
        <v>61</v>
      </c>
      <c r="B66">
        <v>0.74</v>
      </c>
      <c r="C66">
        <v>0.71</v>
      </c>
      <c r="D66">
        <v>0.72</v>
      </c>
      <c r="E66">
        <v>0.73</v>
      </c>
      <c r="F66">
        <v>0.73</v>
      </c>
      <c r="G66">
        <v>0.73</v>
      </c>
      <c r="H66">
        <v>0.73</v>
      </c>
    </row>
    <row r="67" spans="1:8" x14ac:dyDescent="0.3">
      <c r="A67" t="s">
        <v>62</v>
      </c>
      <c r="B67">
        <v>314.5</v>
      </c>
      <c r="C67">
        <v>333.7</v>
      </c>
      <c r="D67">
        <v>298.7</v>
      </c>
      <c r="E67">
        <v>291.10000000000002</v>
      </c>
      <c r="F67">
        <v>281</v>
      </c>
      <c r="G67">
        <v>273.3</v>
      </c>
      <c r="H67">
        <v>266.8</v>
      </c>
    </row>
    <row r="68" spans="1:8" x14ac:dyDescent="0.3">
      <c r="A68" t="s">
        <v>63</v>
      </c>
      <c r="B68">
        <v>17.3</v>
      </c>
      <c r="C68">
        <v>17.899999999999999</v>
      </c>
      <c r="D68">
        <v>19.7</v>
      </c>
      <c r="E68">
        <v>21.4</v>
      </c>
      <c r="F68">
        <v>22.5</v>
      </c>
      <c r="G68">
        <v>23.2</v>
      </c>
      <c r="H68">
        <v>23.7</v>
      </c>
    </row>
    <row r="69" spans="1:8" x14ac:dyDescent="0.3">
      <c r="A69" t="s">
        <v>64</v>
      </c>
      <c r="B69">
        <v>0.93</v>
      </c>
      <c r="C69">
        <v>0.94</v>
      </c>
      <c r="D69">
        <v>0.92</v>
      </c>
      <c r="E69">
        <v>0.94</v>
      </c>
      <c r="F69">
        <v>0.97</v>
      </c>
      <c r="G69">
        <v>0.99</v>
      </c>
      <c r="H69">
        <v>1</v>
      </c>
    </row>
    <row r="70" spans="1:8" x14ac:dyDescent="0.3">
      <c r="A70" t="s">
        <v>65</v>
      </c>
      <c r="B70">
        <v>0.73</v>
      </c>
      <c r="C70">
        <v>0.72</v>
      </c>
      <c r="D70">
        <v>0.74</v>
      </c>
      <c r="E70">
        <v>0.75</v>
      </c>
      <c r="F70">
        <v>0.76</v>
      </c>
      <c r="G70">
        <v>0.76</v>
      </c>
      <c r="H70">
        <v>0.76</v>
      </c>
    </row>
    <row r="71" spans="1:8" x14ac:dyDescent="0.3">
      <c r="A71" t="s">
        <v>66</v>
      </c>
      <c r="B71">
        <v>2.4</v>
      </c>
      <c r="C71">
        <v>2.8</v>
      </c>
      <c r="D71">
        <v>3.7</v>
      </c>
      <c r="E71">
        <v>4.4000000000000004</v>
      </c>
      <c r="F71">
        <v>4.7</v>
      </c>
      <c r="G71">
        <v>5</v>
      </c>
      <c r="H71">
        <v>5.3</v>
      </c>
    </row>
    <row r="72" spans="1:8" x14ac:dyDescent="0.3">
      <c r="A72" t="s">
        <v>67</v>
      </c>
      <c r="B72">
        <v>0.53</v>
      </c>
      <c r="C72">
        <v>0.53</v>
      </c>
      <c r="D72">
        <v>0.54</v>
      </c>
      <c r="E72">
        <v>0.54</v>
      </c>
      <c r="F72">
        <v>0.54</v>
      </c>
      <c r="G72">
        <v>0.55000000000000004</v>
      </c>
      <c r="H72">
        <v>0.55000000000000004</v>
      </c>
    </row>
    <row r="73" spans="1:8" x14ac:dyDescent="0.3">
      <c r="A73" t="s">
        <v>68</v>
      </c>
      <c r="B73">
        <v>1.6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</row>
    <row r="74" spans="1:8" x14ac:dyDescent="0.3">
      <c r="A74" t="s">
        <v>69</v>
      </c>
      <c r="B74">
        <v>4</v>
      </c>
      <c r="C74">
        <v>3.9</v>
      </c>
      <c r="D74">
        <v>4</v>
      </c>
      <c r="E74">
        <v>4</v>
      </c>
      <c r="F74">
        <v>4.0999999999999996</v>
      </c>
      <c r="G74">
        <v>4.2</v>
      </c>
      <c r="H74">
        <v>4.2</v>
      </c>
    </row>
    <row r="75" spans="1:8" x14ac:dyDescent="0.3">
      <c r="A75" t="s">
        <v>70</v>
      </c>
      <c r="B75" t="s">
        <v>205</v>
      </c>
      <c r="C75" t="s">
        <v>217</v>
      </c>
      <c r="D75" t="s">
        <v>205</v>
      </c>
      <c r="E75" t="s">
        <v>206</v>
      </c>
      <c r="F75" t="s">
        <v>207</v>
      </c>
      <c r="G75" t="s">
        <v>208</v>
      </c>
      <c r="H75" t="s">
        <v>209</v>
      </c>
    </row>
    <row r="76" spans="1:8" x14ac:dyDescent="0.3">
      <c r="A76" t="s">
        <v>71</v>
      </c>
      <c r="B76">
        <v>193.4</v>
      </c>
      <c r="C76">
        <v>193.8</v>
      </c>
      <c r="D76">
        <v>200.5</v>
      </c>
      <c r="E76">
        <v>201.8</v>
      </c>
      <c r="F76">
        <v>203.9</v>
      </c>
      <c r="G76">
        <v>205.7</v>
      </c>
      <c r="H76">
        <v>207.6</v>
      </c>
    </row>
    <row r="77" spans="1:8" x14ac:dyDescent="0.3">
      <c r="A77" t="s">
        <v>72</v>
      </c>
      <c r="B77">
        <v>82.2</v>
      </c>
      <c r="C77">
        <v>89.7</v>
      </c>
      <c r="D77">
        <v>76.400000000000006</v>
      </c>
      <c r="E77">
        <v>69.2</v>
      </c>
      <c r="F77">
        <v>64</v>
      </c>
      <c r="G77">
        <v>61.4</v>
      </c>
      <c r="H77">
        <v>51.5</v>
      </c>
    </row>
    <row r="78" spans="1:8" x14ac:dyDescent="0.3">
      <c r="A78" t="s">
        <v>73</v>
      </c>
      <c r="B78">
        <v>46.9</v>
      </c>
      <c r="C78">
        <v>56.9</v>
      </c>
      <c r="D78">
        <v>79.3</v>
      </c>
      <c r="E78">
        <v>94.5</v>
      </c>
      <c r="F78">
        <v>102</v>
      </c>
      <c r="G78">
        <v>107.9</v>
      </c>
      <c r="H78">
        <v>113.8</v>
      </c>
    </row>
    <row r="79" spans="1:8" x14ac:dyDescent="0.3">
      <c r="A79" t="s">
        <v>74</v>
      </c>
      <c r="B79">
        <v>10.8</v>
      </c>
      <c r="C79">
        <v>11.1</v>
      </c>
      <c r="D79">
        <v>11.4</v>
      </c>
      <c r="E79">
        <v>11.6</v>
      </c>
      <c r="F79">
        <v>12</v>
      </c>
      <c r="G79">
        <v>12.2</v>
      </c>
      <c r="H79">
        <v>12.5</v>
      </c>
    </row>
    <row r="80" spans="1:8" x14ac:dyDescent="0.3">
      <c r="A80" t="s">
        <v>75</v>
      </c>
      <c r="B80">
        <v>5.8</v>
      </c>
      <c r="C80">
        <v>5.6</v>
      </c>
      <c r="D80">
        <v>5.5</v>
      </c>
      <c r="E80">
        <v>5.6</v>
      </c>
      <c r="F80">
        <v>5.6</v>
      </c>
      <c r="G80">
        <v>5.6</v>
      </c>
      <c r="H80">
        <v>5.7</v>
      </c>
    </row>
    <row r="81" spans="1:8" x14ac:dyDescent="0.3">
      <c r="A81" t="s">
        <v>76</v>
      </c>
      <c r="B81">
        <v>151.69999999999999</v>
      </c>
      <c r="C81">
        <v>162.30000000000001</v>
      </c>
      <c r="D81">
        <v>179.4</v>
      </c>
      <c r="E81">
        <v>180.7</v>
      </c>
      <c r="F81">
        <v>185.5</v>
      </c>
      <c r="G81">
        <v>187.7</v>
      </c>
      <c r="H81">
        <v>189.7</v>
      </c>
    </row>
    <row r="82" spans="1:8" x14ac:dyDescent="0.3">
      <c r="A82" t="s">
        <v>77</v>
      </c>
      <c r="B82">
        <v>147.6</v>
      </c>
      <c r="C82">
        <v>150.1</v>
      </c>
      <c r="D82">
        <v>153.30000000000001</v>
      </c>
      <c r="E82">
        <v>156.6</v>
      </c>
      <c r="F82">
        <v>158.9</v>
      </c>
      <c r="G82">
        <v>161.1</v>
      </c>
      <c r="H82">
        <v>163.5</v>
      </c>
    </row>
    <row r="83" spans="1:8" x14ac:dyDescent="0.3">
      <c r="A83" t="s">
        <v>78</v>
      </c>
      <c r="B83">
        <v>22.6</v>
      </c>
      <c r="C83">
        <v>22.6</v>
      </c>
      <c r="D83">
        <v>22.2</v>
      </c>
      <c r="E83">
        <v>22.4</v>
      </c>
      <c r="F83">
        <v>22.9</v>
      </c>
      <c r="G83">
        <v>23.4</v>
      </c>
      <c r="H83">
        <v>23.9</v>
      </c>
    </row>
    <row r="84" spans="1:8" x14ac:dyDescent="0.3">
      <c r="A84" t="s">
        <v>79</v>
      </c>
      <c r="B84" t="s">
        <v>207</v>
      </c>
      <c r="C84" t="s">
        <v>211</v>
      </c>
      <c r="D84" t="s">
        <v>210</v>
      </c>
      <c r="E84" t="s">
        <v>210</v>
      </c>
      <c r="F84" t="s">
        <v>210</v>
      </c>
      <c r="G84" t="s">
        <v>210</v>
      </c>
      <c r="H84" t="s">
        <v>211</v>
      </c>
    </row>
    <row r="85" spans="1:8" x14ac:dyDescent="0.3">
      <c r="A85" t="s">
        <v>80</v>
      </c>
      <c r="B85" t="s">
        <v>254</v>
      </c>
      <c r="C85" t="s">
        <v>255</v>
      </c>
      <c r="D85" t="s">
        <v>212</v>
      </c>
      <c r="E85" t="s">
        <v>213</v>
      </c>
      <c r="F85" t="s">
        <v>214</v>
      </c>
      <c r="G85" t="s">
        <v>215</v>
      </c>
      <c r="H85" t="s">
        <v>216</v>
      </c>
    </row>
    <row r="86" spans="1:8" x14ac:dyDescent="0.3">
      <c r="A86" t="s">
        <v>81</v>
      </c>
      <c r="B86">
        <v>679.5</v>
      </c>
      <c r="C86">
        <v>751.5</v>
      </c>
      <c r="D86">
        <v>654.79999999999995</v>
      </c>
      <c r="E86">
        <v>651.1</v>
      </c>
      <c r="F86">
        <v>637.1</v>
      </c>
      <c r="G86">
        <v>631.4</v>
      </c>
      <c r="H86">
        <v>629.9</v>
      </c>
    </row>
    <row r="87" spans="1:8" x14ac:dyDescent="0.3">
      <c r="A87" t="s">
        <v>82</v>
      </c>
      <c r="B87">
        <v>0.74</v>
      </c>
      <c r="C87">
        <v>0.74</v>
      </c>
      <c r="D87">
        <v>0.74</v>
      </c>
      <c r="E87">
        <v>0.73</v>
      </c>
      <c r="F87">
        <v>0.74</v>
      </c>
      <c r="G87">
        <v>0.74</v>
      </c>
      <c r="H87">
        <v>0.74</v>
      </c>
    </row>
    <row r="88" spans="1:8" x14ac:dyDescent="0.3">
      <c r="A88" t="s">
        <v>83</v>
      </c>
      <c r="B88">
        <v>3.6</v>
      </c>
      <c r="C88">
        <v>3.5</v>
      </c>
      <c r="D88">
        <v>3.5</v>
      </c>
      <c r="E88">
        <v>3.5</v>
      </c>
      <c r="F88">
        <v>3.6</v>
      </c>
      <c r="G88">
        <v>3.6</v>
      </c>
      <c r="H88">
        <v>3.6</v>
      </c>
    </row>
    <row r="89" spans="1:8" x14ac:dyDescent="0.3">
      <c r="A89" t="s">
        <v>84</v>
      </c>
      <c r="B89">
        <v>0.65</v>
      </c>
      <c r="C89">
        <v>0.63</v>
      </c>
      <c r="D89">
        <v>0.64</v>
      </c>
      <c r="E89">
        <v>0.65</v>
      </c>
      <c r="F89">
        <v>0.65</v>
      </c>
      <c r="G89">
        <v>0.65</v>
      </c>
      <c r="H89">
        <v>0.65</v>
      </c>
    </row>
    <row r="90" spans="1:8" x14ac:dyDescent="0.3">
      <c r="A90" t="s">
        <v>85</v>
      </c>
      <c r="B90">
        <v>73.8</v>
      </c>
      <c r="C90">
        <v>77.8</v>
      </c>
      <c r="D90">
        <v>82</v>
      </c>
      <c r="E90">
        <v>84.4</v>
      </c>
      <c r="F90">
        <v>86.9</v>
      </c>
      <c r="G90">
        <v>89.3</v>
      </c>
      <c r="H90">
        <v>91.8</v>
      </c>
    </row>
    <row r="91" spans="1:8" x14ac:dyDescent="0.3">
      <c r="A91" t="s">
        <v>86</v>
      </c>
      <c r="B91">
        <v>96.9</v>
      </c>
      <c r="C91">
        <v>90.9</v>
      </c>
      <c r="D91">
        <v>91</v>
      </c>
      <c r="E91">
        <v>90.8</v>
      </c>
      <c r="F91">
        <v>91.3</v>
      </c>
      <c r="G91">
        <v>91.6</v>
      </c>
      <c r="H91">
        <v>91.7</v>
      </c>
    </row>
    <row r="92" spans="1:8" x14ac:dyDescent="0.3">
      <c r="A92" t="s">
        <v>87</v>
      </c>
      <c r="B92">
        <v>0.28000000000000003</v>
      </c>
      <c r="C92">
        <v>0.27</v>
      </c>
      <c r="D92">
        <v>0.27</v>
      </c>
      <c r="E92">
        <v>0.27</v>
      </c>
      <c r="F92">
        <v>0.27</v>
      </c>
      <c r="G92">
        <v>0.27</v>
      </c>
      <c r="H92">
        <v>0.27</v>
      </c>
    </row>
    <row r="93" spans="1:8" x14ac:dyDescent="0.3">
      <c r="A93" t="s">
        <v>88</v>
      </c>
      <c r="B93">
        <v>154</v>
      </c>
      <c r="C93">
        <v>172.1</v>
      </c>
      <c r="D93">
        <v>181.6</v>
      </c>
      <c r="E93">
        <v>196.2</v>
      </c>
      <c r="F93">
        <v>206.4</v>
      </c>
      <c r="G93">
        <v>215.7</v>
      </c>
      <c r="H93">
        <v>225.7</v>
      </c>
    </row>
    <row r="94" spans="1:8" x14ac:dyDescent="0.3">
      <c r="A94" t="s">
        <v>89</v>
      </c>
      <c r="B94">
        <v>43.4</v>
      </c>
      <c r="C94">
        <v>43</v>
      </c>
      <c r="D94">
        <v>44.5</v>
      </c>
      <c r="E94">
        <v>46.4</v>
      </c>
      <c r="F94">
        <v>48.2</v>
      </c>
      <c r="G94">
        <v>49.8</v>
      </c>
      <c r="H94">
        <v>51.3</v>
      </c>
    </row>
    <row r="95" spans="1:8" x14ac:dyDescent="0.3">
      <c r="A95" t="s">
        <v>90</v>
      </c>
      <c r="B95">
        <v>1.1000000000000001</v>
      </c>
      <c r="C95">
        <v>0.99</v>
      </c>
      <c r="D95">
        <v>0.99</v>
      </c>
      <c r="E95">
        <v>1</v>
      </c>
      <c r="F95">
        <v>1</v>
      </c>
      <c r="G95">
        <v>1</v>
      </c>
      <c r="H95">
        <v>1</v>
      </c>
    </row>
    <row r="96" spans="1:8" x14ac:dyDescent="0.3">
      <c r="A96" t="s">
        <v>91</v>
      </c>
      <c r="B96">
        <v>822.5</v>
      </c>
      <c r="C96">
        <v>778.2</v>
      </c>
      <c r="D96">
        <v>766.3</v>
      </c>
      <c r="E96">
        <v>765.8</v>
      </c>
      <c r="F96">
        <v>769.3</v>
      </c>
      <c r="G96">
        <v>771.2</v>
      </c>
      <c r="H96">
        <v>772.3</v>
      </c>
    </row>
    <row r="97" spans="1:8" x14ac:dyDescent="0.3">
      <c r="A97" t="s">
        <v>92</v>
      </c>
      <c r="B97">
        <v>0.34</v>
      </c>
      <c r="C97">
        <v>0.34</v>
      </c>
      <c r="D97">
        <v>0.35</v>
      </c>
      <c r="E97">
        <v>0.35</v>
      </c>
      <c r="F97">
        <v>0.36</v>
      </c>
      <c r="G97">
        <v>0.36</v>
      </c>
      <c r="H97">
        <v>0.36</v>
      </c>
    </row>
    <row r="98" spans="1:8" x14ac:dyDescent="0.3">
      <c r="A98" t="s">
        <v>93</v>
      </c>
      <c r="B98">
        <v>0.19</v>
      </c>
      <c r="C98">
        <v>0.22</v>
      </c>
      <c r="D98">
        <v>0.19</v>
      </c>
      <c r="E98">
        <v>0.19</v>
      </c>
      <c r="F98">
        <v>0.18</v>
      </c>
      <c r="G98">
        <v>0.18</v>
      </c>
      <c r="H98">
        <v>0.17</v>
      </c>
    </row>
    <row r="99" spans="1:8" x14ac:dyDescent="0.3">
      <c r="A99" t="s">
        <v>94</v>
      </c>
      <c r="B99">
        <v>21.4</v>
      </c>
      <c r="C99">
        <v>23.3</v>
      </c>
      <c r="D99">
        <v>25.1</v>
      </c>
      <c r="E99">
        <v>26.2</v>
      </c>
      <c r="F99">
        <v>27.4</v>
      </c>
      <c r="G99">
        <v>28.4</v>
      </c>
      <c r="H99">
        <v>29.2</v>
      </c>
    </row>
    <row r="100" spans="1:8" x14ac:dyDescent="0.3">
      <c r="A100" t="s">
        <v>95</v>
      </c>
      <c r="B100" t="s">
        <v>222</v>
      </c>
      <c r="C100" t="s">
        <v>256</v>
      </c>
      <c r="D100" t="s">
        <v>217</v>
      </c>
      <c r="E100" t="s">
        <v>218</v>
      </c>
      <c r="F100" t="s">
        <v>211</v>
      </c>
      <c r="G100" t="s">
        <v>219</v>
      </c>
      <c r="H100" t="s">
        <v>219</v>
      </c>
    </row>
    <row r="101" spans="1:8" x14ac:dyDescent="0.3">
      <c r="A101" t="s">
        <v>96</v>
      </c>
      <c r="B101">
        <v>0.5</v>
      </c>
      <c r="C101">
        <v>0.53</v>
      </c>
      <c r="D101">
        <v>0.54</v>
      </c>
      <c r="E101">
        <v>0.54</v>
      </c>
      <c r="F101">
        <v>0.55000000000000004</v>
      </c>
      <c r="G101">
        <v>0.55000000000000004</v>
      </c>
      <c r="H101">
        <v>0.56000000000000005</v>
      </c>
    </row>
    <row r="102" spans="1:8" x14ac:dyDescent="0.3">
      <c r="A102" t="s">
        <v>97</v>
      </c>
      <c r="B102" t="s">
        <v>221</v>
      </c>
      <c r="C102" t="s">
        <v>257</v>
      </c>
      <c r="D102" t="s">
        <v>197</v>
      </c>
      <c r="E102" t="s">
        <v>197</v>
      </c>
      <c r="F102" t="s">
        <v>197</v>
      </c>
      <c r="G102" t="s">
        <v>197</v>
      </c>
      <c r="H102" t="s">
        <v>197</v>
      </c>
    </row>
    <row r="103" spans="1:8" x14ac:dyDescent="0.3">
      <c r="A103" t="s">
        <v>98</v>
      </c>
      <c r="B103">
        <v>6.2</v>
      </c>
      <c r="C103">
        <v>6.3</v>
      </c>
      <c r="D103">
        <v>6.4</v>
      </c>
      <c r="E103">
        <v>6.6</v>
      </c>
      <c r="F103">
        <v>6.8</v>
      </c>
      <c r="G103">
        <v>7</v>
      </c>
      <c r="H103">
        <v>7.2</v>
      </c>
    </row>
    <row r="104" spans="1:8" x14ac:dyDescent="0.3">
      <c r="A104" t="s">
        <v>99</v>
      </c>
      <c r="B104">
        <v>0.44</v>
      </c>
      <c r="C104">
        <v>0.44</v>
      </c>
      <c r="D104">
        <v>0.45</v>
      </c>
      <c r="E104">
        <v>0.45</v>
      </c>
      <c r="F104">
        <v>0.45</v>
      </c>
      <c r="G104">
        <v>0.45</v>
      </c>
      <c r="H104">
        <v>0.44</v>
      </c>
    </row>
    <row r="105" spans="1:8" x14ac:dyDescent="0.3">
      <c r="A105" t="s">
        <v>100</v>
      </c>
      <c r="B105">
        <v>1.1000000000000001</v>
      </c>
      <c r="C105">
        <v>1.4</v>
      </c>
      <c r="D105">
        <v>1.3</v>
      </c>
      <c r="E105">
        <v>1.3</v>
      </c>
      <c r="F105">
        <v>1.2</v>
      </c>
      <c r="G105">
        <v>1.2</v>
      </c>
      <c r="H105">
        <v>1.2</v>
      </c>
    </row>
    <row r="106" spans="1:8" x14ac:dyDescent="0.3">
      <c r="A106" t="s">
        <v>101</v>
      </c>
      <c r="B106">
        <v>0.46</v>
      </c>
      <c r="C106">
        <v>0.5</v>
      </c>
      <c r="D106">
        <v>0.52</v>
      </c>
      <c r="E106">
        <v>0.52</v>
      </c>
      <c r="F106">
        <v>0.52</v>
      </c>
      <c r="G106">
        <v>0.53</v>
      </c>
      <c r="H106">
        <v>0.53</v>
      </c>
    </row>
    <row r="107" spans="1:8" x14ac:dyDescent="0.3">
      <c r="A107" t="s">
        <v>102</v>
      </c>
      <c r="B107">
        <v>0.86</v>
      </c>
      <c r="C107">
        <v>0.85</v>
      </c>
      <c r="D107">
        <v>0.85</v>
      </c>
      <c r="E107">
        <v>0.85</v>
      </c>
      <c r="F107">
        <v>0.86</v>
      </c>
      <c r="G107">
        <v>0.86</v>
      </c>
      <c r="H107">
        <v>0.86</v>
      </c>
    </row>
    <row r="108" spans="1:8" x14ac:dyDescent="0.3">
      <c r="A108" t="s">
        <v>103</v>
      </c>
      <c r="B108">
        <v>4.9000000000000004</v>
      </c>
      <c r="C108">
        <v>4.5999999999999996</v>
      </c>
      <c r="D108">
        <v>4.8</v>
      </c>
      <c r="E108">
        <v>4.7</v>
      </c>
      <c r="F108">
        <v>4.7</v>
      </c>
      <c r="G108">
        <v>4.7</v>
      </c>
      <c r="H108">
        <v>4.7</v>
      </c>
    </row>
    <row r="109" spans="1:8" x14ac:dyDescent="0.3">
      <c r="A109" t="s">
        <v>104</v>
      </c>
      <c r="B109" t="s">
        <v>199</v>
      </c>
      <c r="C109" t="s">
        <v>199</v>
      </c>
      <c r="D109" t="s">
        <v>199</v>
      </c>
      <c r="E109" t="s">
        <v>200</v>
      </c>
      <c r="F109" t="s">
        <v>200</v>
      </c>
      <c r="G109" t="s">
        <v>203</v>
      </c>
      <c r="H109" t="s">
        <v>203</v>
      </c>
    </row>
    <row r="110" spans="1:8" x14ac:dyDescent="0.3">
      <c r="A110" t="s">
        <v>105</v>
      </c>
      <c r="B110">
        <v>299.60000000000002</v>
      </c>
      <c r="C110">
        <v>328</v>
      </c>
      <c r="D110">
        <v>407.1</v>
      </c>
      <c r="E110">
        <v>497.7</v>
      </c>
      <c r="F110">
        <v>556</v>
      </c>
      <c r="G110">
        <v>587.5</v>
      </c>
      <c r="H110">
        <v>613.4</v>
      </c>
    </row>
    <row r="111" spans="1:8" x14ac:dyDescent="0.3">
      <c r="A111" t="s">
        <v>106</v>
      </c>
      <c r="B111">
        <v>1.6</v>
      </c>
      <c r="C111">
        <v>1.6</v>
      </c>
      <c r="D111">
        <v>1.6</v>
      </c>
      <c r="E111">
        <v>1.6</v>
      </c>
      <c r="F111">
        <v>1.6</v>
      </c>
      <c r="G111">
        <v>1.6</v>
      </c>
      <c r="H111">
        <v>1.6</v>
      </c>
    </row>
    <row r="112" spans="1:8" x14ac:dyDescent="0.3">
      <c r="A112" t="s">
        <v>107</v>
      </c>
      <c r="B112">
        <v>7.8</v>
      </c>
      <c r="C112">
        <v>7.4</v>
      </c>
      <c r="D112">
        <v>7.3</v>
      </c>
      <c r="E112">
        <v>7.3</v>
      </c>
      <c r="F112">
        <v>7.4</v>
      </c>
      <c r="G112">
        <v>7.4</v>
      </c>
      <c r="H112">
        <v>7.4</v>
      </c>
    </row>
    <row r="113" spans="1:8" x14ac:dyDescent="0.3">
      <c r="A113" t="s">
        <v>108</v>
      </c>
      <c r="B113">
        <v>214.2</v>
      </c>
      <c r="C113">
        <v>205.5</v>
      </c>
      <c r="D113">
        <v>204.3</v>
      </c>
      <c r="E113">
        <v>201.4</v>
      </c>
      <c r="F113">
        <v>201.9</v>
      </c>
      <c r="G113">
        <v>202.1</v>
      </c>
      <c r="H113">
        <v>202.4</v>
      </c>
    </row>
    <row r="114" spans="1:8" x14ac:dyDescent="0.3">
      <c r="A114" t="s">
        <v>109</v>
      </c>
      <c r="B114">
        <v>0.56999999999999995</v>
      </c>
      <c r="C114">
        <v>0.56000000000000005</v>
      </c>
      <c r="D114">
        <v>0.56000000000000005</v>
      </c>
      <c r="E114">
        <v>0.56999999999999995</v>
      </c>
      <c r="F114">
        <v>0.56999999999999995</v>
      </c>
      <c r="G114">
        <v>0.56999999999999995</v>
      </c>
      <c r="H114">
        <v>0.56999999999999995</v>
      </c>
    </row>
    <row r="115" spans="1:8" x14ac:dyDescent="0.3">
      <c r="A115" t="s">
        <v>110</v>
      </c>
      <c r="B115">
        <v>1.1000000000000001</v>
      </c>
      <c r="C115">
        <v>1</v>
      </c>
      <c r="D115">
        <v>1</v>
      </c>
      <c r="E115">
        <v>1.1000000000000001</v>
      </c>
      <c r="F115">
        <v>1.1000000000000001</v>
      </c>
      <c r="G115">
        <v>1.1000000000000001</v>
      </c>
      <c r="H115">
        <v>1.1000000000000001</v>
      </c>
    </row>
    <row r="116" spans="1:8" x14ac:dyDescent="0.3">
      <c r="A116" t="s">
        <v>111</v>
      </c>
      <c r="B116">
        <v>12.7</v>
      </c>
      <c r="C116">
        <v>12.2</v>
      </c>
      <c r="D116">
        <v>11.9</v>
      </c>
      <c r="E116">
        <v>12</v>
      </c>
      <c r="F116">
        <v>12.1</v>
      </c>
      <c r="G116">
        <v>12.2</v>
      </c>
      <c r="H116">
        <v>12.1</v>
      </c>
    </row>
    <row r="117" spans="1:8" x14ac:dyDescent="0.3">
      <c r="A117" t="s">
        <v>112</v>
      </c>
      <c r="B117">
        <v>16.399999999999999</v>
      </c>
      <c r="C117">
        <v>16.8</v>
      </c>
      <c r="D117">
        <v>17.3</v>
      </c>
      <c r="E117">
        <v>17.8</v>
      </c>
      <c r="F117">
        <v>18.100000000000001</v>
      </c>
      <c r="G117">
        <v>18.5</v>
      </c>
      <c r="H117">
        <v>18.8</v>
      </c>
    </row>
    <row r="118" spans="1:8" x14ac:dyDescent="0.3">
      <c r="A118" t="s">
        <v>113</v>
      </c>
      <c r="B118">
        <v>9.6999999999999993</v>
      </c>
      <c r="C118">
        <v>9.6</v>
      </c>
      <c r="D118">
        <v>9.6999999999999993</v>
      </c>
      <c r="E118">
        <v>10</v>
      </c>
      <c r="F118">
        <v>10.4</v>
      </c>
      <c r="G118">
        <v>10.6</v>
      </c>
      <c r="H118">
        <v>10.7</v>
      </c>
    </row>
    <row r="119" spans="1:8" x14ac:dyDescent="0.3">
      <c r="A119" t="s">
        <v>114</v>
      </c>
      <c r="B119">
        <v>1</v>
      </c>
      <c r="C119">
        <v>1</v>
      </c>
      <c r="D119">
        <v>1.1000000000000001</v>
      </c>
      <c r="E119">
        <v>1.1000000000000001</v>
      </c>
      <c r="F119">
        <v>1.1000000000000001</v>
      </c>
      <c r="G119">
        <v>1.1000000000000001</v>
      </c>
      <c r="H119">
        <v>1.1000000000000001</v>
      </c>
    </row>
    <row r="120" spans="1:8" x14ac:dyDescent="0.3">
      <c r="A120" t="s">
        <v>115</v>
      </c>
      <c r="B120">
        <v>6.2</v>
      </c>
      <c r="C120">
        <v>6.9</v>
      </c>
      <c r="D120">
        <v>7.4</v>
      </c>
      <c r="E120">
        <v>7.6</v>
      </c>
      <c r="F120">
        <v>7.9</v>
      </c>
      <c r="G120">
        <v>8.1999999999999993</v>
      </c>
      <c r="H120">
        <v>8.5</v>
      </c>
    </row>
    <row r="121" spans="1:8" x14ac:dyDescent="0.3">
      <c r="A121" t="s">
        <v>116</v>
      </c>
      <c r="B121" t="s">
        <v>227</v>
      </c>
      <c r="C121" t="s">
        <v>198</v>
      </c>
      <c r="D121" t="s">
        <v>200</v>
      </c>
      <c r="E121" t="s">
        <v>203</v>
      </c>
      <c r="F121" t="s">
        <v>201</v>
      </c>
      <c r="G121" t="s">
        <v>202</v>
      </c>
      <c r="H121" t="s">
        <v>202</v>
      </c>
    </row>
    <row r="122" spans="1:8" x14ac:dyDescent="0.3">
      <c r="A122" t="s">
        <v>117</v>
      </c>
      <c r="B122">
        <v>0.35</v>
      </c>
      <c r="C122">
        <v>0.37</v>
      </c>
      <c r="D122">
        <v>0.39</v>
      </c>
      <c r="E122">
        <v>0.4</v>
      </c>
      <c r="F122">
        <v>0.4</v>
      </c>
      <c r="G122">
        <v>0.4</v>
      </c>
      <c r="H122">
        <v>0.4</v>
      </c>
    </row>
    <row r="123" spans="1:8" x14ac:dyDescent="0.3">
      <c r="A123" t="s">
        <v>118</v>
      </c>
      <c r="B123">
        <v>3.8</v>
      </c>
      <c r="C123">
        <v>3.7</v>
      </c>
      <c r="D123">
        <v>3.8</v>
      </c>
      <c r="E123">
        <v>3.8</v>
      </c>
      <c r="F123">
        <v>3.8</v>
      </c>
      <c r="G123">
        <v>3.8</v>
      </c>
      <c r="H123">
        <v>3.8</v>
      </c>
    </row>
    <row r="124" spans="1:8" x14ac:dyDescent="0.3">
      <c r="A124" t="s">
        <v>119</v>
      </c>
      <c r="B124">
        <v>24.3</v>
      </c>
      <c r="C124">
        <v>24.2</v>
      </c>
      <c r="D124">
        <v>25.5</v>
      </c>
      <c r="E124">
        <v>25.5</v>
      </c>
      <c r="F124">
        <v>26.6</v>
      </c>
      <c r="G124">
        <v>27.7</v>
      </c>
      <c r="H124">
        <v>28.9</v>
      </c>
    </row>
    <row r="125" spans="1:8" x14ac:dyDescent="0.3">
      <c r="A125" t="s">
        <v>120</v>
      </c>
      <c r="B125">
        <v>412.7</v>
      </c>
      <c r="C125">
        <v>448.7</v>
      </c>
      <c r="D125">
        <v>511.3</v>
      </c>
      <c r="E125">
        <v>554.1</v>
      </c>
      <c r="F125">
        <v>579.9</v>
      </c>
      <c r="G125">
        <v>606.20000000000005</v>
      </c>
      <c r="H125">
        <v>633.6</v>
      </c>
    </row>
    <row r="126" spans="1:8" x14ac:dyDescent="0.3">
      <c r="A126" t="s">
        <v>121</v>
      </c>
      <c r="B126">
        <v>7.2</v>
      </c>
      <c r="C126">
        <v>7.2</v>
      </c>
      <c r="D126">
        <v>7.4</v>
      </c>
      <c r="E126">
        <v>7.6</v>
      </c>
      <c r="F126">
        <v>7.9</v>
      </c>
      <c r="G126">
        <v>8.1999999999999993</v>
      </c>
      <c r="H126">
        <v>8.4</v>
      </c>
    </row>
    <row r="127" spans="1:8" x14ac:dyDescent="0.3">
      <c r="A127" t="s">
        <v>122</v>
      </c>
      <c r="B127">
        <v>2</v>
      </c>
      <c r="C127">
        <v>1.6</v>
      </c>
      <c r="D127">
        <v>1.7</v>
      </c>
      <c r="E127">
        <v>1.7</v>
      </c>
      <c r="F127">
        <v>1.7</v>
      </c>
      <c r="G127">
        <v>1.8</v>
      </c>
      <c r="H127">
        <v>1.8</v>
      </c>
    </row>
    <row r="128" spans="1:8" x14ac:dyDescent="0.3">
      <c r="A128" t="s">
        <v>123</v>
      </c>
      <c r="B128">
        <v>34.1</v>
      </c>
      <c r="C128">
        <v>34.200000000000003</v>
      </c>
      <c r="D128">
        <v>35.6</v>
      </c>
      <c r="E128">
        <v>36.9</v>
      </c>
      <c r="F128">
        <v>38.299999999999997</v>
      </c>
      <c r="G128">
        <v>39.700000000000003</v>
      </c>
      <c r="H128">
        <v>41.1</v>
      </c>
    </row>
    <row r="129" spans="1:8" x14ac:dyDescent="0.3">
      <c r="A129" t="s">
        <v>124</v>
      </c>
      <c r="B129">
        <v>0.78</v>
      </c>
      <c r="C129">
        <v>0.77</v>
      </c>
      <c r="D129">
        <v>0.8</v>
      </c>
      <c r="E129">
        <v>0.8</v>
      </c>
      <c r="F129">
        <v>0.8</v>
      </c>
      <c r="G129">
        <v>0.8</v>
      </c>
      <c r="H129">
        <v>0.8</v>
      </c>
    </row>
    <row r="130" spans="1:8" x14ac:dyDescent="0.3">
      <c r="A130" t="s">
        <v>125</v>
      </c>
      <c r="B130">
        <v>1.5</v>
      </c>
      <c r="C130">
        <v>1.4</v>
      </c>
      <c r="D130">
        <v>1.5</v>
      </c>
      <c r="E130">
        <v>1.5</v>
      </c>
      <c r="F130">
        <v>1.5</v>
      </c>
      <c r="G130">
        <v>1.5</v>
      </c>
      <c r="H130">
        <v>1.5</v>
      </c>
    </row>
    <row r="131" spans="1:8" x14ac:dyDescent="0.3">
      <c r="A131" t="s">
        <v>126</v>
      </c>
      <c r="B131">
        <v>11.6</v>
      </c>
      <c r="C131">
        <v>11.8</v>
      </c>
      <c r="D131">
        <v>12.2</v>
      </c>
      <c r="E131">
        <v>12.6</v>
      </c>
      <c r="F131">
        <v>12.8</v>
      </c>
      <c r="G131">
        <v>13.1</v>
      </c>
      <c r="H131">
        <v>13.4</v>
      </c>
    </row>
    <row r="132" spans="1:8" x14ac:dyDescent="0.3">
      <c r="A132" t="s">
        <v>127</v>
      </c>
      <c r="B132">
        <v>250.4</v>
      </c>
      <c r="C132">
        <v>243</v>
      </c>
      <c r="D132">
        <v>241.1</v>
      </c>
      <c r="E132">
        <v>243.4</v>
      </c>
      <c r="F132">
        <v>245.7</v>
      </c>
      <c r="G132">
        <v>246.7</v>
      </c>
      <c r="H132">
        <v>246.9</v>
      </c>
    </row>
    <row r="133" spans="1:8" x14ac:dyDescent="0.3">
      <c r="A133" t="s">
        <v>128</v>
      </c>
      <c r="B133">
        <v>152.1</v>
      </c>
      <c r="C133">
        <v>158.1</v>
      </c>
      <c r="D133">
        <v>171.8</v>
      </c>
      <c r="E133">
        <v>205.3</v>
      </c>
      <c r="F133">
        <v>227.8</v>
      </c>
      <c r="G133">
        <v>248.9</v>
      </c>
      <c r="H133">
        <v>268.7</v>
      </c>
    </row>
    <row r="134" spans="1:8" x14ac:dyDescent="0.3">
      <c r="A134" t="s">
        <v>129</v>
      </c>
      <c r="B134">
        <v>19.100000000000001</v>
      </c>
      <c r="C134">
        <v>19.3</v>
      </c>
      <c r="D134">
        <v>19.3</v>
      </c>
      <c r="E134">
        <v>19.7</v>
      </c>
      <c r="F134">
        <v>20</v>
      </c>
      <c r="G134">
        <v>20.100000000000001</v>
      </c>
      <c r="H134">
        <v>20.3</v>
      </c>
    </row>
    <row r="135" spans="1:8" x14ac:dyDescent="0.3">
      <c r="A135" t="s">
        <v>130</v>
      </c>
      <c r="B135">
        <v>11.2</v>
      </c>
      <c r="C135">
        <v>13.4</v>
      </c>
      <c r="D135">
        <v>11.6</v>
      </c>
      <c r="E135">
        <v>12.1</v>
      </c>
      <c r="F135">
        <v>12.4</v>
      </c>
      <c r="G135">
        <v>12.3</v>
      </c>
      <c r="H135">
        <v>12.2</v>
      </c>
    </row>
    <row r="136" spans="1:8" x14ac:dyDescent="0.3">
      <c r="A136" t="s">
        <v>131</v>
      </c>
      <c r="B136">
        <v>0.2</v>
      </c>
      <c r="C136">
        <v>0.23</v>
      </c>
      <c r="D136">
        <v>0.21</v>
      </c>
      <c r="E136">
        <v>0.2</v>
      </c>
      <c r="F136">
        <v>0.2</v>
      </c>
      <c r="G136">
        <v>0.19</v>
      </c>
      <c r="H136">
        <v>0.19</v>
      </c>
    </row>
    <row r="137" spans="1:8" x14ac:dyDescent="0.3">
      <c r="A137" t="s">
        <v>132</v>
      </c>
      <c r="B137">
        <v>41.8</v>
      </c>
      <c r="C137">
        <v>43.9</v>
      </c>
      <c r="D137">
        <v>53.5</v>
      </c>
      <c r="E137">
        <v>65.2</v>
      </c>
      <c r="F137">
        <v>72.400000000000006</v>
      </c>
      <c r="G137">
        <v>76.5</v>
      </c>
      <c r="H137">
        <v>79.900000000000006</v>
      </c>
    </row>
    <row r="138" spans="1:8" x14ac:dyDescent="0.3">
      <c r="A138" t="s">
        <v>133</v>
      </c>
      <c r="B138">
        <v>0.96</v>
      </c>
      <c r="C138">
        <v>0.96</v>
      </c>
      <c r="D138">
        <v>1</v>
      </c>
      <c r="E138">
        <v>1</v>
      </c>
      <c r="F138">
        <v>1</v>
      </c>
      <c r="G138">
        <v>1</v>
      </c>
      <c r="H138">
        <v>1</v>
      </c>
    </row>
    <row r="139" spans="1:8" x14ac:dyDescent="0.3">
      <c r="A139" t="s">
        <v>134</v>
      </c>
      <c r="B139">
        <v>0.46</v>
      </c>
      <c r="C139">
        <v>0.44</v>
      </c>
      <c r="D139">
        <v>0.43</v>
      </c>
      <c r="E139">
        <v>0.43</v>
      </c>
      <c r="F139">
        <v>0.43</v>
      </c>
      <c r="G139">
        <v>0.43</v>
      </c>
      <c r="H139">
        <v>0.43</v>
      </c>
    </row>
    <row r="140" spans="1:8" x14ac:dyDescent="0.3">
      <c r="A140" t="s">
        <v>135</v>
      </c>
      <c r="B140">
        <v>2.7</v>
      </c>
      <c r="C140">
        <v>2.9</v>
      </c>
      <c r="D140">
        <v>2.7</v>
      </c>
      <c r="E140">
        <v>2.7</v>
      </c>
      <c r="F140">
        <v>2.8</v>
      </c>
      <c r="G140">
        <v>2.9</v>
      </c>
      <c r="H140">
        <v>2.9</v>
      </c>
    </row>
    <row r="141" spans="1:8" x14ac:dyDescent="0.3">
      <c r="A141" t="s">
        <v>136</v>
      </c>
      <c r="B141" t="s">
        <v>220</v>
      </c>
      <c r="C141" t="s">
        <v>220</v>
      </c>
      <c r="D141" t="s">
        <v>220</v>
      </c>
      <c r="E141" t="s">
        <v>221</v>
      </c>
      <c r="F141" t="s">
        <v>221</v>
      </c>
      <c r="G141" t="s">
        <v>222</v>
      </c>
      <c r="H141" t="s">
        <v>222</v>
      </c>
    </row>
    <row r="142" spans="1:8" x14ac:dyDescent="0.3">
      <c r="A142" t="s">
        <v>137</v>
      </c>
      <c r="B142">
        <v>1.8</v>
      </c>
      <c r="C142">
        <v>1.8</v>
      </c>
      <c r="D142">
        <v>1.9</v>
      </c>
      <c r="E142">
        <v>1.9</v>
      </c>
      <c r="F142">
        <v>1.9</v>
      </c>
      <c r="G142">
        <v>1.9</v>
      </c>
      <c r="H142">
        <v>1.9</v>
      </c>
    </row>
    <row r="143" spans="1:8" x14ac:dyDescent="0.3">
      <c r="A143" t="s">
        <v>138</v>
      </c>
      <c r="B143">
        <v>19.100000000000001</v>
      </c>
      <c r="C143">
        <v>18.8</v>
      </c>
      <c r="D143">
        <v>19</v>
      </c>
      <c r="E143">
        <v>19.100000000000001</v>
      </c>
      <c r="F143">
        <v>19.2</v>
      </c>
      <c r="G143">
        <v>19.3</v>
      </c>
      <c r="H143">
        <v>19.399999999999999</v>
      </c>
    </row>
    <row r="144" spans="1:8" x14ac:dyDescent="0.3">
      <c r="A144" t="s">
        <v>139</v>
      </c>
      <c r="B144">
        <v>1.8</v>
      </c>
      <c r="C144">
        <v>1.9</v>
      </c>
      <c r="D144">
        <v>2</v>
      </c>
      <c r="E144">
        <v>2</v>
      </c>
      <c r="F144">
        <v>2.1</v>
      </c>
      <c r="G144">
        <v>2.1</v>
      </c>
      <c r="H144">
        <v>2.1</v>
      </c>
    </row>
    <row r="145" spans="1:8" x14ac:dyDescent="0.3">
      <c r="A145" t="s">
        <v>140</v>
      </c>
      <c r="B145">
        <v>0.56000000000000005</v>
      </c>
      <c r="C145">
        <v>0.55000000000000004</v>
      </c>
      <c r="D145">
        <v>0.56999999999999995</v>
      </c>
      <c r="E145">
        <v>0.56999999999999995</v>
      </c>
      <c r="F145">
        <v>0.56999999999999995</v>
      </c>
      <c r="G145">
        <v>0.56999999999999995</v>
      </c>
      <c r="H145">
        <v>0.56999999999999995</v>
      </c>
    </row>
    <row r="146" spans="1:8" x14ac:dyDescent="0.3">
      <c r="A146" t="s">
        <v>141</v>
      </c>
      <c r="B146">
        <v>0.9</v>
      </c>
      <c r="C146">
        <v>0.87</v>
      </c>
      <c r="D146">
        <v>0.86</v>
      </c>
      <c r="E146">
        <v>0.86</v>
      </c>
      <c r="F146">
        <v>0.86</v>
      </c>
      <c r="G146">
        <v>0.87</v>
      </c>
      <c r="H146">
        <v>0.87</v>
      </c>
    </row>
    <row r="147" spans="1:8" x14ac:dyDescent="0.3">
      <c r="A147" t="s">
        <v>142</v>
      </c>
      <c r="B147">
        <v>2.4</v>
      </c>
      <c r="C147">
        <v>2.8</v>
      </c>
      <c r="D147">
        <v>2.6</v>
      </c>
      <c r="E147">
        <v>2.6</v>
      </c>
      <c r="F147">
        <v>2.6</v>
      </c>
      <c r="G147">
        <v>2.6</v>
      </c>
      <c r="H147">
        <v>2.5</v>
      </c>
    </row>
    <row r="148" spans="1:8" x14ac:dyDescent="0.3">
      <c r="A148" t="s">
        <v>143</v>
      </c>
      <c r="B148">
        <v>1.8</v>
      </c>
      <c r="C148">
        <v>1.9</v>
      </c>
      <c r="D148">
        <v>2</v>
      </c>
      <c r="E148">
        <v>2.1</v>
      </c>
      <c r="F148">
        <v>2.1</v>
      </c>
      <c r="G148">
        <v>2.1</v>
      </c>
      <c r="H148">
        <v>2.2000000000000002</v>
      </c>
    </row>
    <row r="149" spans="1:8" x14ac:dyDescent="0.3">
      <c r="A149" t="s">
        <v>144</v>
      </c>
      <c r="B149">
        <v>29.8</v>
      </c>
      <c r="C149">
        <v>32.200000000000003</v>
      </c>
      <c r="D149">
        <v>33</v>
      </c>
      <c r="E149">
        <v>33.799999999999997</v>
      </c>
      <c r="F149">
        <v>34.4</v>
      </c>
      <c r="G149">
        <v>34.6</v>
      </c>
      <c r="H149">
        <v>34.9</v>
      </c>
    </row>
    <row r="150" spans="1:8" x14ac:dyDescent="0.3">
      <c r="A150" t="s">
        <v>145</v>
      </c>
      <c r="B150">
        <v>329.2</v>
      </c>
      <c r="C150">
        <v>356.8</v>
      </c>
      <c r="D150">
        <v>381.8</v>
      </c>
      <c r="E150">
        <v>395.3</v>
      </c>
      <c r="F150">
        <v>407.9</v>
      </c>
      <c r="G150">
        <v>420.3</v>
      </c>
      <c r="H150">
        <v>433</v>
      </c>
    </row>
    <row r="151" spans="1:8" x14ac:dyDescent="0.3">
      <c r="A151" t="s">
        <v>146</v>
      </c>
      <c r="B151">
        <v>1.9</v>
      </c>
      <c r="C151">
        <v>1.8</v>
      </c>
      <c r="D151">
        <v>1.9</v>
      </c>
      <c r="E151">
        <v>2</v>
      </c>
      <c r="F151">
        <v>2</v>
      </c>
      <c r="G151">
        <v>2</v>
      </c>
      <c r="H151">
        <v>2.1</v>
      </c>
    </row>
    <row r="152" spans="1:8" x14ac:dyDescent="0.3">
      <c r="A152" t="s">
        <v>147</v>
      </c>
      <c r="B152">
        <v>0.65</v>
      </c>
      <c r="C152">
        <v>0.63</v>
      </c>
      <c r="D152">
        <v>0.63</v>
      </c>
      <c r="E152">
        <v>0.63</v>
      </c>
      <c r="F152">
        <v>0.64</v>
      </c>
      <c r="G152">
        <v>0.64</v>
      </c>
      <c r="H152">
        <v>0.64</v>
      </c>
    </row>
    <row r="153" spans="1:8" x14ac:dyDescent="0.3">
      <c r="A153" t="s">
        <v>148</v>
      </c>
      <c r="B153">
        <v>12.7</v>
      </c>
      <c r="C153">
        <v>13.8</v>
      </c>
      <c r="D153">
        <v>15.6</v>
      </c>
      <c r="E153">
        <v>16.8</v>
      </c>
      <c r="F153">
        <v>17.3</v>
      </c>
      <c r="G153">
        <v>17.899999999999999</v>
      </c>
      <c r="H153">
        <v>18.399999999999999</v>
      </c>
    </row>
    <row r="154" spans="1:8" x14ac:dyDescent="0.3">
      <c r="A154" t="s">
        <v>149</v>
      </c>
      <c r="B154">
        <v>1.7</v>
      </c>
      <c r="C154">
        <v>1.9</v>
      </c>
      <c r="D154">
        <v>1.8</v>
      </c>
      <c r="E154">
        <v>1.8</v>
      </c>
      <c r="F154">
        <v>1.7</v>
      </c>
      <c r="G154">
        <v>1.7</v>
      </c>
      <c r="H154">
        <v>1.7</v>
      </c>
    </row>
    <row r="155" spans="1:8" x14ac:dyDescent="0.3">
      <c r="A155" t="s">
        <v>150</v>
      </c>
      <c r="B155">
        <v>234.1</v>
      </c>
      <c r="C155">
        <v>237.5</v>
      </c>
      <c r="D155">
        <v>241.3</v>
      </c>
      <c r="E155">
        <v>244.4</v>
      </c>
      <c r="F155">
        <v>244.9</v>
      </c>
      <c r="G155">
        <v>245.2</v>
      </c>
      <c r="H155">
        <v>245.4</v>
      </c>
    </row>
    <row r="156" spans="1:8" x14ac:dyDescent="0.3">
      <c r="A156" t="s">
        <v>151</v>
      </c>
      <c r="B156">
        <v>41.9</v>
      </c>
      <c r="C156">
        <v>43.2</v>
      </c>
      <c r="D156">
        <v>46.7</v>
      </c>
      <c r="E156">
        <v>48.2</v>
      </c>
      <c r="F156">
        <v>48.9</v>
      </c>
      <c r="G156">
        <v>49.5</v>
      </c>
      <c r="H156">
        <v>50.1</v>
      </c>
    </row>
    <row r="157" spans="1:8" x14ac:dyDescent="0.3">
      <c r="A157" t="s">
        <v>152</v>
      </c>
      <c r="B157">
        <v>8.1</v>
      </c>
      <c r="C157">
        <v>7.7</v>
      </c>
      <c r="D157">
        <v>7.3</v>
      </c>
      <c r="E157">
        <v>7.2</v>
      </c>
      <c r="F157">
        <v>7.2</v>
      </c>
      <c r="G157">
        <v>7.2</v>
      </c>
      <c r="H157">
        <v>7.3</v>
      </c>
    </row>
    <row r="158" spans="1:8" x14ac:dyDescent="0.3">
      <c r="A158" t="s">
        <v>153</v>
      </c>
      <c r="B158" t="s">
        <v>258</v>
      </c>
      <c r="C158" t="s">
        <v>232</v>
      </c>
      <c r="D158" t="s">
        <v>207</v>
      </c>
      <c r="E158" t="s">
        <v>223</v>
      </c>
      <c r="F158" t="s">
        <v>224</v>
      </c>
      <c r="G158" t="s">
        <v>225</v>
      </c>
      <c r="H158" t="s">
        <v>226</v>
      </c>
    </row>
    <row r="159" spans="1:8" x14ac:dyDescent="0.3">
      <c r="A159" t="s">
        <v>154</v>
      </c>
      <c r="B159">
        <v>0.89</v>
      </c>
      <c r="C159">
        <v>0.95</v>
      </c>
      <c r="D159">
        <v>0.89</v>
      </c>
      <c r="E159">
        <v>0.89</v>
      </c>
      <c r="F159">
        <v>0.9</v>
      </c>
      <c r="G159">
        <v>0.9</v>
      </c>
      <c r="H159">
        <v>0.9</v>
      </c>
    </row>
    <row r="160" spans="1:8" x14ac:dyDescent="0.3">
      <c r="A160" t="s">
        <v>155</v>
      </c>
      <c r="B160">
        <v>0.5</v>
      </c>
      <c r="C160">
        <v>0.5</v>
      </c>
      <c r="D160">
        <v>0.53</v>
      </c>
      <c r="E160">
        <v>0.55000000000000004</v>
      </c>
      <c r="F160">
        <v>0.56000000000000005</v>
      </c>
      <c r="G160">
        <v>0.56000000000000005</v>
      </c>
      <c r="H160">
        <v>0.56000000000000005</v>
      </c>
    </row>
    <row r="161" spans="1:8" x14ac:dyDescent="0.3">
      <c r="A161" t="s">
        <v>156</v>
      </c>
      <c r="B161">
        <v>0.56000000000000005</v>
      </c>
      <c r="C161">
        <v>0.56000000000000005</v>
      </c>
      <c r="D161">
        <v>0.57999999999999996</v>
      </c>
      <c r="E161">
        <v>0.59</v>
      </c>
      <c r="F161">
        <v>0.59</v>
      </c>
      <c r="G161">
        <v>0.59</v>
      </c>
      <c r="H161">
        <v>0.59</v>
      </c>
    </row>
    <row r="162" spans="1:8" x14ac:dyDescent="0.3">
      <c r="A162" t="s">
        <v>157</v>
      </c>
      <c r="B162">
        <v>7.3</v>
      </c>
      <c r="C162">
        <v>7</v>
      </c>
      <c r="D162">
        <v>7</v>
      </c>
      <c r="E162">
        <v>7</v>
      </c>
      <c r="F162">
        <v>7.2</v>
      </c>
      <c r="G162">
        <v>7.3</v>
      </c>
      <c r="H162">
        <v>7.4</v>
      </c>
    </row>
    <row r="163" spans="1:8" x14ac:dyDescent="0.3">
      <c r="A163" t="s">
        <v>158</v>
      </c>
      <c r="B163">
        <v>0.36</v>
      </c>
      <c r="C163">
        <v>0.35</v>
      </c>
      <c r="D163">
        <v>0.36</v>
      </c>
      <c r="E163">
        <v>0.38</v>
      </c>
      <c r="F163">
        <v>0.39</v>
      </c>
      <c r="G163">
        <v>0.4</v>
      </c>
      <c r="H163">
        <v>0.4</v>
      </c>
    </row>
    <row r="164" spans="1:8" x14ac:dyDescent="0.3">
      <c r="A164" t="s">
        <v>159</v>
      </c>
      <c r="B164">
        <v>7.1</v>
      </c>
      <c r="C164">
        <v>7</v>
      </c>
      <c r="D164">
        <v>7</v>
      </c>
      <c r="E164">
        <v>7.2</v>
      </c>
      <c r="F164">
        <v>7.4</v>
      </c>
      <c r="G164">
        <v>7.5</v>
      </c>
      <c r="H164">
        <v>7.7</v>
      </c>
    </row>
    <row r="165" spans="1:8" x14ac:dyDescent="0.3">
      <c r="A165" t="s">
        <v>160</v>
      </c>
      <c r="B165">
        <v>297.10000000000002</v>
      </c>
      <c r="C165">
        <v>685.8</v>
      </c>
      <c r="D165" t="s">
        <v>227</v>
      </c>
      <c r="E165" t="s">
        <v>201</v>
      </c>
      <c r="F165" t="s">
        <v>228</v>
      </c>
      <c r="G165" t="s">
        <v>229</v>
      </c>
      <c r="H165" t="s">
        <v>230</v>
      </c>
    </row>
    <row r="166" spans="1:8" x14ac:dyDescent="0.3">
      <c r="A166" t="s">
        <v>161</v>
      </c>
      <c r="B166">
        <v>0.61</v>
      </c>
      <c r="C166">
        <v>0.59</v>
      </c>
      <c r="D166">
        <v>0.61</v>
      </c>
      <c r="E166">
        <v>0.61</v>
      </c>
      <c r="F166">
        <v>0.61</v>
      </c>
      <c r="G166">
        <v>0.61</v>
      </c>
      <c r="H166">
        <v>0.61</v>
      </c>
    </row>
    <row r="167" spans="1:8" x14ac:dyDescent="0.3">
      <c r="A167" t="s">
        <v>162</v>
      </c>
      <c r="B167">
        <v>54.4</v>
      </c>
      <c r="C167">
        <v>75.599999999999994</v>
      </c>
      <c r="D167" t="s">
        <v>197</v>
      </c>
      <c r="E167" t="s">
        <v>197</v>
      </c>
      <c r="F167" t="s">
        <v>197</v>
      </c>
      <c r="G167" t="s">
        <v>197</v>
      </c>
      <c r="H167" t="s">
        <v>197</v>
      </c>
    </row>
    <row r="168" spans="1:8" x14ac:dyDescent="0.3">
      <c r="A168" t="s">
        <v>163</v>
      </c>
      <c r="B168">
        <v>1.7</v>
      </c>
      <c r="C168">
        <v>1.6</v>
      </c>
      <c r="D168">
        <v>1.7</v>
      </c>
      <c r="E168">
        <v>1.6</v>
      </c>
      <c r="F168">
        <v>1.7</v>
      </c>
      <c r="G168">
        <v>1.7</v>
      </c>
      <c r="H168">
        <v>1.7</v>
      </c>
    </row>
    <row r="169" spans="1:8" x14ac:dyDescent="0.3">
      <c r="A169" t="s">
        <v>164</v>
      </c>
      <c r="B169">
        <v>1.9</v>
      </c>
      <c r="C169">
        <v>1.9</v>
      </c>
      <c r="D169">
        <v>1.9</v>
      </c>
      <c r="E169">
        <v>1.9</v>
      </c>
      <c r="F169">
        <v>1.9</v>
      </c>
      <c r="G169">
        <v>2</v>
      </c>
      <c r="H169">
        <v>2</v>
      </c>
    </row>
    <row r="170" spans="1:8" x14ac:dyDescent="0.3">
      <c r="A170" t="s">
        <v>165</v>
      </c>
      <c r="B170">
        <v>1.5</v>
      </c>
      <c r="C170">
        <v>1.4</v>
      </c>
      <c r="D170">
        <v>1.4</v>
      </c>
      <c r="E170">
        <v>1.4</v>
      </c>
      <c r="F170">
        <v>1.4</v>
      </c>
      <c r="G170">
        <v>1.4</v>
      </c>
      <c r="H170">
        <v>1.4</v>
      </c>
    </row>
    <row r="171" spans="1:8" x14ac:dyDescent="0.3">
      <c r="A171" t="s">
        <v>166</v>
      </c>
      <c r="B171">
        <v>75.900000000000006</v>
      </c>
      <c r="C171">
        <v>93.4</v>
      </c>
      <c r="D171">
        <v>279.60000000000002</v>
      </c>
      <c r="E171">
        <v>685.6</v>
      </c>
      <c r="F171" t="s">
        <v>198</v>
      </c>
      <c r="G171" t="s">
        <v>200</v>
      </c>
      <c r="H171" t="s">
        <v>201</v>
      </c>
    </row>
    <row r="172" spans="1:8" x14ac:dyDescent="0.3">
      <c r="A172" t="s">
        <v>167</v>
      </c>
      <c r="B172">
        <v>6.1</v>
      </c>
      <c r="C172">
        <v>8.1999999999999993</v>
      </c>
      <c r="D172">
        <v>11.9</v>
      </c>
      <c r="E172">
        <v>13.7</v>
      </c>
      <c r="F172">
        <v>15.3</v>
      </c>
      <c r="G172">
        <v>16.3</v>
      </c>
      <c r="H172">
        <v>17.2</v>
      </c>
    </row>
    <row r="173" spans="1:8" x14ac:dyDescent="0.3">
      <c r="A173" t="s">
        <v>168</v>
      </c>
      <c r="B173">
        <v>8.6999999999999993</v>
      </c>
      <c r="C173">
        <v>8.6</v>
      </c>
      <c r="D173">
        <v>8.8000000000000007</v>
      </c>
      <c r="E173">
        <v>8.8000000000000007</v>
      </c>
      <c r="F173">
        <v>8.9</v>
      </c>
      <c r="G173">
        <v>8.9</v>
      </c>
      <c r="H173">
        <v>8.9</v>
      </c>
    </row>
    <row r="174" spans="1:8" x14ac:dyDescent="0.3">
      <c r="A174" t="s">
        <v>169</v>
      </c>
      <c r="B174">
        <v>1.1000000000000001</v>
      </c>
      <c r="C174">
        <v>1</v>
      </c>
      <c r="D174">
        <v>1</v>
      </c>
      <c r="E174">
        <v>1</v>
      </c>
      <c r="F174">
        <v>1</v>
      </c>
      <c r="G174">
        <v>0.99</v>
      </c>
      <c r="H174">
        <v>0.98</v>
      </c>
    </row>
    <row r="175" spans="1:8" x14ac:dyDescent="0.3">
      <c r="A175" t="s">
        <v>170</v>
      </c>
      <c r="B175" t="s">
        <v>197</v>
      </c>
      <c r="C175" t="s">
        <v>197</v>
      </c>
      <c r="D175" t="s">
        <v>197</v>
      </c>
      <c r="E175" t="s">
        <v>197</v>
      </c>
      <c r="F175" t="s">
        <v>197</v>
      </c>
      <c r="G175" t="s">
        <v>197</v>
      </c>
      <c r="H175" t="s">
        <v>197</v>
      </c>
    </row>
    <row r="176" spans="1:8" x14ac:dyDescent="0.3">
      <c r="A176" t="s">
        <v>171</v>
      </c>
      <c r="B176">
        <v>14.7</v>
      </c>
      <c r="C176">
        <v>14</v>
      </c>
      <c r="D176">
        <v>13.9</v>
      </c>
      <c r="E176">
        <v>13.8</v>
      </c>
      <c r="F176">
        <v>13.8</v>
      </c>
      <c r="G176">
        <v>13.7</v>
      </c>
      <c r="H176">
        <v>13.7</v>
      </c>
    </row>
    <row r="177" spans="1:8" x14ac:dyDescent="0.3">
      <c r="A177" t="s">
        <v>172</v>
      </c>
      <c r="B177">
        <v>2.4</v>
      </c>
      <c r="C177">
        <v>2.4</v>
      </c>
      <c r="D177">
        <v>2.4</v>
      </c>
      <c r="E177">
        <v>2.4</v>
      </c>
      <c r="F177">
        <v>2.5</v>
      </c>
      <c r="G177">
        <v>2.6</v>
      </c>
      <c r="H177">
        <v>2.8</v>
      </c>
    </row>
    <row r="178" spans="1:8" x14ac:dyDescent="0.3">
      <c r="A178" t="s">
        <v>173</v>
      </c>
      <c r="B178">
        <v>842.2</v>
      </c>
      <c r="C178">
        <v>821.7</v>
      </c>
      <c r="D178">
        <v>839.6</v>
      </c>
      <c r="E178">
        <v>859.2</v>
      </c>
      <c r="F178">
        <v>880.5</v>
      </c>
      <c r="G178">
        <v>902</v>
      </c>
      <c r="H178">
        <v>928.3</v>
      </c>
    </row>
    <row r="179" spans="1:8" x14ac:dyDescent="0.3">
      <c r="A179" t="s">
        <v>174</v>
      </c>
      <c r="B179">
        <v>12</v>
      </c>
      <c r="C179">
        <v>11.7</v>
      </c>
      <c r="D179">
        <v>11.5</v>
      </c>
      <c r="E179">
        <v>11.3</v>
      </c>
      <c r="F179">
        <v>11.1</v>
      </c>
      <c r="G179">
        <v>11.2</v>
      </c>
      <c r="H179">
        <v>11.3</v>
      </c>
    </row>
    <row r="180" spans="1:8" x14ac:dyDescent="0.3">
      <c r="A180" t="s">
        <v>175</v>
      </c>
      <c r="B180">
        <v>0.49</v>
      </c>
      <c r="C180">
        <v>0.51</v>
      </c>
      <c r="D180">
        <v>0.43</v>
      </c>
      <c r="E180">
        <v>0.39</v>
      </c>
      <c r="F180">
        <v>0.4</v>
      </c>
      <c r="G180">
        <v>0.4</v>
      </c>
      <c r="H180">
        <v>0.41</v>
      </c>
    </row>
    <row r="181" spans="1:8" x14ac:dyDescent="0.3">
      <c r="A181" t="s">
        <v>176</v>
      </c>
      <c r="B181">
        <v>228.1</v>
      </c>
      <c r="C181">
        <v>220.8</v>
      </c>
      <c r="D181">
        <v>219</v>
      </c>
      <c r="E181">
        <v>218.6</v>
      </c>
      <c r="F181">
        <v>219.1</v>
      </c>
      <c r="G181">
        <v>219.3</v>
      </c>
      <c r="H181">
        <v>219.6</v>
      </c>
    </row>
    <row r="182" spans="1:8" x14ac:dyDescent="0.3">
      <c r="A182" t="s">
        <v>177</v>
      </c>
      <c r="B182">
        <v>1.7</v>
      </c>
      <c r="C182">
        <v>1.7</v>
      </c>
      <c r="D182">
        <v>1.8</v>
      </c>
      <c r="E182">
        <v>1.9</v>
      </c>
      <c r="F182">
        <v>1.9</v>
      </c>
      <c r="G182">
        <v>1.9</v>
      </c>
      <c r="H182">
        <v>2</v>
      </c>
    </row>
    <row r="183" spans="1:8" x14ac:dyDescent="0.3">
      <c r="A183" t="s">
        <v>178</v>
      </c>
      <c r="B183">
        <v>4.3</v>
      </c>
      <c r="C183">
        <v>4.8</v>
      </c>
      <c r="D183">
        <v>4.3</v>
      </c>
      <c r="E183">
        <v>4.0999999999999996</v>
      </c>
      <c r="F183">
        <v>4.0999999999999996</v>
      </c>
      <c r="G183">
        <v>4.0999999999999996</v>
      </c>
      <c r="H183">
        <v>4</v>
      </c>
    </row>
    <row r="184" spans="1:8" x14ac:dyDescent="0.3">
      <c r="A184" t="s">
        <v>179</v>
      </c>
      <c r="B184">
        <v>0.92</v>
      </c>
      <c r="C184">
        <v>0.93</v>
      </c>
      <c r="D184">
        <v>0.99</v>
      </c>
      <c r="E184">
        <v>1</v>
      </c>
      <c r="F184">
        <v>1.1000000000000001</v>
      </c>
      <c r="G184">
        <v>1.2</v>
      </c>
      <c r="H184">
        <v>1.2</v>
      </c>
    </row>
    <row r="185" spans="1:8" x14ac:dyDescent="0.3">
      <c r="A185" t="s">
        <v>180</v>
      </c>
      <c r="B185">
        <v>2.4</v>
      </c>
      <c r="C185">
        <v>4.5</v>
      </c>
      <c r="D185">
        <v>7.2</v>
      </c>
      <c r="E185">
        <v>10.8</v>
      </c>
      <c r="F185">
        <v>14.5</v>
      </c>
      <c r="G185">
        <v>17.2</v>
      </c>
      <c r="H185">
        <v>19.7</v>
      </c>
    </row>
    <row r="186" spans="1:8" x14ac:dyDescent="0.3">
      <c r="A186" t="s">
        <v>181</v>
      </c>
      <c r="B186">
        <v>2</v>
      </c>
      <c r="C186">
        <v>2.2999999999999998</v>
      </c>
      <c r="D186">
        <v>2.2000000000000002</v>
      </c>
      <c r="E186">
        <v>2.2000000000000002</v>
      </c>
      <c r="F186">
        <v>2.2999999999999998</v>
      </c>
      <c r="G186">
        <v>2.4</v>
      </c>
      <c r="H186">
        <v>2.5</v>
      </c>
    </row>
    <row r="187" spans="1:8" x14ac:dyDescent="0.3">
      <c r="A187" t="s">
        <v>182</v>
      </c>
      <c r="B187">
        <v>1.5</v>
      </c>
      <c r="C187">
        <v>1.5</v>
      </c>
      <c r="D187">
        <v>1.5</v>
      </c>
      <c r="E187">
        <v>1.5</v>
      </c>
      <c r="F187">
        <v>1.6</v>
      </c>
      <c r="G187">
        <v>1.6</v>
      </c>
      <c r="H187">
        <v>1.6</v>
      </c>
    </row>
    <row r="188" spans="1:8" x14ac:dyDescent="0.3">
      <c r="A188" t="s">
        <v>183</v>
      </c>
      <c r="B188" t="s">
        <v>200</v>
      </c>
      <c r="C188" t="s">
        <v>200</v>
      </c>
      <c r="D188" t="s">
        <v>200</v>
      </c>
      <c r="E188" t="s">
        <v>200</v>
      </c>
      <c r="F188" t="s">
        <v>203</v>
      </c>
      <c r="G188" t="s">
        <v>203</v>
      </c>
      <c r="H188" t="s">
        <v>201</v>
      </c>
    </row>
    <row r="189" spans="1:8" x14ac:dyDescent="0.3">
      <c r="A189" t="s">
        <v>184</v>
      </c>
      <c r="B189">
        <v>9.1999999999999993</v>
      </c>
      <c r="C189">
        <v>11.6</v>
      </c>
      <c r="D189">
        <v>13.3</v>
      </c>
      <c r="E189">
        <v>15</v>
      </c>
      <c r="F189">
        <v>15.9</v>
      </c>
      <c r="G189">
        <v>16.5</v>
      </c>
      <c r="H189">
        <v>17</v>
      </c>
    </row>
    <row r="190" spans="1:8" x14ac:dyDescent="0.3">
      <c r="A190" t="s">
        <v>185</v>
      </c>
      <c r="B190">
        <v>2.1</v>
      </c>
      <c r="C190">
        <v>2.2000000000000002</v>
      </c>
      <c r="D190">
        <v>2.1</v>
      </c>
      <c r="E190">
        <v>2</v>
      </c>
      <c r="F190">
        <v>2</v>
      </c>
      <c r="G190">
        <v>2</v>
      </c>
      <c r="H190">
        <v>2</v>
      </c>
    </row>
    <row r="191" spans="1:8" x14ac:dyDescent="0.3">
      <c r="A191" t="s">
        <v>186</v>
      </c>
      <c r="B191">
        <v>0.68</v>
      </c>
      <c r="C191">
        <v>0.66</v>
      </c>
      <c r="D191">
        <v>0.69</v>
      </c>
      <c r="E191">
        <v>0.68</v>
      </c>
      <c r="F191">
        <v>0.68</v>
      </c>
      <c r="G191">
        <v>0.69</v>
      </c>
      <c r="H191">
        <v>0.69</v>
      </c>
    </row>
    <row r="192" spans="1:8" x14ac:dyDescent="0.3">
      <c r="A192" t="s">
        <v>187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</row>
    <row r="193" spans="1:8" x14ac:dyDescent="0.3">
      <c r="A193" t="s">
        <v>188</v>
      </c>
      <c r="B193">
        <v>30.4</v>
      </c>
      <c r="C193">
        <v>29.6</v>
      </c>
      <c r="D193">
        <v>29.5</v>
      </c>
      <c r="E193">
        <v>30.4</v>
      </c>
      <c r="F193">
        <v>31.5</v>
      </c>
      <c r="G193">
        <v>32.5</v>
      </c>
      <c r="H193">
        <v>33.5</v>
      </c>
    </row>
    <row r="194" spans="1:8" x14ac:dyDescent="0.3">
      <c r="A194" t="s">
        <v>189</v>
      </c>
      <c r="B194" t="s">
        <v>259</v>
      </c>
      <c r="C194" t="s">
        <v>237</v>
      </c>
      <c r="D194" t="s">
        <v>222</v>
      </c>
      <c r="E194" t="s">
        <v>231</v>
      </c>
      <c r="F194" t="s">
        <v>232</v>
      </c>
      <c r="G194" t="s">
        <v>217</v>
      </c>
      <c r="H194" t="s">
        <v>205</v>
      </c>
    </row>
    <row r="195" spans="1:8" x14ac:dyDescent="0.3">
      <c r="A195" t="s">
        <v>190</v>
      </c>
      <c r="B195">
        <v>124.9</v>
      </c>
      <c r="C195">
        <v>129.80000000000001</v>
      </c>
      <c r="D195">
        <v>139.4</v>
      </c>
      <c r="E195">
        <v>145.80000000000001</v>
      </c>
      <c r="F195">
        <v>150.30000000000001</v>
      </c>
      <c r="G195">
        <v>153.30000000000001</v>
      </c>
      <c r="H195">
        <v>156.30000000000001</v>
      </c>
    </row>
    <row r="196" spans="1:8" x14ac:dyDescent="0.3">
      <c r="A196" t="s">
        <v>191</v>
      </c>
      <c r="B196">
        <v>1.1000000000000001</v>
      </c>
      <c r="C196">
        <v>3.3</v>
      </c>
      <c r="D196">
        <v>13.5</v>
      </c>
      <c r="E196">
        <v>26.7</v>
      </c>
      <c r="F196">
        <v>65.900000000000006</v>
      </c>
      <c r="G196" t="s">
        <v>197</v>
      </c>
      <c r="H196" t="s">
        <v>197</v>
      </c>
    </row>
    <row r="197" spans="1:8" x14ac:dyDescent="0.3">
      <c r="A197" t="s">
        <v>192</v>
      </c>
      <c r="B197" t="s">
        <v>236</v>
      </c>
      <c r="C197" t="s">
        <v>234</v>
      </c>
      <c r="D197" t="s">
        <v>233</v>
      </c>
      <c r="E197" t="s">
        <v>234</v>
      </c>
      <c r="F197" t="s">
        <v>235</v>
      </c>
      <c r="G197" t="s">
        <v>236</v>
      </c>
      <c r="H197" t="s">
        <v>225</v>
      </c>
    </row>
    <row r="198" spans="1:8" x14ac:dyDescent="0.3">
      <c r="A198" t="s">
        <v>193</v>
      </c>
      <c r="B198">
        <v>1.9</v>
      </c>
      <c r="C198">
        <v>1.9</v>
      </c>
      <c r="D198">
        <v>2.1</v>
      </c>
      <c r="E198" t="s">
        <v>197</v>
      </c>
      <c r="F198" t="s">
        <v>197</v>
      </c>
      <c r="G198" t="s">
        <v>197</v>
      </c>
      <c r="H198" t="s">
        <v>197</v>
      </c>
    </row>
    <row r="199" spans="1:8" x14ac:dyDescent="0.3">
      <c r="A199" t="s">
        <v>194</v>
      </c>
      <c r="B199">
        <v>320.8</v>
      </c>
      <c r="C199">
        <v>388.6</v>
      </c>
      <c r="D199">
        <v>364</v>
      </c>
      <c r="E199">
        <v>416</v>
      </c>
      <c r="F199">
        <v>478.7</v>
      </c>
      <c r="G199">
        <v>551.4</v>
      </c>
      <c r="H199">
        <v>633.4</v>
      </c>
    </row>
    <row r="200" spans="1:8" x14ac:dyDescent="0.3">
      <c r="A200" t="s">
        <v>195</v>
      </c>
      <c r="B200">
        <v>6.3</v>
      </c>
      <c r="C200">
        <v>6.2</v>
      </c>
      <c r="D200">
        <v>6.6</v>
      </c>
      <c r="E200">
        <v>7.1</v>
      </c>
      <c r="F200">
        <v>7.5</v>
      </c>
      <c r="G200">
        <v>7.9</v>
      </c>
      <c r="H200">
        <v>8.3000000000000007</v>
      </c>
    </row>
    <row r="201" spans="1:8" x14ac:dyDescent="0.3">
      <c r="A201" t="s">
        <v>196</v>
      </c>
      <c r="B201">
        <v>85.5</v>
      </c>
      <c r="C201">
        <v>291.39999999999998</v>
      </c>
      <c r="D201" t="s">
        <v>237</v>
      </c>
      <c r="E201" t="s">
        <v>238</v>
      </c>
      <c r="F201" t="s">
        <v>239</v>
      </c>
      <c r="G201" t="s">
        <v>240</v>
      </c>
      <c r="H201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PPP conversion rate_LCUperID</vt:lpstr>
      <vt:lpstr>Raw_from_worldbank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</dc:creator>
  <cp:lastModifiedBy>Mitchell, Elizabeth</cp:lastModifiedBy>
  <dcterms:created xsi:type="dcterms:W3CDTF">2015-06-05T18:17:20Z</dcterms:created>
  <dcterms:modified xsi:type="dcterms:W3CDTF">2026-03-12T18:13:38Z</dcterms:modified>
</cp:coreProperties>
</file>