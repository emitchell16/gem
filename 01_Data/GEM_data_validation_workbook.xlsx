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emory-my.sharepoint.com/personal/estaton_emory_edu/Documents/1_Research proj/GEM Model_shared/Oct_GEM_sema/01_Data/for_validation1/"/>
    </mc:Choice>
  </mc:AlternateContent>
  <xr:revisionPtr revIDLastSave="254" documentId="8_{2FD38498-ED09-4195-8424-16529E2D45A4}" xr6:coauthVersionLast="47" xr6:coauthVersionMax="47" xr10:uidLastSave="{09ED5765-FBC0-4DF3-B483-162EC8883B92}"/>
  <bookViews>
    <workbookView xWindow="-28920" yWindow="-1230" windowWidth="29040" windowHeight="15720" tabRatio="752" xr2:uid="{00000000-000D-0000-FFFF-FFFF00000000}"/>
  </bookViews>
  <sheets>
    <sheet name="Instructions" sheetId="9" r:id="rId1"/>
    <sheet name="InstructionsPersonLevel" sheetId="1" state="hidden" r:id="rId2"/>
    <sheet name="Codebook" sheetId="8" r:id="rId3"/>
    <sheet name="PersonLevelCodebook" sheetId="2" state="hidden" r:id="rId4"/>
    <sheet name="Included Study Documentation" sheetId="6" r:id="rId5"/>
    <sheet name="DataInput" sheetId="3" r:id="rId6"/>
    <sheet name="ComparisonOutcomes" sheetId="16" r:id="rId7"/>
    <sheet name="SimOutcomes" sheetId="7" r:id="rId8"/>
    <sheet name="BaselinePersonLevel" sheetId="5" state="hidden" r:id="rId9"/>
    <sheet name="OutcomesPersonLevel" sheetId="4" state="hidden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6" l="1"/>
  <c r="G8" i="16"/>
  <c r="G7" i="16"/>
  <c r="G6" i="16"/>
  <c r="G5" i="3"/>
  <c r="G4" i="3"/>
  <c r="G3" i="3"/>
  <c r="G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1" i="3"/>
  <c r="E12" i="3"/>
  <c r="E10" i="3"/>
  <c r="E9" i="3"/>
  <c r="E8" i="3"/>
  <c r="E7" i="3"/>
  <c r="E6" i="3"/>
  <c r="E5" i="3"/>
  <c r="E4" i="3"/>
  <c r="E3" i="3"/>
  <c r="E2" i="3"/>
  <c r="Y4" i="3"/>
  <c r="Y5" i="3"/>
  <c r="Y3" i="3"/>
  <c r="Y2" i="3"/>
  <c r="E8" i="16"/>
  <c r="F8" i="16"/>
  <c r="E9" i="16"/>
  <c r="F9" i="16"/>
  <c r="J10" i="16"/>
  <c r="J11" i="16"/>
  <c r="J12" i="16"/>
  <c r="J13" i="16"/>
  <c r="G16" i="16"/>
  <c r="G17" i="16"/>
  <c r="G18" i="16"/>
  <c r="G19" i="16"/>
  <c r="G20" i="16"/>
  <c r="G21" i="16"/>
  <c r="G22" i="16"/>
  <c r="G23" i="16"/>
  <c r="F24" i="16"/>
  <c r="G24" i="16"/>
  <c r="J24" i="16"/>
  <c r="F25" i="16"/>
  <c r="G25" i="16"/>
  <c r="J25" i="16"/>
  <c r="F26" i="16"/>
  <c r="G26" i="16"/>
  <c r="J26" i="16"/>
  <c r="F27" i="16"/>
  <c r="G27" i="16"/>
  <c r="J27" i="16"/>
  <c r="F28" i="16"/>
  <c r="G28" i="16"/>
  <c r="J28" i="16"/>
  <c r="F29" i="16"/>
  <c r="G29" i="16"/>
  <c r="J29" i="16"/>
  <c r="F30" i="16"/>
  <c r="G30" i="16"/>
  <c r="J30" i="16"/>
  <c r="J31" i="16"/>
  <c r="G31" i="16"/>
  <c r="F31" i="16"/>
</calcChain>
</file>

<file path=xl/sharedStrings.xml><?xml version="1.0" encoding="utf-8"?>
<sst xmlns="http://schemas.openxmlformats.org/spreadsheetml/2006/main" count="706" uniqueCount="294">
  <si>
    <t>Instruction Sheet</t>
  </si>
  <si>
    <t>This workbook is developed to guide the data preparation process for GEM model.
Blue sheet tabs require researcher input for documentation and simulation data preparation.</t>
  </si>
  <si>
    <t>* Establish a fixed period (e.g., 1 year) as recruitment period for baseline information (e.g., Disease History) and determine a follow-up period for outcomes</t>
  </si>
  <si>
    <t>Tab No.1</t>
  </si>
  <si>
    <t xml:space="preserve"> Codebook</t>
  </si>
  <si>
    <t>This list contains the definitions of variables in GEM model.</t>
  </si>
  <si>
    <t xml:space="preserve">1) Data Input </t>
  </si>
  <si>
    <t>This table contains definitions of all  variables in order to run simulation.</t>
  </si>
  <si>
    <r>
      <t>Extracted information for study samples should be provided in</t>
    </r>
    <r>
      <rPr>
        <b/>
        <i/>
        <sz val="11"/>
        <color rgb="FF000000"/>
        <rFont val="Aptos"/>
        <family val="2"/>
      </rPr>
      <t xml:space="preserve"> the DataInput tab</t>
    </r>
  </si>
  <si>
    <t>It is recommended that researchers try their best to gather information on as many variables as possible.</t>
  </si>
  <si>
    <t xml:space="preserve">2) Outcomes Cohort Level </t>
  </si>
  <si>
    <t> </t>
  </si>
  <si>
    <t xml:space="preserve">This table contains definitions of outcome variables </t>
  </si>
  <si>
    <t>Tab No.2</t>
  </si>
  <si>
    <t>Included Study Documentation</t>
  </si>
  <si>
    <t>This is a standard table for documenting included studies</t>
  </si>
  <si>
    <r>
      <t>This table contains one example,</t>
    </r>
    <r>
      <rPr>
        <i/>
        <sz val="11"/>
        <color rgb="FF000000"/>
        <rFont val="Aptos"/>
        <family val="2"/>
      </rPr>
      <t xml:space="preserve"> </t>
    </r>
    <r>
      <rPr>
        <sz val="11"/>
        <color rgb="FF000000"/>
        <rFont val="Aptos"/>
        <family val="2"/>
      </rPr>
      <t>w</t>
    </r>
    <r>
      <rPr>
        <sz val="11"/>
        <color rgb="FF000000"/>
        <rFont val="Aptos"/>
        <family val="2"/>
      </rPr>
      <t>hich is only used to guide data preparation process.</t>
    </r>
  </si>
  <si>
    <t>Tab No.3</t>
  </si>
  <si>
    <t xml:space="preserve"> DataInput</t>
  </si>
  <si>
    <t>This is a standard table for input data preparation</t>
  </si>
  <si>
    <t xml:space="preserve">Researchers should gather input data for each study cohort. Studies should have at a minimum T2D and obesity rate data. 
CKD, CVD, ESKD, and obesity by class (1-3) rates, and average BMI, should be included if available. </t>
  </si>
  <si>
    <r>
      <t>This table contains an example of study data,</t>
    </r>
    <r>
      <rPr>
        <i/>
        <sz val="11"/>
        <color rgb="FF000000"/>
        <rFont val="Aptos"/>
        <family val="2"/>
      </rPr>
      <t xml:space="preserve"> </t>
    </r>
    <r>
      <rPr>
        <sz val="11"/>
        <color rgb="FF000000"/>
        <rFont val="Aptos"/>
        <family val="2"/>
      </rPr>
      <t>w</t>
    </r>
    <r>
      <rPr>
        <sz val="11"/>
        <color rgb="FF000000"/>
        <rFont val="Aptos"/>
        <family val="2"/>
      </rPr>
      <t>hich is only used to guide data preparation process.</t>
    </r>
  </si>
  <si>
    <t>Tab No.4</t>
  </si>
  <si>
    <t>ComparisonOutcomes</t>
  </si>
  <si>
    <t>This is a standard table to document study outcomes for comparison to simulated outcomes</t>
  </si>
  <si>
    <t>Tab No.5</t>
  </si>
  <si>
    <t>SimOutcomes</t>
  </si>
  <si>
    <t xml:space="preserve">This is a standard table for the projected outcomes </t>
  </si>
  <si>
    <t>The model takes information from the "DataInput" tab and generates the risk of outcomes in the "SimOutcomes" tab.</t>
  </si>
  <si>
    <t>This table also contains an example.</t>
  </si>
  <si>
    <t xml:space="preserve">This sheet is developed to guide the data preparation process for GEM model </t>
  </si>
  <si>
    <t xml:space="preserve">1) Data Input Table </t>
  </si>
  <si>
    <t>This table contains definitions of all  variables in order to run person-level simulation.</t>
  </si>
  <si>
    <r>
      <rPr>
        <sz val="11"/>
        <color rgb="FF000000"/>
        <rFont val="Aptos"/>
        <family val="2"/>
      </rPr>
      <t xml:space="preserve">Extracted information for study samples should be provided in  </t>
    </r>
    <r>
      <rPr>
        <b/>
        <i/>
        <sz val="11"/>
        <color rgb="FF000000"/>
        <rFont val="Aptos"/>
        <family val="2"/>
      </rPr>
      <t>Tab No.2 DataInput</t>
    </r>
  </si>
  <si>
    <t>2) Baseline Person Level Data</t>
  </si>
  <si>
    <t>This table contains definitions of the person-level variables derived from Tab No.2 DataInput</t>
  </si>
  <si>
    <t xml:space="preserve">3) Outcomes Table </t>
  </si>
  <si>
    <t>Researchers should gather input data for each individual</t>
  </si>
  <si>
    <r>
      <rPr>
        <sz val="11"/>
        <color rgb="FF000000"/>
        <rFont val="Aptos"/>
        <family val="2"/>
      </rPr>
      <t>This table contains one</t>
    </r>
    <r>
      <rPr>
        <b/>
        <i/>
        <sz val="11"/>
        <color rgb="FF000000"/>
        <rFont val="Aptos"/>
        <family val="2"/>
      </rPr>
      <t xml:space="preserve"> example of study data</t>
    </r>
    <r>
      <rPr>
        <sz val="11"/>
        <color rgb="FF000000"/>
        <rFont val="Aptos"/>
        <family val="2"/>
      </rPr>
      <t>,</t>
    </r>
    <r>
      <rPr>
        <b/>
        <i/>
        <sz val="11"/>
        <color rgb="FF000000"/>
        <rFont val="Aptos"/>
        <family val="2"/>
      </rPr>
      <t xml:space="preserve"> </t>
    </r>
    <r>
      <rPr>
        <sz val="11"/>
        <color rgb="FF000000"/>
        <rFont val="Aptos"/>
        <family val="2"/>
      </rPr>
      <t>which is only used to guide data preparation process.</t>
    </r>
  </si>
  <si>
    <t>BaselinePersonLevel</t>
  </si>
  <si>
    <t xml:space="preserve">This is a standard table for the simulated person-level data </t>
  </si>
  <si>
    <t>The model takes information from the "DataInput" tab and probabilistically assigns values to each variable in the "BaselinePersonLevel" tab.</t>
  </si>
  <si>
    <r>
      <rPr>
        <sz val="11"/>
        <color rgb="FF000000"/>
        <rFont val="Aptos"/>
        <family val="2"/>
      </rPr>
      <t xml:space="preserve">This table contains  </t>
    </r>
    <r>
      <rPr>
        <b/>
        <i/>
        <sz val="11"/>
        <color rgb="FF000000"/>
        <rFont val="Aptos"/>
        <family val="2"/>
      </rPr>
      <t xml:space="preserve">three sample individuals </t>
    </r>
  </si>
  <si>
    <t>Outcomes</t>
  </si>
  <si>
    <t>The model takes information from the "DataInput" tab and generates the risk of outcomes in the "Outcomes" tab.</t>
  </si>
  <si>
    <r>
      <rPr>
        <sz val="11"/>
        <color rgb="FF000000"/>
        <rFont val="Aptos"/>
        <family val="2"/>
      </rPr>
      <t xml:space="preserve">This table also contains  </t>
    </r>
    <r>
      <rPr>
        <b/>
        <i/>
        <sz val="11"/>
        <color rgb="FF000000"/>
        <rFont val="Aptos"/>
        <family val="2"/>
      </rPr>
      <t>three sample individuals</t>
    </r>
  </si>
  <si>
    <t>Full Variable List</t>
  </si>
  <si>
    <t xml:space="preserve">Variable </t>
  </si>
  <si>
    <t>Definition</t>
  </si>
  <si>
    <t>Unit</t>
  </si>
  <si>
    <t>Data Input</t>
  </si>
  <si>
    <t>Study ID</t>
  </si>
  <si>
    <t>Study ID, e.g., trial number with cohort count at end; [trial number]1, [trial number]2</t>
  </si>
  <si>
    <t>Cohort</t>
  </si>
  <si>
    <t>Study cohort short definition, e.g., treatment, control, case</t>
  </si>
  <si>
    <t>Age</t>
  </si>
  <si>
    <t>Min Age</t>
  </si>
  <si>
    <t>Minimum age in cohort (used in generating population distribution)</t>
  </si>
  <si>
    <t>Years</t>
  </si>
  <si>
    <t>Max Age</t>
  </si>
  <si>
    <t>Maximum age in cohort</t>
  </si>
  <si>
    <t>Avg Age</t>
  </si>
  <si>
    <t>Average age at start of follow-up</t>
  </si>
  <si>
    <t>SD Age</t>
  </si>
  <si>
    <t>Standard deviation age at start of follow-up</t>
  </si>
  <si>
    <t>ISO3</t>
  </si>
  <si>
    <t>Country ISO code (3 letters)</t>
  </si>
  <si>
    <t>Category</t>
  </si>
  <si>
    <t>Country Region</t>
  </si>
  <si>
    <t>Country(ies) in the following WHO Region</t>
  </si>
  <si>
    <t>1/0 (Yes/No)</t>
  </si>
  <si>
    <t>Africa</t>
  </si>
  <si>
    <t>Americas</t>
  </si>
  <si>
    <t>Eastern Mediterranean</t>
  </si>
  <si>
    <t>European</t>
  </si>
  <si>
    <t>South-East Asia</t>
  </si>
  <si>
    <t>Western Pacific</t>
  </si>
  <si>
    <t>Country Income Level</t>
  </si>
  <si>
    <t>Country(ies) in the following World Bank defined income group</t>
  </si>
  <si>
    <t>LMIC</t>
  </si>
  <si>
    <t>Low and Middle Income Countries</t>
  </si>
  <si>
    <t>HIC</t>
  </si>
  <si>
    <t>High Income Countries</t>
  </si>
  <si>
    <t>BMI</t>
  </si>
  <si>
    <t>Min BMI</t>
  </si>
  <si>
    <t>Minimum BMI in cohort</t>
  </si>
  <si>
    <r>
      <t>kg/m</t>
    </r>
    <r>
      <rPr>
        <vertAlign val="superscript"/>
        <sz val="11"/>
        <color rgb="FF000000"/>
        <rFont val="Aptos"/>
        <family val="2"/>
      </rPr>
      <t>2</t>
    </r>
  </si>
  <si>
    <t>Max BMI</t>
  </si>
  <si>
    <t>Maximum BMI in cohort</t>
  </si>
  <si>
    <t>Avg BMI</t>
  </si>
  <si>
    <t>Average BMI at start of follow-up</t>
  </si>
  <si>
    <t>SD BMI</t>
  </si>
  <si>
    <t>Standard deviation BMI at start of follow-up</t>
  </si>
  <si>
    <t>Condition Prevalences</t>
  </si>
  <si>
    <t>Obesity Rate</t>
  </si>
  <si>
    <t>Obesity (BMI&gt;=30) prevalence rate at start of follow-up</t>
  </si>
  <si>
    <t>Rate</t>
  </si>
  <si>
    <t>Class 1 Obesity Rate</t>
  </si>
  <si>
    <t>Class 1 (BMI 30-34.9) Obesity prevalence rate at start of follow-up</t>
  </si>
  <si>
    <t>Class 2 Obesity Rate</t>
  </si>
  <si>
    <t>Class 2 (BMI 35-39.9) Obesity prevalence rate at start of follow-up</t>
  </si>
  <si>
    <t>Class 3 Obesity Rate</t>
  </si>
  <si>
    <t>Class 3 (BMI &gt;= 40) Obesity prevalence rate at start of follow-up</t>
  </si>
  <si>
    <t>T2D Rate</t>
  </si>
  <si>
    <t>T2D prevalence rate at start of follow-up</t>
  </si>
  <si>
    <t>CVD Rate</t>
  </si>
  <si>
    <t>CVD prevalence rate at start of follow-up</t>
  </si>
  <si>
    <t>CKD Rate</t>
  </si>
  <si>
    <t>CKD prevalence rate at start of follow-up</t>
  </si>
  <si>
    <t>ESKD Rate</t>
  </si>
  <si>
    <t>ESKD prevalence rate at start of follow-up</t>
  </si>
  <si>
    <r>
      <t>Outcomes Cohort Level (</t>
    </r>
    <r>
      <rPr>
        <i/>
        <sz val="11"/>
        <color rgb="FF000000"/>
        <rFont val="Aptos"/>
        <family val="2"/>
      </rPr>
      <t>Simulated Outcomes and Study Outcomes for Comparison</t>
    </r>
    <r>
      <rPr>
        <sz val="11"/>
        <color rgb="FF000000"/>
        <rFont val="Aptos"/>
        <family val="2"/>
      </rPr>
      <t>)</t>
    </r>
  </si>
  <si>
    <t>Study ID, e.g., trial number or count (1,2,3)</t>
  </si>
  <si>
    <t>Stroke</t>
  </si>
  <si>
    <t>Stroke event incidence during follow-up</t>
  </si>
  <si>
    <t>Death</t>
  </si>
  <si>
    <t>All-cause death incidence during follow-up</t>
  </si>
  <si>
    <t>New CKD</t>
  </si>
  <si>
    <t>CKD incidence during follow-up</t>
  </si>
  <si>
    <t>New CVD</t>
  </si>
  <si>
    <t>CVD incidence during follow-up</t>
  </si>
  <si>
    <t>New ESKD</t>
  </si>
  <si>
    <t>ESKD incidence during follow-up</t>
  </si>
  <si>
    <t>New T2D</t>
  </si>
  <si>
    <t>T2D incidence during follow-up</t>
  </si>
  <si>
    <t>Obesity Rate End</t>
  </si>
  <si>
    <t>Obesity prevalence rate at end of follow-up</t>
  </si>
  <si>
    <t>Class 1 Obesity Rate End</t>
  </si>
  <si>
    <t>Class 1 Obesity prevalence rate at end of follow-up</t>
  </si>
  <si>
    <t>Class 2 Obesity Rate End</t>
  </si>
  <si>
    <t>Class 2 Obesity prevalence rate at end of follow-up</t>
  </si>
  <si>
    <t>Class 3 Obesity Rate End</t>
  </si>
  <si>
    <t>Class 3 Obesity prevalence rate at end of follow-up</t>
  </si>
  <si>
    <t>Minimum age in cohort</t>
  </si>
  <si>
    <t>Baseline Person Level Data</t>
  </si>
  <si>
    <t>PID</t>
  </si>
  <si>
    <t>Person ID</t>
  </si>
  <si>
    <t>Age at start of follow-up</t>
  </si>
  <si>
    <t>Female</t>
  </si>
  <si>
    <t>Female sex</t>
  </si>
  <si>
    <t>BMI at start of follow-up</t>
  </si>
  <si>
    <t>Obesity Baseline</t>
  </si>
  <si>
    <t>Obesity at start of follow-up</t>
  </si>
  <si>
    <t>Class 1 Obesity Baseline</t>
  </si>
  <si>
    <t>Class 1 (BMI 30-34.9) Obesity at start of follow-up</t>
  </si>
  <si>
    <t>Class 2 Obesity Baseline</t>
  </si>
  <si>
    <t>Class 2 (BMI 35-39.9) Obesity at start of follow-up</t>
  </si>
  <si>
    <t>Class 3 Obesity Baseline</t>
  </si>
  <si>
    <t>Class 3 (BMI &gt;= 40) Obesity at start of follow-up</t>
  </si>
  <si>
    <t>T2D</t>
  </si>
  <si>
    <t>T2D before start of follow-up</t>
  </si>
  <si>
    <t>CVD</t>
  </si>
  <si>
    <t>CVD before start of follow-up</t>
  </si>
  <si>
    <t>CKD</t>
  </si>
  <si>
    <t>CKD before start of follow-up</t>
  </si>
  <si>
    <t>ESKD</t>
  </si>
  <si>
    <t>ESKD before start of follow-up</t>
  </si>
  <si>
    <t>Stroke event during follow-up</t>
  </si>
  <si>
    <t>ESKD event during follow-up</t>
  </si>
  <si>
    <t>Incident CKD during follow-up</t>
  </si>
  <si>
    <t>Incident CVD during follow-up</t>
  </si>
  <si>
    <t>Incident T2D during follow-up</t>
  </si>
  <si>
    <t>All-cause death during follow-up</t>
  </si>
  <si>
    <t>Obesity</t>
  </si>
  <si>
    <t>Obesity status at end of follow-up</t>
  </si>
  <si>
    <t>Class 1 Obesity</t>
  </si>
  <si>
    <t>Class 1 Obesity status at end of follow-up</t>
  </si>
  <si>
    <t>Class 2 Obesity</t>
  </si>
  <si>
    <t>Class 2 Obesity status at end of follow-up</t>
  </si>
  <si>
    <t>Class 3 Obesity</t>
  </si>
  <si>
    <t>Class 3 Obesity status at end of follow-up</t>
  </si>
  <si>
    <t>Trial Acronym</t>
  </si>
  <si>
    <t>Full Name</t>
  </si>
  <si>
    <t>Study Type</t>
  </si>
  <si>
    <t>Chronic Conditions Investigated</t>
  </si>
  <si>
    <t>Geography</t>
  </si>
  <si>
    <t>Sample Size</t>
  </si>
  <si>
    <t>Follow-up Years</t>
  </si>
  <si>
    <t>Link to Referenced Study</t>
  </si>
  <si>
    <t>BARI 2D</t>
  </si>
  <si>
    <t>A Randomized Trial of Therapies for Type 2 Diabetes and Coronary Artery Disease</t>
  </si>
  <si>
    <t>RCT</t>
  </si>
  <si>
    <t>T2D; CVD</t>
  </si>
  <si>
    <t>MULTI</t>
  </si>
  <si>
    <t>A randomized trial of therapies for type 2 diabetes and coronary artery disease - PubMed</t>
  </si>
  <si>
    <t>REWIND</t>
  </si>
  <si>
    <t>Dulaglutide and cardiovascular outcomes in type 2 diabetes (REWIND): a double-blind, randomised placebo-controlled trial</t>
  </si>
  <si>
    <t>T2D; CVD; STROKE; CKD</t>
  </si>
  <si>
    <t>https://www.thelancet.com/journals/lancet/article/PIIS0140-6736(19)31149-3/abstract</t>
  </si>
  <si>
    <t>look Ahead</t>
  </si>
  <si>
    <t>Look AHEAD (Action for Health in Diabetes): Cardiovascular Effects of Intensive Lifestyle Intervention in Type 2 Diabetes</t>
  </si>
  <si>
    <t>USA</t>
  </si>
  <si>
    <t>Cardiovascular effects of intensive lifestyle intervention in adults with overweight/obesity and type 2 diabetes according to body weight time in range - eClinicalMedicine</t>
  </si>
  <si>
    <t>T2D; CVD; Obesity</t>
  </si>
  <si>
    <t>Look AHEAD DKD</t>
  </si>
  <si>
    <t>Within and post-trial effects of an intensive lifestyle intervention on kidney disease in adults with overweight or obesity and type 2 diabetes</t>
  </si>
  <si>
    <t>Secondary analysis of multicenter RCT (Look AHEAD)</t>
  </si>
  <si>
    <t>T2D; CKD; Obesity</t>
  </si>
  <si>
    <t xml:space="preserve">USA </t>
  </si>
  <si>
    <t xml:space="preserve">https://drc.bmj.com/content/12/3/e004079 </t>
  </si>
  <si>
    <t>ADVANCE-WHR</t>
  </si>
  <si>
    <t>Comparison of waist-to-hip ratio and other obesity indices as predictors of cardiovascular disease risk in people with type 2 diabetes: ADVANCE Cohort</t>
  </si>
  <si>
    <t>Prospective Cohort Subanalysis of ADVANCE Trial</t>
  </si>
  <si>
    <t xml:space="preserve">https://pmc.ncbi.nlm.nih.gov/articles/PMC4170784/ </t>
  </si>
  <si>
    <t>ADVANCE-ON</t>
  </si>
  <si>
    <t>Use of the waist-to-height ratio to predict cardiovascular risk in patients with diabetes: Results from the ADVANCE-ON study</t>
  </si>
  <si>
    <t>Post-trial observational cohort analysis from ADVANCE trial</t>
  </si>
  <si>
    <t xml:space="preserve">https://dom-pubs.pericles-prod.literatumonline.com/doi/10.1111/dom.13311 </t>
  </si>
  <si>
    <t>T2D Subgroups</t>
  </si>
  <si>
    <t>Type 2 Diabetes Subgroups, Risk for Complications, and Differential Effects Due to an Intensive Lifestyle Intervention</t>
  </si>
  <si>
    <t>Secondary analysis of RCT (Look AHEAD trial)</t>
  </si>
  <si>
    <t xml:space="preserve">https://diabetesjournals.org/care/article/44/5/1203/138756/Type-2-Diabetes-Subgroups-Risk-for-Complications </t>
  </si>
  <si>
    <t>DAPA-CKD</t>
  </si>
  <si>
    <t>Quételet (body mass) index and effects of dapagliflozin in chronic kidney disease</t>
  </si>
  <si>
    <t>Secondary analysis of RCT (DAPA-CKD trial)</t>
  </si>
  <si>
    <t>CKD; T2D</t>
  </si>
  <si>
    <t xml:space="preserve">https://dom-pubs.pericles-prod.literatumonline.com/doi/10.1111/dom.14641 </t>
  </si>
  <si>
    <t>Cohort ID</t>
  </si>
  <si>
    <t>Treatment HR1</t>
  </si>
  <si>
    <t>HR1 Outcome</t>
  </si>
  <si>
    <t>Treatment HR2</t>
  </si>
  <si>
    <t>HR2 Outcome</t>
  </si>
  <si>
    <t xml:space="preserve">Subgroup A age 60 and less Treatment </t>
  </si>
  <si>
    <t>Subgroup A Comparison/control</t>
  </si>
  <si>
    <t>Subgroup B 60 and more Treatment</t>
  </si>
  <si>
    <t xml:space="preserve">Subgroup B Comparison/control </t>
  </si>
  <si>
    <t>Waist to hip ratio</t>
  </si>
  <si>
    <t>Lean/Ideal-Treatment</t>
  </si>
  <si>
    <t>Overweight-Treatment</t>
  </si>
  <si>
    <t>Grade 1 Obesity-Treatment</t>
  </si>
  <si>
    <t>Grade 2/3 Obesity-Treatment</t>
  </si>
  <si>
    <t>Lean/Ideal-Control</t>
  </si>
  <si>
    <t>Overweight-Control</t>
  </si>
  <si>
    <t>Grade 1 Obesity-Control</t>
  </si>
  <si>
    <t>Grade 2/3 Obesity-Control</t>
  </si>
  <si>
    <t>Treatment HR3</t>
  </si>
  <si>
    <t>HR3 Outcome</t>
  </si>
  <si>
    <t xml:space="preserve">MACE </t>
  </si>
  <si>
    <t>All cause mortality</t>
  </si>
  <si>
    <t>Placebo</t>
  </si>
  <si>
    <t>Dulaglutide</t>
  </si>
  <si>
    <t>T</t>
  </si>
  <si>
    <t>Unique cohort baseline</t>
  </si>
  <si>
    <t>Look Ahead Intervention</t>
  </si>
  <si>
    <t>look Ahead Control</t>
  </si>
  <si>
    <t>Poor glucose control (control)</t>
  </si>
  <si>
    <t xml:space="preserve"> Older onset (treatment)</t>
  </si>
  <si>
    <t>Older onset (control)</t>
  </si>
  <si>
    <t>Poor glucose control (treatment)</t>
  </si>
  <si>
    <t>Severe obesity (treatment)</t>
  </si>
  <si>
    <t>Severe Obesity (control)</t>
  </si>
  <si>
    <t>Younger onset (treatment)</t>
  </si>
  <si>
    <t>Younger onset (control)</t>
  </si>
  <si>
    <t xml:space="preserve">Insulin sensitization &amp; Revasc </t>
  </si>
  <si>
    <t>Insulin sensitization &amp; Revasc (treatment)</t>
  </si>
  <si>
    <t>Insulin sensitization &amp;Medical Therapy (control)</t>
  </si>
  <si>
    <t>Insulin provision &amp; revasc (treatment)</t>
  </si>
  <si>
    <t>Insulin provision &amp; medical therapy (control)</t>
  </si>
  <si>
    <t>Waist to height ratio study</t>
  </si>
  <si>
    <t>Insulin provision &amp; revasc</t>
  </si>
  <si>
    <t>REWIND (Dulaglutide-Treatment)</t>
  </si>
  <si>
    <t>look Ahead (control)</t>
  </si>
  <si>
    <t>REWIND (Placebo-Treatment)</t>
  </si>
  <si>
    <t>look Ahead (Treatment)</t>
  </si>
  <si>
    <t>T2D Subgroups Older-Onset (Treatment)</t>
  </si>
  <si>
    <t>Poor Control (treatment)</t>
  </si>
  <si>
    <t>Severe Obesity (treatment)</t>
  </si>
  <si>
    <t>Younger-Onset (treatment)</t>
  </si>
  <si>
    <t>T2D Subgroups Older-Onset (control)</t>
  </si>
  <si>
    <t>Poor Control (control)</t>
  </si>
  <si>
    <t>Younger-Onset (control)</t>
  </si>
  <si>
    <t>Incidence time unit</t>
  </si>
  <si>
    <t>cumulative</t>
  </si>
  <si>
    <t>1 year</t>
  </si>
  <si>
    <t>F</t>
  </si>
  <si>
    <t>Follow-up Years1</t>
  </si>
  <si>
    <t>Notes:</t>
  </si>
  <si>
    <t>Median unless noted</t>
  </si>
  <si>
    <t>MACE</t>
  </si>
  <si>
    <t>Sample size</t>
  </si>
  <si>
    <t>Proportion female</t>
  </si>
  <si>
    <t>Unit for Incidence Outcomes</t>
  </si>
  <si>
    <t>Cumulative or 1-year incidence rate</t>
  </si>
  <si>
    <t>Rate per person</t>
  </si>
  <si>
    <t>Citation</t>
  </si>
  <si>
    <t>The BARI 2D Study Group. A Randomized Trial of Therapies for Type 2 Diabetes and Coronary Artery Disease. New England Journal of Medicine. 2009;360(24):2503-2515. doi:10.1056/NEJMoa0805796</t>
  </si>
  <si>
    <t>Gerstein HC, Colhoun HM, Dagenais GR, et al. Dulaglutide and cardiovascular outcomes in type 2 diabetes (REWIND): a double-blind, randomised placebo-controlled trial. The Lancet. 2019;394(10193):121-130. doi:10.1016/S0140-6736(19)31149-3</t>
  </si>
  <si>
    <t>Liu M, Huang R, Xu L, et al. Cardiovascular effects of intensive lifestyle intervention in adults with overweight/obesity and type 2 diabetes according to body weight time in range. eClinicalMedicine. 2022;49. doi:10.1016/j.eclinm.2022.101451</t>
  </si>
  <si>
    <t>Knowler WC, Chen H, Bahnson JL, et al. Within and post-trial effects of an intensive lifestyle intervention on kidney disease in adults with overweight or obesity and type 2 diabetes mellitus: a secondary analysis of the Look AHEAD clinical trial. BMJ Open Diab Res Care. 2024;12(3). doi:10.1136/bmjdrc-2024-004079</t>
  </si>
  <si>
    <t>Czernichow S, Kengne AP, Huxley RR, et al. Comparison of waist-to-hip ratio and other obesity indices as predictors of cardiovascular disease risk in people with type 2 diabetes: a prospective cohort study from ADVANCE. Eur J Cardiovasc Prev Rehabil. 2011;18(2):312-319. doi:10.1097/HJR.0b013e32833c1aa3</t>
  </si>
  <si>
    <t>Rådholm K, Chalmers J, Ohkuma T, et al. Use of the waist-to-height ratio to predict cardiovascular risk in patients with diabetes: Results from the ADVANCE-ON study. Diabetes, Obesity and Metabolism. 2018;20(8):1903-1910. doi:10.1111/dom.13311</t>
  </si>
  <si>
    <t>Bancks MP, Chen H, Balasubramanyam A, et al. Type 2 Diabetes Subgroups, Risk for Complications, and Differential Effects Due to an Intensive Lifestyle Intervention. Diabetes Care. 2021;44(5):1203-1210. doi:10.2337/dc20-2372</t>
  </si>
  <si>
    <t>Chertow GM, Vart P, Jongs N, et al. Quételet (body mass) index and effects of dapagliflozin in chronic kidney disease. Diabetes, Obesity and Metabolism. 2022;24(5):827-837. doi:10.1111/dom.14641</t>
  </si>
  <si>
    <t>9.0 (mean)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</si>
</sst>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sz val="11"/>
      <color rgb="FF000000"/>
      <name val="Aptos"/>
      <family val="2"/>
    </font>
    <font>
      <b/>
      <i/>
      <sz val="11"/>
      <color rgb="FF000000"/>
      <name val="Aptos"/>
      <family val="2"/>
    </font>
    <font>
      <b/>
      <sz val="11"/>
      <color rgb="FF000000"/>
      <name val="Aptos"/>
      <family val="2"/>
    </font>
    <font>
      <sz val="11"/>
      <color theme="1"/>
      <name val="Aptos"/>
      <family val="2"/>
    </font>
    <font>
      <vertAlign val="superscript"/>
      <sz val="11"/>
      <color rgb="FF000000"/>
      <name val="Aptos"/>
      <family val="2"/>
    </font>
    <font>
      <b/>
      <sz val="12"/>
      <color rgb="FF000000"/>
      <name val="Aptos"/>
      <family val="2"/>
    </font>
    <font>
      <u/>
      <sz val="11"/>
      <color theme="10"/>
      <name val="Calibri"/>
      <family val="2"/>
      <scheme val="minor"/>
    </font>
    <font>
      <i/>
      <sz val="11"/>
      <color rgb="FF000000"/>
      <name val="Aptos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rgb="FFA1E5F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D5E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 applyNumberFormat="0" applyFill="0" applyBorder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13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3" fillId="0" borderId="9" xfId="0" applyFont="1" applyBorder="1"/>
    <xf numFmtId="0" fontId="3" fillId="0" borderId="1" xfId="0" applyFont="1" applyBorder="1"/>
    <xf numFmtId="0" fontId="3" fillId="0" borderId="11" xfId="0" applyFont="1" applyBorder="1"/>
    <xf numFmtId="0" fontId="3" fillId="0" borderId="8" xfId="0" applyFont="1" applyBorder="1"/>
    <xf numFmtId="0" fontId="3" fillId="0" borderId="8" xfId="0" applyFont="1" applyBorder="1" applyAlignment="1">
      <alignment horizontal="left" indent="1"/>
    </xf>
    <xf numFmtId="0" fontId="3" fillId="0" borderId="4" xfId="0" applyFont="1" applyBorder="1"/>
    <xf numFmtId="0" fontId="3" fillId="0" borderId="15" xfId="0" applyFont="1" applyBorder="1"/>
    <xf numFmtId="0" fontId="3" fillId="4" borderId="0" xfId="0" applyFont="1" applyFill="1"/>
    <xf numFmtId="0" fontId="5" fillId="0" borderId="4" xfId="0" applyFont="1" applyBorder="1"/>
    <xf numFmtId="0" fontId="5" fillId="0" borderId="20" xfId="0" applyFont="1" applyBorder="1"/>
    <xf numFmtId="0" fontId="6" fillId="0" borderId="0" xfId="0" applyFont="1"/>
    <xf numFmtId="0" fontId="6" fillId="0" borderId="0" xfId="0" applyFont="1" applyAlignment="1">
      <alignment horizontal="left" indent="2"/>
    </xf>
    <xf numFmtId="0" fontId="3" fillId="0" borderId="0" xfId="0" applyFont="1" applyAlignment="1">
      <alignment horizontal="left" indent="2"/>
    </xf>
    <xf numFmtId="0" fontId="3" fillId="0" borderId="19" xfId="0" applyFont="1" applyBorder="1" applyAlignment="1">
      <alignment horizontal="left" indent="2"/>
    </xf>
    <xf numFmtId="0" fontId="3" fillId="0" borderId="19" xfId="0" applyFont="1" applyBorder="1"/>
    <xf numFmtId="0" fontId="6" fillId="0" borderId="19" xfId="0" applyFont="1" applyBorder="1"/>
    <xf numFmtId="0" fontId="3" fillId="0" borderId="21" xfId="0" applyFont="1" applyBorder="1"/>
    <xf numFmtId="0" fontId="3" fillId="0" borderId="3" xfId="0" applyFont="1" applyBorder="1"/>
    <xf numFmtId="0" fontId="3" fillId="6" borderId="14" xfId="0" applyFont="1" applyFill="1" applyBorder="1"/>
    <xf numFmtId="0" fontId="3" fillId="6" borderId="10" xfId="0" applyFont="1" applyFill="1" applyBorder="1"/>
    <xf numFmtId="0" fontId="3" fillId="5" borderId="22" xfId="0" applyFont="1" applyFill="1" applyBorder="1"/>
    <xf numFmtId="0" fontId="3" fillId="7" borderId="0" xfId="0" applyFont="1" applyFill="1"/>
    <xf numFmtId="0" fontId="8" fillId="7" borderId="0" xfId="0" applyFont="1" applyFill="1"/>
    <xf numFmtId="0" fontId="9" fillId="0" borderId="0" xfId="1"/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9" fillId="0" borderId="0" xfId="1" applyAlignment="1">
      <alignment vertical="center"/>
    </xf>
    <xf numFmtId="0" fontId="0" fillId="0" borderId="29" xfId="0" applyBorder="1" applyAlignment="1">
      <alignment horizontal="center"/>
    </xf>
    <xf numFmtId="0" fontId="0" fillId="0" borderId="29" xfId="0" applyBorder="1" applyAlignment="1">
      <alignment horizontal="left"/>
    </xf>
    <xf numFmtId="0" fontId="0" fillId="0" borderId="29" xfId="0" applyBorder="1" applyAlignment="1">
      <alignment horizontal="left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vertical="center"/>
    </xf>
    <xf numFmtId="0" fontId="9" fillId="0" borderId="0" xfId="1" applyBorder="1"/>
    <xf numFmtId="0" fontId="9" fillId="0" borderId="0" xfId="1" applyBorder="1" applyAlignment="1">
      <alignment vertical="center"/>
    </xf>
    <xf numFmtId="0" fontId="13" fillId="0" borderId="29" xfId="0" applyFont="1" applyBorder="1" applyAlignment="1">
      <alignment horizontal="center" vertical="center" wrapText="1"/>
    </xf>
    <xf numFmtId="164" fontId="0" fillId="0" borderId="29" xfId="2" applyNumberFormat="1" applyFont="1" applyFill="1" applyBorder="1" applyAlignment="1">
      <alignment horizontal="center" vertical="center" wrapText="1"/>
    </xf>
    <xf numFmtId="2" fontId="0" fillId="0" borderId="29" xfId="2" applyNumberFormat="1" applyFont="1" applyFill="1" applyBorder="1" applyAlignment="1">
      <alignment horizontal="center" vertical="center" wrapText="1"/>
    </xf>
    <xf numFmtId="0" fontId="0" fillId="0" borderId="29" xfId="0" applyBorder="1"/>
    <xf numFmtId="0" fontId="0" fillId="0" borderId="29" xfId="0" applyBorder="1" applyAlignment="1">
      <alignment vertical="center"/>
    </xf>
    <xf numFmtId="0" fontId="0" fillId="0" borderId="29" xfId="0" applyBorder="1" applyAlignment="1">
      <alignment horizontal="left" wrapText="1"/>
    </xf>
    <xf numFmtId="0" fontId="13" fillId="0" borderId="29" xfId="0" applyFont="1" applyBorder="1" applyAlignment="1">
      <alignment wrapText="1"/>
    </xf>
    <xf numFmtId="0" fontId="11" fillId="0" borderId="29" xfId="0" applyFont="1" applyBorder="1" applyAlignment="1">
      <alignment wrapText="1"/>
    </xf>
    <xf numFmtId="0" fontId="0" fillId="0" borderId="29" xfId="0" applyBorder="1" applyAlignment="1">
      <alignment vertical="center" wrapText="1"/>
    </xf>
    <xf numFmtId="0" fontId="13" fillId="0" borderId="29" xfId="0" applyFont="1" applyBorder="1" applyAlignment="1">
      <alignment vertical="center" wrapText="1"/>
    </xf>
    <xf numFmtId="0" fontId="11" fillId="8" borderId="29" xfId="0" applyFont="1" applyFill="1" applyBorder="1" applyAlignment="1">
      <alignment vertical="center" wrapText="1"/>
    </xf>
    <xf numFmtId="2" fontId="0" fillId="0" borderId="29" xfId="0" applyNumberFormat="1" applyBorder="1" applyAlignment="1">
      <alignment vertical="center"/>
    </xf>
    <xf numFmtId="0" fontId="11" fillId="0" borderId="29" xfId="0" applyFont="1" applyBorder="1" applyAlignment="1">
      <alignment vertical="center" wrapText="1"/>
    </xf>
    <xf numFmtId="0" fontId="13" fillId="2" borderId="29" xfId="0" applyFont="1" applyFill="1" applyBorder="1" applyAlignment="1">
      <alignment vertical="center" wrapText="1"/>
    </xf>
    <xf numFmtId="0" fontId="11" fillId="5" borderId="29" xfId="0" applyFont="1" applyFill="1" applyBorder="1" applyAlignment="1">
      <alignment vertical="center" wrapText="1"/>
    </xf>
    <xf numFmtId="0" fontId="11" fillId="2" borderId="29" xfId="0" applyFont="1" applyFill="1" applyBorder="1" applyAlignment="1">
      <alignment vertical="center" wrapText="1"/>
    </xf>
    <xf numFmtId="0" fontId="15" fillId="0" borderId="29" xfId="0" applyFont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/>
    </xf>
    <xf numFmtId="165" fontId="0" fillId="0" borderId="0" xfId="3" applyNumberFormat="1" applyFont="1" applyAlignment="1">
      <alignment vertical="center" wrapText="1"/>
    </xf>
    <xf numFmtId="165" fontId="0" fillId="0" borderId="0" xfId="3" applyNumberFormat="1" applyFont="1" applyAlignment="1"/>
    <xf numFmtId="165" fontId="0" fillId="0" borderId="0" xfId="3" applyNumberFormat="1" applyFont="1" applyAlignment="1">
      <alignment vertical="center"/>
    </xf>
    <xf numFmtId="0" fontId="6" fillId="0" borderId="0" xfId="0" applyFont="1" applyAlignment="1">
      <alignment wrapText="1"/>
    </xf>
    <xf numFmtId="0" fontId="16" fillId="0" borderId="4" xfId="0" applyFont="1" applyBorder="1" applyAlignment="1">
      <alignment horizontal="left" wrapText="1"/>
    </xf>
    <xf numFmtId="0" fontId="6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3" fillId="0" borderId="12" xfId="0" applyFont="1" applyBorder="1"/>
    <xf numFmtId="0" fontId="3" fillId="0" borderId="2" xfId="0" applyFont="1" applyBorder="1"/>
    <xf numFmtId="0" fontId="3" fillId="0" borderId="13" xfId="0" applyFont="1" applyBorder="1"/>
    <xf numFmtId="0" fontId="3" fillId="0" borderId="5" xfId="0" applyFont="1" applyBorder="1" applyAlignment="1">
      <alignment wrapText="1"/>
    </xf>
    <xf numFmtId="0" fontId="3" fillId="0" borderId="6" xfId="0" applyFont="1" applyBorder="1"/>
    <xf numFmtId="0" fontId="3" fillId="0" borderId="7" xfId="0" applyFont="1" applyBorder="1"/>
    <xf numFmtId="0" fontId="3" fillId="0" borderId="12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13" xfId="0" applyFont="1" applyBorder="1" applyAlignment="1">
      <alignment horizontal="left" wrapText="1"/>
    </xf>
    <xf numFmtId="0" fontId="3" fillId="5" borderId="2" xfId="0" applyFont="1" applyFill="1" applyBorder="1"/>
    <xf numFmtId="0" fontId="3" fillId="0" borderId="10" xfId="0" applyFont="1" applyBorder="1"/>
    <xf numFmtId="0" fontId="3" fillId="0" borderId="1" xfId="0" applyFont="1" applyBorder="1"/>
    <xf numFmtId="0" fontId="3" fillId="0" borderId="11" xfId="0" applyFont="1" applyBorder="1"/>
    <xf numFmtId="0" fontId="3" fillId="0" borderId="10" xfId="0" applyFont="1" applyBorder="1" applyAlignment="1">
      <alignment horizontal="left" indent="1"/>
    </xf>
    <xf numFmtId="0" fontId="3" fillId="0" borderId="1" xfId="0" applyFont="1" applyBorder="1" applyAlignment="1">
      <alignment horizontal="left" indent="1"/>
    </xf>
    <xf numFmtId="0" fontId="3" fillId="0" borderId="11" xfId="0" applyFont="1" applyBorder="1" applyAlignment="1">
      <alignment horizontal="left" indent="1"/>
    </xf>
    <xf numFmtId="0" fontId="3" fillId="0" borderId="8" xfId="0" applyFont="1" applyBorder="1"/>
    <xf numFmtId="0" fontId="3" fillId="0" borderId="0" xfId="0" applyFont="1"/>
    <xf numFmtId="0" fontId="3" fillId="0" borderId="9" xfId="0" applyFont="1" applyBorder="1"/>
    <xf numFmtId="0" fontId="3" fillId="0" borderId="1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15" xfId="0" applyFont="1" applyBorder="1" applyAlignment="1">
      <alignment wrapText="1"/>
    </xf>
    <xf numFmtId="0" fontId="3" fillId="0" borderId="23" xfId="0" applyFont="1" applyBorder="1"/>
    <xf numFmtId="0" fontId="3" fillId="0" borderId="24" xfId="0" applyFont="1" applyBorder="1"/>
    <xf numFmtId="0" fontId="3" fillId="2" borderId="2" xfId="0" applyFont="1" applyFill="1" applyBorder="1"/>
    <xf numFmtId="0" fontId="3" fillId="0" borderId="27" xfId="0" applyFont="1" applyBorder="1"/>
    <xf numFmtId="0" fontId="3" fillId="0" borderId="4" xfId="0" applyFont="1" applyBorder="1"/>
    <xf numFmtId="0" fontId="3" fillId="0" borderId="28" xfId="0" applyFont="1" applyBorder="1"/>
    <xf numFmtId="0" fontId="3" fillId="0" borderId="25" xfId="0" applyFont="1" applyBorder="1" applyAlignment="1">
      <alignment wrapText="1"/>
    </xf>
    <xf numFmtId="0" fontId="3" fillId="0" borderId="26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6" borderId="4" xfId="0" applyFont="1" applyFill="1" applyBorder="1"/>
    <xf numFmtId="0" fontId="3" fillId="6" borderId="1" xfId="0" applyFont="1" applyFill="1" applyBorder="1"/>
    <xf numFmtId="0" fontId="3" fillId="0" borderId="5" xfId="0" applyFont="1" applyBorder="1"/>
    <xf numFmtId="0" fontId="3" fillId="2" borderId="0" xfId="0" applyFont="1" applyFill="1"/>
    <xf numFmtId="0" fontId="0" fillId="0" borderId="0" xfId="0" applyAlignment="1">
      <alignment horizontal="center" wrapText="1"/>
    </xf>
    <xf numFmtId="0" fontId="3" fillId="3" borderId="0" xfId="0" applyFont="1" applyFill="1"/>
    <xf numFmtId="0" fontId="5" fillId="4" borderId="19" xfId="0" applyFont="1" applyFill="1" applyBorder="1" applyAlignment="1">
      <alignment horizontal="center"/>
    </xf>
    <xf numFmtId="0" fontId="3" fillId="9" borderId="22" xfId="0" applyFont="1" applyFill="1" applyBorder="1"/>
    <xf numFmtId="0" fontId="3" fillId="9" borderId="2" xfId="0" applyFont="1" applyFill="1" applyBorder="1"/>
    <xf numFmtId="0" fontId="3" fillId="10" borderId="22" xfId="0" applyFont="1" applyFill="1" applyBorder="1"/>
    <xf numFmtId="0" fontId="3" fillId="10" borderId="2" xfId="0" applyFont="1" applyFill="1" applyBorder="1"/>
    <xf numFmtId="0" fontId="3" fillId="10" borderId="10" xfId="0" applyFont="1" applyFill="1" applyBorder="1"/>
    <xf numFmtId="0" fontId="3" fillId="10" borderId="1" xfId="0" applyFont="1" applyFill="1" applyBorder="1"/>
    <xf numFmtId="0" fontId="3" fillId="10" borderId="14" xfId="0" applyFont="1" applyFill="1" applyBorder="1"/>
    <xf numFmtId="0" fontId="3" fillId="10" borderId="4" xfId="0" applyFont="1" applyFill="1" applyBorder="1"/>
    <xf numFmtId="0" fontId="3" fillId="11" borderId="14" xfId="0" applyFont="1" applyFill="1" applyBorder="1"/>
    <xf numFmtId="0" fontId="3" fillId="11" borderId="4" xfId="0" applyFont="1" applyFill="1" applyBorder="1"/>
    <xf numFmtId="0" fontId="8" fillId="0" borderId="0" xfId="0" applyFont="1" applyFill="1"/>
    <xf numFmtId="0" fontId="3" fillId="0" borderId="0" xfId="0" applyFont="1" applyFill="1"/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A1E5F7"/>
      <color rgb="FF78DAF5"/>
      <color rgb="FFE0D5ED"/>
      <color rgb="FFBFAE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COOLERS1">
      <a:dk1>
        <a:sysClr val="windowText" lastClr="000000"/>
      </a:dk1>
      <a:lt1>
        <a:srgbClr val="F4F1DE"/>
      </a:lt1>
      <a:dk2>
        <a:srgbClr val="3D405B"/>
      </a:dk2>
      <a:lt2>
        <a:srgbClr val="D2D2D2"/>
      </a:lt2>
      <a:accent1>
        <a:srgbClr val="81B29A"/>
      </a:accent1>
      <a:accent2>
        <a:srgbClr val="EAB69F"/>
      </a:accent2>
      <a:accent3>
        <a:srgbClr val="E07A5F"/>
      </a:accent3>
      <a:accent4>
        <a:srgbClr val="F2CC8F"/>
      </a:accent4>
      <a:accent5>
        <a:srgbClr val="903845"/>
      </a:accent5>
      <a:accent6>
        <a:srgbClr val="0033A0"/>
      </a:accent6>
      <a:hlink>
        <a:srgbClr val="0070C0"/>
      </a:hlink>
      <a:folHlink>
        <a:srgbClr val="7030A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lancet.com/journals/lancet/article/PIIS0140-6736(19)31149-3/abstract" TargetMode="External"/><Relationship Id="rId3" Type="http://schemas.openxmlformats.org/officeDocument/2006/relationships/hyperlink" Target="https://drc.bmj.com/content/12/3/e004079" TargetMode="External"/><Relationship Id="rId7" Type="http://schemas.openxmlformats.org/officeDocument/2006/relationships/hyperlink" Target="https://dom-pubs.pericles-prod.literatumonline.com/doi/10.1111/dom.14641" TargetMode="External"/><Relationship Id="rId2" Type="http://schemas.openxmlformats.org/officeDocument/2006/relationships/hyperlink" Target="https://www.thelancet.com/journals/eclinm/article/PIIS2589-5370(22)00181-X/fulltext" TargetMode="External"/><Relationship Id="rId1" Type="http://schemas.openxmlformats.org/officeDocument/2006/relationships/hyperlink" Target="https://pubmed.ncbi.nlm.nih.gov/19502645/" TargetMode="External"/><Relationship Id="rId6" Type="http://schemas.openxmlformats.org/officeDocument/2006/relationships/hyperlink" Target="https://diabetesjournals.org/care/article/44/5/1203/138756/Type-2-Diabetes-Subgroups-Risk-for-Complications" TargetMode="External"/><Relationship Id="rId5" Type="http://schemas.openxmlformats.org/officeDocument/2006/relationships/hyperlink" Target="https://dom-pubs.pericles-prod.literatumonline.com/doi/10.1111/dom.13311" TargetMode="External"/><Relationship Id="rId4" Type="http://schemas.openxmlformats.org/officeDocument/2006/relationships/hyperlink" Target="https://pmc.ncbi.nlm.nih.gov/articles/PMC4170784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B4210-6450-4393-AB8A-C66294AAB6B7}">
  <dimension ref="B2:I29"/>
  <sheetViews>
    <sheetView showGridLines="0" tabSelected="1" workbookViewId="0"/>
  </sheetViews>
  <sheetFormatPr defaultRowHeight="14.4" x14ac:dyDescent="0.3"/>
  <cols>
    <col min="1" max="1" width="3.5546875" customWidth="1"/>
    <col min="2" max="2" width="13.44140625" customWidth="1"/>
    <col min="3" max="3" width="18" customWidth="1"/>
    <col min="5" max="5" width="63.21875" customWidth="1"/>
  </cols>
  <sheetData>
    <row r="2" spans="2:9" ht="16.2" thickBot="1" x14ac:dyDescent="0.35">
      <c r="B2" s="132" t="s">
        <v>0</v>
      </c>
      <c r="C2" s="133"/>
      <c r="D2" s="133"/>
      <c r="E2" s="4"/>
      <c r="F2" s="4"/>
      <c r="G2" s="4"/>
      <c r="H2" s="4"/>
      <c r="I2" s="4"/>
    </row>
    <row r="3" spans="2:9" ht="32.1" customHeight="1" x14ac:dyDescent="0.3">
      <c r="B3" s="85" t="s">
        <v>1</v>
      </c>
      <c r="C3" s="86"/>
      <c r="D3" s="86"/>
      <c r="E3" s="86"/>
      <c r="F3" s="86"/>
      <c r="G3" s="86"/>
      <c r="H3" s="86"/>
      <c r="I3" s="87"/>
    </row>
    <row r="4" spans="2:9" ht="16.5" customHeight="1" x14ac:dyDescent="0.3">
      <c r="B4" s="88" t="s">
        <v>2</v>
      </c>
      <c r="C4" s="89"/>
      <c r="D4" s="89"/>
      <c r="E4" s="89"/>
      <c r="F4" s="89"/>
      <c r="G4" s="89"/>
      <c r="H4" s="89"/>
      <c r="I4" s="90"/>
    </row>
    <row r="5" spans="2:9" x14ac:dyDescent="0.3">
      <c r="B5" s="122" t="s">
        <v>3</v>
      </c>
      <c r="C5" s="123" t="s">
        <v>4</v>
      </c>
      <c r="D5" s="123"/>
      <c r="E5" s="4"/>
      <c r="F5" s="4"/>
      <c r="G5" s="4"/>
      <c r="H5" s="4"/>
      <c r="I5" s="5"/>
    </row>
    <row r="6" spans="2:9" x14ac:dyDescent="0.3">
      <c r="B6" s="92" t="s">
        <v>5</v>
      </c>
      <c r="C6" s="93"/>
      <c r="D6" s="93"/>
      <c r="E6" s="93"/>
      <c r="F6" s="93"/>
      <c r="G6" s="93"/>
      <c r="H6" s="93"/>
      <c r="I6" s="94"/>
    </row>
    <row r="7" spans="2:9" x14ac:dyDescent="0.3">
      <c r="B7" s="95" t="s">
        <v>6</v>
      </c>
      <c r="C7" s="96"/>
      <c r="D7" s="96"/>
      <c r="E7" s="96"/>
      <c r="F7" s="96"/>
      <c r="G7" s="96"/>
      <c r="H7" s="96"/>
      <c r="I7" s="97"/>
    </row>
    <row r="8" spans="2:9" x14ac:dyDescent="0.3">
      <c r="B8" s="82" t="s">
        <v>7</v>
      </c>
      <c r="C8" s="83"/>
      <c r="D8" s="83"/>
      <c r="E8" s="83"/>
      <c r="F8" s="83"/>
      <c r="G8" s="83"/>
      <c r="H8" s="83"/>
      <c r="I8" s="84"/>
    </row>
    <row r="9" spans="2:9" x14ac:dyDescent="0.3">
      <c r="B9" s="98" t="s">
        <v>8</v>
      </c>
      <c r="C9" s="99"/>
      <c r="D9" s="99"/>
      <c r="E9" s="99"/>
      <c r="F9" s="99"/>
      <c r="G9" s="99"/>
      <c r="H9" s="99"/>
      <c r="I9" s="100"/>
    </row>
    <row r="10" spans="2:9" ht="15" customHeight="1" x14ac:dyDescent="0.3">
      <c r="B10" s="101" t="s">
        <v>9</v>
      </c>
      <c r="C10" s="102"/>
      <c r="D10" s="102"/>
      <c r="E10" s="102"/>
      <c r="F10" s="102"/>
      <c r="G10" s="102"/>
      <c r="H10" s="102"/>
      <c r="I10" s="103"/>
    </row>
    <row r="11" spans="2:9" ht="15" customHeight="1" x14ac:dyDescent="0.3">
      <c r="B11" s="9" t="s">
        <v>10</v>
      </c>
      <c r="C11" s="4"/>
      <c r="D11" s="4"/>
      <c r="E11" s="4"/>
      <c r="F11" s="4"/>
      <c r="G11" s="4"/>
      <c r="H11" s="4"/>
      <c r="I11" s="5" t="s">
        <v>11</v>
      </c>
    </row>
    <row r="12" spans="2:9" ht="15" customHeight="1" x14ac:dyDescent="0.3">
      <c r="B12" s="82" t="s">
        <v>12</v>
      </c>
      <c r="C12" s="83"/>
      <c r="D12" s="83"/>
      <c r="E12" s="83"/>
      <c r="F12" s="83"/>
      <c r="G12" s="83"/>
      <c r="H12" s="83"/>
      <c r="I12" s="84"/>
    </row>
    <row r="13" spans="2:9" ht="15" customHeight="1" x14ac:dyDescent="0.3">
      <c r="B13" s="124" t="s">
        <v>13</v>
      </c>
      <c r="C13" s="125" t="s">
        <v>14</v>
      </c>
      <c r="D13" s="125"/>
      <c r="E13" s="4"/>
      <c r="F13" s="4"/>
      <c r="G13" s="4"/>
      <c r="H13" s="4"/>
      <c r="I13" s="5"/>
    </row>
    <row r="14" spans="2:9" ht="15" customHeight="1" x14ac:dyDescent="0.3">
      <c r="B14" s="104" t="s">
        <v>15</v>
      </c>
      <c r="C14" s="83"/>
      <c r="D14" s="83"/>
      <c r="E14" s="83"/>
      <c r="F14" s="83"/>
      <c r="G14" s="83"/>
      <c r="H14" s="83"/>
      <c r="I14" s="105"/>
    </row>
    <row r="15" spans="2:9" ht="15" customHeight="1" x14ac:dyDescent="0.3">
      <c r="B15" s="107" t="s">
        <v>16</v>
      </c>
      <c r="C15" s="108"/>
      <c r="D15" s="108"/>
      <c r="E15" s="108"/>
      <c r="F15" s="108"/>
      <c r="G15" s="108"/>
      <c r="H15" s="108"/>
      <c r="I15" s="109"/>
    </row>
    <row r="16" spans="2:9" x14ac:dyDescent="0.3">
      <c r="B16" s="126" t="s">
        <v>17</v>
      </c>
      <c r="C16" s="127" t="s">
        <v>18</v>
      </c>
      <c r="D16" s="127"/>
      <c r="E16" s="6" t="s">
        <v>11</v>
      </c>
      <c r="F16" s="6" t="s">
        <v>11</v>
      </c>
      <c r="G16" s="6" t="s">
        <v>11</v>
      </c>
      <c r="H16" s="6" t="s">
        <v>11</v>
      </c>
      <c r="I16" s="7" t="s">
        <v>11</v>
      </c>
    </row>
    <row r="17" spans="2:9" x14ac:dyDescent="0.3">
      <c r="B17" s="104" t="s">
        <v>19</v>
      </c>
      <c r="C17" s="83"/>
      <c r="D17" s="83"/>
      <c r="E17" s="83"/>
      <c r="F17" s="83"/>
      <c r="G17" s="83"/>
      <c r="H17" s="83"/>
      <c r="I17" s="105"/>
    </row>
    <row r="18" spans="2:9" ht="25.5" customHeight="1" x14ac:dyDescent="0.3">
      <c r="B18" s="110" t="s">
        <v>20</v>
      </c>
      <c r="C18" s="99"/>
      <c r="D18" s="99"/>
      <c r="E18" s="99"/>
      <c r="F18" s="99"/>
      <c r="G18" s="99"/>
      <c r="H18" s="99"/>
      <c r="I18" s="111"/>
    </row>
    <row r="19" spans="2:9" x14ac:dyDescent="0.3">
      <c r="B19" s="107" t="s">
        <v>21</v>
      </c>
      <c r="C19" s="108"/>
      <c r="D19" s="108"/>
      <c r="E19" s="108"/>
      <c r="F19" s="108"/>
      <c r="G19" s="108"/>
      <c r="H19" s="108"/>
      <c r="I19" s="109"/>
    </row>
    <row r="20" spans="2:9" x14ac:dyDescent="0.3">
      <c r="B20" s="128" t="s">
        <v>22</v>
      </c>
      <c r="C20" s="129" t="s">
        <v>23</v>
      </c>
      <c r="D20" s="129"/>
      <c r="E20" s="10" t="s">
        <v>11</v>
      </c>
      <c r="F20" s="10" t="s">
        <v>11</v>
      </c>
      <c r="G20" s="10" t="s">
        <v>11</v>
      </c>
      <c r="H20" s="10" t="s">
        <v>11</v>
      </c>
      <c r="I20" s="11" t="s">
        <v>11</v>
      </c>
    </row>
    <row r="21" spans="2:9" x14ac:dyDescent="0.3">
      <c r="B21" s="104" t="s">
        <v>24</v>
      </c>
      <c r="C21" s="83"/>
      <c r="D21" s="83"/>
      <c r="E21" s="83"/>
      <c r="F21" s="83"/>
      <c r="G21" s="83"/>
      <c r="H21" s="83"/>
      <c r="I21" s="105"/>
    </row>
    <row r="22" spans="2:9" x14ac:dyDescent="0.3">
      <c r="B22" s="107" t="s">
        <v>21</v>
      </c>
      <c r="C22" s="108"/>
      <c r="D22" s="108"/>
      <c r="E22" s="108"/>
      <c r="F22" s="108"/>
      <c r="G22" s="108"/>
      <c r="H22" s="108"/>
      <c r="I22" s="109"/>
    </row>
    <row r="23" spans="2:9" x14ac:dyDescent="0.3">
      <c r="B23" s="130" t="s">
        <v>25</v>
      </c>
      <c r="C23" s="131" t="s">
        <v>26</v>
      </c>
      <c r="D23" s="131"/>
      <c r="E23" s="10" t="s">
        <v>11</v>
      </c>
      <c r="F23" s="10" t="s">
        <v>11</v>
      </c>
      <c r="G23" s="10" t="s">
        <v>11</v>
      </c>
      <c r="H23" s="10" t="s">
        <v>11</v>
      </c>
      <c r="I23" s="11" t="s">
        <v>11</v>
      </c>
    </row>
    <row r="24" spans="2:9" x14ac:dyDescent="0.3">
      <c r="B24" s="8" t="s">
        <v>27</v>
      </c>
      <c r="C24" s="4"/>
      <c r="D24" s="4"/>
      <c r="E24" s="4"/>
      <c r="F24" s="4"/>
      <c r="G24" s="4"/>
      <c r="H24" s="4"/>
      <c r="I24" s="5" t="s">
        <v>11</v>
      </c>
    </row>
    <row r="25" spans="2:9" x14ac:dyDescent="0.3">
      <c r="B25" s="98" t="s">
        <v>28</v>
      </c>
      <c r="C25" s="99"/>
      <c r="D25" s="99"/>
      <c r="E25" s="99"/>
      <c r="F25" s="99"/>
      <c r="G25" s="99"/>
      <c r="H25" s="99"/>
      <c r="I25" s="100"/>
    </row>
    <row r="26" spans="2:9" ht="15" thickBot="1" x14ac:dyDescent="0.35">
      <c r="B26" s="112" t="s">
        <v>29</v>
      </c>
      <c r="C26" s="113"/>
      <c r="D26" s="113"/>
      <c r="E26" s="113"/>
      <c r="F26" s="113"/>
      <c r="G26" s="113"/>
      <c r="H26" s="113"/>
      <c r="I26" s="114"/>
    </row>
    <row r="27" spans="2:9" x14ac:dyDescent="0.3">
      <c r="B27" s="1"/>
      <c r="C27" s="1"/>
      <c r="D27" s="1"/>
      <c r="E27" s="1"/>
      <c r="F27" s="1"/>
      <c r="G27" s="1"/>
      <c r="H27" s="1"/>
      <c r="I27" s="1"/>
    </row>
    <row r="28" spans="2:9" x14ac:dyDescent="0.3">
      <c r="B28" s="2"/>
      <c r="C28" s="2"/>
      <c r="D28" s="2"/>
      <c r="E28" s="2"/>
      <c r="F28" s="2"/>
      <c r="G28" s="2"/>
      <c r="H28" s="2"/>
      <c r="I28" s="2"/>
    </row>
    <row r="29" spans="2:9" x14ac:dyDescent="0.3">
      <c r="B29" s="2"/>
      <c r="C29" s="2"/>
      <c r="D29" s="2"/>
      <c r="E29" s="2"/>
      <c r="F29" s="2"/>
      <c r="G29" s="2"/>
      <c r="H29" s="2"/>
      <c r="I29" s="2"/>
    </row>
  </sheetData>
  <mergeCells count="22">
    <mergeCell ref="B18:I18"/>
    <mergeCell ref="B19:I19"/>
    <mergeCell ref="C23:D23"/>
    <mergeCell ref="B25:I25"/>
    <mergeCell ref="B26:I26"/>
    <mergeCell ref="C20:D20"/>
    <mergeCell ref="B21:I21"/>
    <mergeCell ref="B22:I22"/>
    <mergeCell ref="B9:I9"/>
    <mergeCell ref="B10:I10"/>
    <mergeCell ref="B12:I12"/>
    <mergeCell ref="C16:D16"/>
    <mergeCell ref="B17:I17"/>
    <mergeCell ref="C13:D13"/>
    <mergeCell ref="B14:I14"/>
    <mergeCell ref="B15:I15"/>
    <mergeCell ref="B8:I8"/>
    <mergeCell ref="B3:I3"/>
    <mergeCell ref="B4:I4"/>
    <mergeCell ref="C5:D5"/>
    <mergeCell ref="B6:I6"/>
    <mergeCell ref="B7:I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9"/>
  <sheetViews>
    <sheetView showGridLines="0" workbookViewId="0">
      <selection activeCell="B19" sqref="B19"/>
    </sheetView>
  </sheetViews>
  <sheetFormatPr defaultRowHeight="14.4" x14ac:dyDescent="0.3"/>
  <cols>
    <col min="1" max="1" width="4.77734375" customWidth="1"/>
    <col min="2" max="2" width="13.44140625" customWidth="1"/>
    <col min="3" max="3" width="18" customWidth="1"/>
    <col min="5" max="5" width="63.21875" customWidth="1"/>
  </cols>
  <sheetData>
    <row r="2" spans="2:9" ht="15.6" x14ac:dyDescent="0.3">
      <c r="B2" s="27" t="s">
        <v>0</v>
      </c>
      <c r="C2" s="26"/>
      <c r="D2" s="26"/>
      <c r="E2" s="4"/>
      <c r="F2" s="4"/>
      <c r="G2" s="4"/>
      <c r="H2" s="4"/>
      <c r="I2" s="4"/>
    </row>
    <row r="3" spans="2:9" x14ac:dyDescent="0.3">
      <c r="B3" s="117" t="s">
        <v>30</v>
      </c>
      <c r="C3" s="86"/>
      <c r="D3" s="86"/>
      <c r="E3" s="86"/>
      <c r="F3" s="86"/>
      <c r="G3" s="86"/>
      <c r="H3" s="86"/>
      <c r="I3" s="87"/>
    </row>
    <row r="4" spans="2:9" ht="15.75" customHeight="1" x14ac:dyDescent="0.3">
      <c r="B4" s="88" t="s">
        <v>2</v>
      </c>
      <c r="C4" s="89"/>
      <c r="D4" s="89"/>
      <c r="E4" s="89"/>
      <c r="F4" s="89"/>
      <c r="G4" s="89"/>
      <c r="H4" s="89"/>
      <c r="I4" s="90"/>
    </row>
    <row r="5" spans="2:9" x14ac:dyDescent="0.3">
      <c r="B5" s="25" t="s">
        <v>3</v>
      </c>
      <c r="C5" s="91" t="s">
        <v>4</v>
      </c>
      <c r="D5" s="91"/>
      <c r="E5" s="4"/>
      <c r="F5" s="4"/>
      <c r="G5" s="4"/>
      <c r="H5" s="4"/>
      <c r="I5" s="5"/>
    </row>
    <row r="6" spans="2:9" x14ac:dyDescent="0.3">
      <c r="B6" s="92" t="s">
        <v>5</v>
      </c>
      <c r="C6" s="93"/>
      <c r="D6" s="93"/>
      <c r="E6" s="93"/>
      <c r="F6" s="93"/>
      <c r="G6" s="93"/>
      <c r="H6" s="93"/>
      <c r="I6" s="94"/>
    </row>
    <row r="7" spans="2:9" x14ac:dyDescent="0.3">
      <c r="B7" s="95" t="s">
        <v>31</v>
      </c>
      <c r="C7" s="96"/>
      <c r="D7" s="96"/>
      <c r="E7" s="96"/>
      <c r="F7" s="96"/>
      <c r="G7" s="96"/>
      <c r="H7" s="96"/>
      <c r="I7" s="97"/>
    </row>
    <row r="8" spans="2:9" x14ac:dyDescent="0.3">
      <c r="B8" s="82" t="s">
        <v>32</v>
      </c>
      <c r="C8" s="83"/>
      <c r="D8" s="83"/>
      <c r="E8" s="83"/>
      <c r="F8" s="83"/>
      <c r="G8" s="83"/>
      <c r="H8" s="83"/>
      <c r="I8" s="84"/>
    </row>
    <row r="9" spans="2:9" x14ac:dyDescent="0.3">
      <c r="B9" s="98" t="s">
        <v>33</v>
      </c>
      <c r="C9" s="99"/>
      <c r="D9" s="99"/>
      <c r="E9" s="99"/>
      <c r="F9" s="99"/>
      <c r="G9" s="99"/>
      <c r="H9" s="99"/>
      <c r="I9" s="100"/>
    </row>
    <row r="10" spans="2:9" ht="15" customHeight="1" x14ac:dyDescent="0.3">
      <c r="B10" s="101" t="s">
        <v>9</v>
      </c>
      <c r="C10" s="102"/>
      <c r="D10" s="102"/>
      <c r="E10" s="102"/>
      <c r="F10" s="102"/>
      <c r="G10" s="102"/>
      <c r="H10" s="102"/>
      <c r="I10" s="103"/>
    </row>
    <row r="11" spans="2:9" ht="15" customHeight="1" x14ac:dyDescent="0.3">
      <c r="B11" s="9" t="s">
        <v>34</v>
      </c>
      <c r="C11" s="4"/>
      <c r="D11" s="4"/>
      <c r="E11" s="4"/>
      <c r="F11" s="4"/>
      <c r="G11" s="4"/>
      <c r="H11" s="4"/>
      <c r="I11" s="5" t="s">
        <v>11</v>
      </c>
    </row>
    <row r="12" spans="2:9" ht="15" customHeight="1" x14ac:dyDescent="0.3">
      <c r="B12" s="82" t="s">
        <v>35</v>
      </c>
      <c r="C12" s="83"/>
      <c r="D12" s="83"/>
      <c r="E12" s="83"/>
      <c r="F12" s="83"/>
      <c r="G12" s="83"/>
      <c r="H12" s="83"/>
      <c r="I12" s="84"/>
    </row>
    <row r="13" spans="2:9" x14ac:dyDescent="0.3">
      <c r="B13" s="9" t="s">
        <v>36</v>
      </c>
      <c r="C13" s="4"/>
      <c r="D13" s="4"/>
      <c r="E13" s="4"/>
      <c r="F13" s="4"/>
      <c r="G13" s="4"/>
      <c r="H13" s="4"/>
      <c r="I13" s="5" t="s">
        <v>11</v>
      </c>
    </row>
    <row r="14" spans="2:9" x14ac:dyDescent="0.3">
      <c r="B14" s="82" t="s">
        <v>12</v>
      </c>
      <c r="C14" s="83"/>
      <c r="D14" s="83"/>
      <c r="E14" s="83"/>
      <c r="F14" s="83"/>
      <c r="G14" s="83"/>
      <c r="H14" s="83"/>
      <c r="I14" s="84"/>
    </row>
    <row r="15" spans="2:9" x14ac:dyDescent="0.3">
      <c r="B15" s="24" t="s">
        <v>13</v>
      </c>
      <c r="C15" s="116" t="s">
        <v>18</v>
      </c>
      <c r="D15" s="116"/>
      <c r="E15" s="6" t="s">
        <v>11</v>
      </c>
      <c r="F15" s="6" t="s">
        <v>11</v>
      </c>
      <c r="G15" s="6" t="s">
        <v>11</v>
      </c>
      <c r="H15" s="6" t="s">
        <v>11</v>
      </c>
      <c r="I15" s="7" t="s">
        <v>11</v>
      </c>
    </row>
    <row r="16" spans="2:9" x14ac:dyDescent="0.3">
      <c r="B16" s="82" t="s">
        <v>19</v>
      </c>
      <c r="C16" s="83"/>
      <c r="D16" s="83"/>
      <c r="E16" s="83"/>
      <c r="F16" s="83"/>
      <c r="G16" s="83"/>
      <c r="H16" s="83"/>
      <c r="I16" s="84"/>
    </row>
    <row r="17" spans="2:9" x14ac:dyDescent="0.3">
      <c r="B17" s="98" t="s">
        <v>37</v>
      </c>
      <c r="C17" s="99"/>
      <c r="D17" s="99"/>
      <c r="E17" s="99"/>
      <c r="F17" s="99"/>
      <c r="G17" s="99"/>
      <c r="H17" s="99"/>
      <c r="I17" s="100"/>
    </row>
    <row r="18" spans="2:9" x14ac:dyDescent="0.3">
      <c r="B18" s="98" t="s">
        <v>38</v>
      </c>
      <c r="C18" s="99"/>
      <c r="D18" s="99"/>
      <c r="E18" s="99"/>
      <c r="F18" s="99"/>
      <c r="G18" s="99"/>
      <c r="H18" s="99"/>
      <c r="I18" s="100"/>
    </row>
    <row r="19" spans="2:9" x14ac:dyDescent="0.3">
      <c r="B19" s="24" t="s">
        <v>17</v>
      </c>
      <c r="C19" s="116" t="s">
        <v>39</v>
      </c>
      <c r="D19" s="116"/>
      <c r="E19" s="6" t="s">
        <v>11</v>
      </c>
      <c r="F19" s="6" t="s">
        <v>11</v>
      </c>
      <c r="G19" s="6" t="s">
        <v>11</v>
      </c>
      <c r="H19" s="6" t="s">
        <v>11</v>
      </c>
      <c r="I19" s="7" t="s">
        <v>11</v>
      </c>
    </row>
    <row r="20" spans="2:9" x14ac:dyDescent="0.3">
      <c r="B20" s="21" t="s">
        <v>40</v>
      </c>
      <c r="C20" s="4"/>
      <c r="D20" s="4"/>
      <c r="E20" s="4"/>
      <c r="F20" s="4"/>
      <c r="G20" s="4"/>
      <c r="H20" s="4"/>
      <c r="I20" s="22"/>
    </row>
    <row r="21" spans="2:9" x14ac:dyDescent="0.3">
      <c r="B21" s="21" t="s">
        <v>41</v>
      </c>
      <c r="C21" s="4"/>
      <c r="D21" s="4"/>
      <c r="E21" s="4"/>
      <c r="F21" s="4"/>
      <c r="G21" s="4"/>
      <c r="H21" s="4"/>
      <c r="I21" s="22"/>
    </row>
    <row r="22" spans="2:9" x14ac:dyDescent="0.3">
      <c r="B22" s="21" t="s">
        <v>42</v>
      </c>
      <c r="C22" s="4"/>
      <c r="D22" s="4"/>
      <c r="E22" s="4"/>
      <c r="F22" s="4"/>
      <c r="G22" s="4"/>
      <c r="H22" s="4"/>
      <c r="I22" s="22"/>
    </row>
    <row r="23" spans="2:9" x14ac:dyDescent="0.3">
      <c r="B23" s="23" t="s">
        <v>22</v>
      </c>
      <c r="C23" s="115" t="s">
        <v>43</v>
      </c>
      <c r="D23" s="115"/>
      <c r="E23" s="10" t="s">
        <v>11</v>
      </c>
      <c r="F23" s="10" t="s">
        <v>11</v>
      </c>
      <c r="G23" s="10" t="s">
        <v>11</v>
      </c>
      <c r="H23" s="10" t="s">
        <v>11</v>
      </c>
      <c r="I23" s="11" t="s">
        <v>11</v>
      </c>
    </row>
    <row r="24" spans="2:9" x14ac:dyDescent="0.3">
      <c r="B24" s="8" t="s">
        <v>27</v>
      </c>
      <c r="C24" s="4"/>
      <c r="D24" s="4"/>
      <c r="E24" s="4"/>
      <c r="F24" s="4"/>
      <c r="G24" s="4"/>
      <c r="H24" s="4"/>
      <c r="I24" s="5" t="s">
        <v>11</v>
      </c>
    </row>
    <row r="25" spans="2:9" x14ac:dyDescent="0.3">
      <c r="B25" s="98" t="s">
        <v>44</v>
      </c>
      <c r="C25" s="99"/>
      <c r="D25" s="99"/>
      <c r="E25" s="99"/>
      <c r="F25" s="99"/>
      <c r="G25" s="99"/>
      <c r="H25" s="99"/>
      <c r="I25" s="100"/>
    </row>
    <row r="26" spans="2:9" x14ac:dyDescent="0.3">
      <c r="B26" s="112" t="s">
        <v>45</v>
      </c>
      <c r="C26" s="113"/>
      <c r="D26" s="113"/>
      <c r="E26" s="113"/>
      <c r="F26" s="113"/>
      <c r="G26" s="113"/>
      <c r="H26" s="113"/>
      <c r="I26" s="114"/>
    </row>
    <row r="27" spans="2:9" x14ac:dyDescent="0.3">
      <c r="B27" s="1"/>
      <c r="C27" s="1"/>
      <c r="D27" s="1"/>
      <c r="E27" s="1"/>
      <c r="F27" s="1"/>
      <c r="G27" s="1"/>
      <c r="H27" s="1"/>
      <c r="I27" s="1"/>
    </row>
    <row r="28" spans="2:9" x14ac:dyDescent="0.3">
      <c r="B28" s="2"/>
      <c r="C28" s="2"/>
      <c r="D28" s="2"/>
      <c r="E28" s="2"/>
      <c r="F28" s="2"/>
      <c r="G28" s="2"/>
      <c r="H28" s="2"/>
      <c r="I28" s="2"/>
    </row>
    <row r="29" spans="2:9" x14ac:dyDescent="0.3">
      <c r="B29" s="2"/>
      <c r="C29" s="2"/>
      <c r="D29" s="2"/>
      <c r="E29" s="2"/>
      <c r="F29" s="2"/>
      <c r="G29" s="2"/>
      <c r="H29" s="2"/>
      <c r="I29" s="2"/>
    </row>
  </sheetData>
  <mergeCells count="18">
    <mergeCell ref="B3:I3"/>
    <mergeCell ref="C5:D5"/>
    <mergeCell ref="B6:I6"/>
    <mergeCell ref="B7:I7"/>
    <mergeCell ref="B8:I8"/>
    <mergeCell ref="C23:D23"/>
    <mergeCell ref="B25:I25"/>
    <mergeCell ref="B26:I26"/>
    <mergeCell ref="B4:I4"/>
    <mergeCell ref="C19:D19"/>
    <mergeCell ref="B12:I12"/>
    <mergeCell ref="B10:I10"/>
    <mergeCell ref="B14:I14"/>
    <mergeCell ref="C15:D15"/>
    <mergeCell ref="B16:I16"/>
    <mergeCell ref="B17:I17"/>
    <mergeCell ref="B18:I18"/>
    <mergeCell ref="B9:I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D836F-0728-427D-86CE-1C2DA550AD6F}">
  <sheetPr>
    <tabColor theme="8" tint="0.59999389629810485"/>
  </sheetPr>
  <dimension ref="B1:N50"/>
  <sheetViews>
    <sheetView workbookViewId="0"/>
  </sheetViews>
  <sheetFormatPr defaultRowHeight="14.4" x14ac:dyDescent="0.3"/>
  <cols>
    <col min="1" max="1" width="3.5546875" customWidth="1"/>
    <col min="2" max="2" width="27.77734375" customWidth="1"/>
    <col min="3" max="3" width="76.88671875" customWidth="1"/>
    <col min="4" max="4" width="26.77734375" customWidth="1"/>
  </cols>
  <sheetData>
    <row r="1" spans="2:14" x14ac:dyDescent="0.3">
      <c r="B1" s="73" t="s">
        <v>46</v>
      </c>
      <c r="C1" s="12" t="s">
        <v>11</v>
      </c>
      <c r="D1" s="12" t="s">
        <v>11</v>
      </c>
    </row>
    <row r="2" spans="2:14" x14ac:dyDescent="0.3">
      <c r="B2" s="13" t="s">
        <v>47</v>
      </c>
      <c r="C2" s="14" t="s">
        <v>48</v>
      </c>
      <c r="D2" s="14" t="s">
        <v>49</v>
      </c>
    </row>
    <row r="3" spans="2:14" x14ac:dyDescent="0.3">
      <c r="B3" s="106" t="s">
        <v>50</v>
      </c>
      <c r="C3" s="118"/>
      <c r="D3" s="118"/>
    </row>
    <row r="4" spans="2:14" x14ac:dyDescent="0.3">
      <c r="B4" s="4" t="s">
        <v>51</v>
      </c>
      <c r="C4" s="4" t="s">
        <v>52</v>
      </c>
      <c r="D4" s="4"/>
    </row>
    <row r="5" spans="2:14" x14ac:dyDescent="0.3">
      <c r="B5" s="4" t="s">
        <v>53</v>
      </c>
      <c r="C5" s="4" t="s">
        <v>54</v>
      </c>
      <c r="D5" s="4"/>
    </row>
    <row r="6" spans="2:14" x14ac:dyDescent="0.3">
      <c r="B6" s="4" t="s">
        <v>55</v>
      </c>
      <c r="C6" s="4"/>
      <c r="D6" s="4"/>
    </row>
    <row r="7" spans="2:14" x14ac:dyDescent="0.3">
      <c r="B7" s="17" t="s">
        <v>56</v>
      </c>
      <c r="C7" s="4" t="s">
        <v>57</v>
      </c>
      <c r="D7" s="4" t="s">
        <v>58</v>
      </c>
      <c r="F7" s="119"/>
      <c r="G7" s="119"/>
      <c r="H7" s="119"/>
      <c r="I7" s="119"/>
      <c r="J7" s="119"/>
      <c r="K7" s="119"/>
      <c r="L7" s="119"/>
      <c r="M7" s="119"/>
      <c r="N7" s="119"/>
    </row>
    <row r="8" spans="2:14" x14ac:dyDescent="0.3">
      <c r="B8" s="17" t="s">
        <v>59</v>
      </c>
      <c r="C8" s="4" t="s">
        <v>60</v>
      </c>
      <c r="D8" s="4" t="s">
        <v>58</v>
      </c>
      <c r="F8" s="119"/>
      <c r="G8" s="119"/>
      <c r="H8" s="119"/>
      <c r="I8" s="119"/>
      <c r="J8" s="119"/>
      <c r="K8" s="119"/>
      <c r="L8" s="119"/>
      <c r="M8" s="119"/>
      <c r="N8" s="119"/>
    </row>
    <row r="9" spans="2:14" x14ac:dyDescent="0.3">
      <c r="B9" s="17" t="s">
        <v>61</v>
      </c>
      <c r="C9" s="4" t="s">
        <v>62</v>
      </c>
      <c r="D9" s="4" t="s">
        <v>58</v>
      </c>
    </row>
    <row r="10" spans="2:14" x14ac:dyDescent="0.3">
      <c r="B10" s="17" t="s">
        <v>63</v>
      </c>
      <c r="C10" s="4" t="s">
        <v>64</v>
      </c>
      <c r="D10" s="4" t="s">
        <v>58</v>
      </c>
    </row>
    <row r="11" spans="2:14" x14ac:dyDescent="0.3">
      <c r="B11" s="29" t="s">
        <v>138</v>
      </c>
      <c r="C11" s="4" t="s">
        <v>280</v>
      </c>
      <c r="D11" s="4" t="s">
        <v>96</v>
      </c>
    </row>
    <row r="12" spans="2:14" x14ac:dyDescent="0.3">
      <c r="B12" s="4" t="s">
        <v>65</v>
      </c>
      <c r="C12" s="15" t="s">
        <v>66</v>
      </c>
      <c r="D12" s="4" t="s">
        <v>67</v>
      </c>
    </row>
    <row r="13" spans="2:14" x14ac:dyDescent="0.3">
      <c r="B13" s="4" t="s">
        <v>68</v>
      </c>
      <c r="C13" s="4" t="s">
        <v>69</v>
      </c>
      <c r="D13" s="15" t="s">
        <v>70</v>
      </c>
    </row>
    <row r="14" spans="2:14" x14ac:dyDescent="0.3">
      <c r="B14" s="16" t="s">
        <v>71</v>
      </c>
      <c r="C14" s="4"/>
      <c r="D14" s="15" t="s">
        <v>70</v>
      </c>
    </row>
    <row r="15" spans="2:14" x14ac:dyDescent="0.3">
      <c r="B15" s="17" t="s">
        <v>72</v>
      </c>
      <c r="C15" s="4"/>
      <c r="D15" s="15" t="s">
        <v>70</v>
      </c>
    </row>
    <row r="16" spans="2:14" x14ac:dyDescent="0.3">
      <c r="B16" s="17" t="s">
        <v>73</v>
      </c>
      <c r="C16" s="4"/>
      <c r="D16" s="15" t="s">
        <v>70</v>
      </c>
    </row>
    <row r="17" spans="2:4" x14ac:dyDescent="0.3">
      <c r="B17" s="17" t="s">
        <v>74</v>
      </c>
      <c r="C17" s="4"/>
      <c r="D17" s="15" t="s">
        <v>70</v>
      </c>
    </row>
    <row r="18" spans="2:4" x14ac:dyDescent="0.3">
      <c r="B18" s="16" t="s">
        <v>75</v>
      </c>
      <c r="C18" s="4"/>
      <c r="D18" s="15" t="s">
        <v>70</v>
      </c>
    </row>
    <row r="19" spans="2:4" x14ac:dyDescent="0.3">
      <c r="B19" s="17" t="s">
        <v>76</v>
      </c>
      <c r="C19" s="4"/>
      <c r="D19" s="15" t="s">
        <v>70</v>
      </c>
    </row>
    <row r="20" spans="2:4" x14ac:dyDescent="0.3">
      <c r="B20" s="4" t="s">
        <v>77</v>
      </c>
      <c r="C20" s="4" t="s">
        <v>78</v>
      </c>
      <c r="D20" s="4"/>
    </row>
    <row r="21" spans="2:4" x14ac:dyDescent="0.3">
      <c r="B21" s="16" t="s">
        <v>79</v>
      </c>
      <c r="C21" s="4" t="s">
        <v>80</v>
      </c>
      <c r="D21" s="15" t="s">
        <v>70</v>
      </c>
    </row>
    <row r="22" spans="2:4" x14ac:dyDescent="0.3">
      <c r="B22" s="17" t="s">
        <v>81</v>
      </c>
      <c r="C22" s="4" t="s">
        <v>82</v>
      </c>
      <c r="D22" s="15" t="s">
        <v>70</v>
      </c>
    </row>
    <row r="23" spans="2:4" x14ac:dyDescent="0.3">
      <c r="B23" s="29" t="s">
        <v>83</v>
      </c>
      <c r="C23" s="4"/>
      <c r="D23" s="15"/>
    </row>
    <row r="24" spans="2:4" ht="16.2" x14ac:dyDescent="0.3">
      <c r="B24" s="17" t="s">
        <v>84</v>
      </c>
      <c r="C24" s="4" t="s">
        <v>85</v>
      </c>
      <c r="D24" s="4" t="s">
        <v>86</v>
      </c>
    </row>
    <row r="25" spans="2:4" ht="16.2" x14ac:dyDescent="0.3">
      <c r="B25" s="17" t="s">
        <v>87</v>
      </c>
      <c r="C25" s="4" t="s">
        <v>88</v>
      </c>
      <c r="D25" s="4" t="s">
        <v>86</v>
      </c>
    </row>
    <row r="26" spans="2:4" ht="16.2" x14ac:dyDescent="0.3">
      <c r="B26" s="17" t="s">
        <v>89</v>
      </c>
      <c r="C26" s="4" t="s">
        <v>90</v>
      </c>
      <c r="D26" s="4" t="s">
        <v>86</v>
      </c>
    </row>
    <row r="27" spans="2:4" ht="16.2" x14ac:dyDescent="0.3">
      <c r="B27" s="17" t="s">
        <v>91</v>
      </c>
      <c r="C27" s="4" t="s">
        <v>92</v>
      </c>
      <c r="D27" s="4" t="s">
        <v>86</v>
      </c>
    </row>
    <row r="28" spans="2:4" x14ac:dyDescent="0.3">
      <c r="B28" s="4" t="s">
        <v>93</v>
      </c>
      <c r="C28" s="4"/>
      <c r="D28" s="15"/>
    </row>
    <row r="29" spans="2:4" x14ac:dyDescent="0.3">
      <c r="B29" s="17" t="s">
        <v>94</v>
      </c>
      <c r="C29" s="4" t="s">
        <v>95</v>
      </c>
      <c r="D29" s="15" t="s">
        <v>96</v>
      </c>
    </row>
    <row r="30" spans="2:4" x14ac:dyDescent="0.3">
      <c r="B30" s="16" t="s">
        <v>97</v>
      </c>
      <c r="C30" s="15" t="s">
        <v>98</v>
      </c>
      <c r="D30" s="15" t="s">
        <v>96</v>
      </c>
    </row>
    <row r="31" spans="2:4" x14ac:dyDescent="0.3">
      <c r="B31" s="16" t="s">
        <v>99</v>
      </c>
      <c r="C31" s="15" t="s">
        <v>100</v>
      </c>
      <c r="D31" s="15" t="s">
        <v>96</v>
      </c>
    </row>
    <row r="32" spans="2:4" x14ac:dyDescent="0.3">
      <c r="B32" s="16" t="s">
        <v>101</v>
      </c>
      <c r="C32" s="15" t="s">
        <v>102</v>
      </c>
      <c r="D32" s="15" t="s">
        <v>96</v>
      </c>
    </row>
    <row r="33" spans="2:4" x14ac:dyDescent="0.3">
      <c r="B33" s="16" t="s">
        <v>103</v>
      </c>
      <c r="C33" s="15" t="s">
        <v>104</v>
      </c>
      <c r="D33" s="15" t="s">
        <v>96</v>
      </c>
    </row>
    <row r="34" spans="2:4" x14ac:dyDescent="0.3">
      <c r="B34" s="16" t="s">
        <v>105</v>
      </c>
      <c r="C34" s="15" t="s">
        <v>106</v>
      </c>
      <c r="D34" s="15" t="s">
        <v>96</v>
      </c>
    </row>
    <row r="35" spans="2:4" x14ac:dyDescent="0.3">
      <c r="B35" s="16" t="s">
        <v>107</v>
      </c>
      <c r="C35" s="15" t="s">
        <v>108</v>
      </c>
      <c r="D35" s="15" t="s">
        <v>96</v>
      </c>
    </row>
    <row r="36" spans="2:4" x14ac:dyDescent="0.3">
      <c r="B36" s="18" t="s">
        <v>109</v>
      </c>
      <c r="C36" s="19" t="s">
        <v>110</v>
      </c>
      <c r="D36" s="20" t="s">
        <v>96</v>
      </c>
    </row>
    <row r="37" spans="2:4" x14ac:dyDescent="0.3">
      <c r="B37" s="106" t="s">
        <v>111</v>
      </c>
      <c r="C37" s="106"/>
      <c r="D37" s="106"/>
    </row>
    <row r="38" spans="2:4" x14ac:dyDescent="0.3">
      <c r="B38" s="4" t="s">
        <v>51</v>
      </c>
      <c r="C38" s="4" t="s">
        <v>112</v>
      </c>
      <c r="D38" s="15"/>
    </row>
    <row r="39" spans="2:4" x14ac:dyDescent="0.3">
      <c r="B39" s="4" t="s">
        <v>53</v>
      </c>
      <c r="C39" s="4" t="s">
        <v>54</v>
      </c>
      <c r="D39" s="15"/>
    </row>
    <row r="40" spans="2:4" x14ac:dyDescent="0.3">
      <c r="B40" s="77" t="s">
        <v>281</v>
      </c>
      <c r="C40" s="77" t="s">
        <v>282</v>
      </c>
      <c r="D40" s="15"/>
    </row>
    <row r="41" spans="2:4" x14ac:dyDescent="0.3">
      <c r="B41" s="15" t="s">
        <v>113</v>
      </c>
      <c r="C41" s="15" t="s">
        <v>114</v>
      </c>
      <c r="D41" s="15" t="s">
        <v>283</v>
      </c>
    </row>
    <row r="42" spans="2:4" x14ac:dyDescent="0.3">
      <c r="B42" s="15" t="s">
        <v>115</v>
      </c>
      <c r="C42" s="15" t="s">
        <v>116</v>
      </c>
      <c r="D42" s="15" t="s">
        <v>283</v>
      </c>
    </row>
    <row r="43" spans="2:4" x14ac:dyDescent="0.3">
      <c r="B43" s="15" t="s">
        <v>117</v>
      </c>
      <c r="C43" s="15" t="s">
        <v>118</v>
      </c>
      <c r="D43" s="15" t="s">
        <v>283</v>
      </c>
    </row>
    <row r="44" spans="2:4" x14ac:dyDescent="0.3">
      <c r="B44" s="15" t="s">
        <v>119</v>
      </c>
      <c r="C44" s="15" t="s">
        <v>120</v>
      </c>
      <c r="D44" s="15" t="s">
        <v>283</v>
      </c>
    </row>
    <row r="45" spans="2:4" x14ac:dyDescent="0.3">
      <c r="B45" s="15" t="s">
        <v>121</v>
      </c>
      <c r="C45" s="15" t="s">
        <v>122</v>
      </c>
      <c r="D45" s="15" t="s">
        <v>283</v>
      </c>
    </row>
    <row r="46" spans="2:4" x14ac:dyDescent="0.3">
      <c r="B46" s="15" t="s">
        <v>123</v>
      </c>
      <c r="C46" s="15" t="s">
        <v>124</v>
      </c>
      <c r="D46" s="15" t="s">
        <v>283</v>
      </c>
    </row>
    <row r="47" spans="2:4" x14ac:dyDescent="0.3">
      <c r="B47" s="29" t="s">
        <v>125</v>
      </c>
      <c r="C47" s="15" t="s">
        <v>126</v>
      </c>
      <c r="D47" s="15" t="s">
        <v>283</v>
      </c>
    </row>
    <row r="48" spans="2:4" x14ac:dyDescent="0.3">
      <c r="B48" s="30" t="s">
        <v>127</v>
      </c>
      <c r="C48" s="15" t="s">
        <v>128</v>
      </c>
      <c r="D48" s="15" t="s">
        <v>283</v>
      </c>
    </row>
    <row r="49" spans="2:4" x14ac:dyDescent="0.3">
      <c r="B49" s="30" t="s">
        <v>129</v>
      </c>
      <c r="C49" s="15" t="s">
        <v>130</v>
      </c>
      <c r="D49" s="15" t="s">
        <v>283</v>
      </c>
    </row>
    <row r="50" spans="2:4" x14ac:dyDescent="0.3">
      <c r="B50" s="30" t="s">
        <v>131</v>
      </c>
      <c r="C50" s="15" t="s">
        <v>132</v>
      </c>
      <c r="D50" s="15" t="s">
        <v>283</v>
      </c>
    </row>
  </sheetData>
  <mergeCells count="4">
    <mergeCell ref="B3:D3"/>
    <mergeCell ref="B37:D37"/>
    <mergeCell ref="F7:J8"/>
    <mergeCell ref="K7:N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F4495-22C8-4CC3-A7A4-DCC42307453D}">
  <sheetPr>
    <tabColor rgb="FFE0D5ED"/>
  </sheetPr>
  <dimension ref="B1:F56"/>
  <sheetViews>
    <sheetView topLeftCell="A25" workbookViewId="0">
      <selection activeCell="F36" sqref="F36"/>
    </sheetView>
  </sheetViews>
  <sheetFormatPr defaultRowHeight="14.4" x14ac:dyDescent="0.3"/>
  <cols>
    <col min="1" max="1" width="7.21875" customWidth="1"/>
    <col min="2" max="2" width="27.77734375" customWidth="1"/>
    <col min="3" max="3" width="4.77734375" customWidth="1"/>
    <col min="4" max="4" width="57.77734375" customWidth="1"/>
    <col min="5" max="5" width="4.44140625" customWidth="1"/>
    <col min="6" max="6" width="21.77734375" customWidth="1"/>
  </cols>
  <sheetData>
    <row r="1" spans="2:6" x14ac:dyDescent="0.3">
      <c r="B1" s="121" t="s">
        <v>46</v>
      </c>
      <c r="C1" s="121"/>
      <c r="D1" s="12" t="s">
        <v>11</v>
      </c>
      <c r="E1" s="12" t="s">
        <v>11</v>
      </c>
      <c r="F1" s="12" t="s">
        <v>11</v>
      </c>
    </row>
    <row r="2" spans="2:6" x14ac:dyDescent="0.3">
      <c r="B2" s="13" t="s">
        <v>47</v>
      </c>
      <c r="C2" s="13" t="s">
        <v>11</v>
      </c>
      <c r="D2" s="14" t="s">
        <v>48</v>
      </c>
      <c r="E2" s="14" t="s">
        <v>11</v>
      </c>
      <c r="F2" s="14" t="s">
        <v>49</v>
      </c>
    </row>
    <row r="3" spans="2:6" x14ac:dyDescent="0.3">
      <c r="B3" s="106" t="s">
        <v>50</v>
      </c>
      <c r="C3" s="118"/>
      <c r="D3" s="118"/>
      <c r="E3" s="118"/>
      <c r="F3" s="118"/>
    </row>
    <row r="4" spans="2:6" x14ac:dyDescent="0.3">
      <c r="B4" s="4" t="s">
        <v>51</v>
      </c>
      <c r="C4" s="4"/>
      <c r="D4" s="4" t="s">
        <v>51</v>
      </c>
      <c r="E4" s="4"/>
      <c r="F4" s="4"/>
    </row>
    <row r="5" spans="2:6" x14ac:dyDescent="0.3">
      <c r="B5" s="4" t="s">
        <v>56</v>
      </c>
      <c r="C5" s="4"/>
      <c r="D5" s="4" t="s">
        <v>133</v>
      </c>
      <c r="E5" s="4"/>
      <c r="F5" s="4" t="s">
        <v>58</v>
      </c>
    </row>
    <row r="6" spans="2:6" x14ac:dyDescent="0.3">
      <c r="B6" s="4" t="s">
        <v>59</v>
      </c>
      <c r="C6" s="4"/>
      <c r="D6" s="4" t="s">
        <v>60</v>
      </c>
      <c r="E6" s="4"/>
      <c r="F6" s="4" t="s">
        <v>58</v>
      </c>
    </row>
    <row r="7" spans="2:6" x14ac:dyDescent="0.3">
      <c r="B7" s="4" t="s">
        <v>61</v>
      </c>
      <c r="C7" s="4"/>
      <c r="D7" s="4" t="s">
        <v>62</v>
      </c>
      <c r="E7" s="4"/>
      <c r="F7" s="4" t="s">
        <v>58</v>
      </c>
    </row>
    <row r="8" spans="2:6" x14ac:dyDescent="0.3">
      <c r="B8" s="4" t="s">
        <v>65</v>
      </c>
      <c r="C8" s="4"/>
      <c r="D8" s="15" t="s">
        <v>66</v>
      </c>
      <c r="E8" s="4"/>
      <c r="F8" s="4" t="s">
        <v>67</v>
      </c>
    </row>
    <row r="9" spans="2:6" x14ac:dyDescent="0.3">
      <c r="B9" s="4" t="s">
        <v>68</v>
      </c>
      <c r="C9" s="4"/>
      <c r="D9" s="4" t="s">
        <v>69</v>
      </c>
      <c r="E9" s="4"/>
      <c r="F9" s="15" t="s">
        <v>70</v>
      </c>
    </row>
    <row r="10" spans="2:6" x14ac:dyDescent="0.3">
      <c r="B10" s="16" t="s">
        <v>71</v>
      </c>
      <c r="C10" s="4"/>
      <c r="D10" s="4"/>
      <c r="E10" s="4"/>
      <c r="F10" s="15" t="s">
        <v>70</v>
      </c>
    </row>
    <row r="11" spans="2:6" x14ac:dyDescent="0.3">
      <c r="B11" s="17" t="s">
        <v>72</v>
      </c>
      <c r="C11" s="4"/>
      <c r="D11" s="4"/>
      <c r="E11" s="4"/>
      <c r="F11" s="15" t="s">
        <v>70</v>
      </c>
    </row>
    <row r="12" spans="2:6" x14ac:dyDescent="0.3">
      <c r="B12" s="17" t="s">
        <v>73</v>
      </c>
      <c r="C12" s="4"/>
      <c r="D12" s="4"/>
      <c r="E12" s="4"/>
      <c r="F12" s="15" t="s">
        <v>70</v>
      </c>
    </row>
    <row r="13" spans="2:6" x14ac:dyDescent="0.3">
      <c r="B13" s="17" t="s">
        <v>74</v>
      </c>
      <c r="C13" s="4"/>
      <c r="D13" s="4"/>
      <c r="E13" s="4"/>
      <c r="F13" s="15" t="s">
        <v>70</v>
      </c>
    </row>
    <row r="14" spans="2:6" x14ac:dyDescent="0.3">
      <c r="B14" s="16" t="s">
        <v>75</v>
      </c>
      <c r="C14" s="4"/>
      <c r="D14" s="4"/>
      <c r="E14" s="4"/>
      <c r="F14" s="15" t="s">
        <v>70</v>
      </c>
    </row>
    <row r="15" spans="2:6" x14ac:dyDescent="0.3">
      <c r="B15" s="17" t="s">
        <v>76</v>
      </c>
      <c r="C15" s="4"/>
      <c r="D15" s="4"/>
      <c r="E15" s="4"/>
      <c r="F15" s="15" t="s">
        <v>70</v>
      </c>
    </row>
    <row r="16" spans="2:6" x14ac:dyDescent="0.3">
      <c r="B16" s="4" t="s">
        <v>77</v>
      </c>
      <c r="C16" s="4"/>
      <c r="D16" s="4" t="s">
        <v>78</v>
      </c>
      <c r="E16" s="4"/>
      <c r="F16" s="4"/>
    </row>
    <row r="17" spans="2:6" x14ac:dyDescent="0.3">
      <c r="B17" s="16" t="s">
        <v>79</v>
      </c>
      <c r="C17" s="4"/>
      <c r="D17" s="4" t="s">
        <v>80</v>
      </c>
      <c r="E17" s="4"/>
      <c r="F17" s="15" t="s">
        <v>70</v>
      </c>
    </row>
    <row r="18" spans="2:6" x14ac:dyDescent="0.3">
      <c r="B18" s="17" t="s">
        <v>81</v>
      </c>
      <c r="C18" s="15"/>
      <c r="D18" s="4" t="s">
        <v>82</v>
      </c>
      <c r="E18" s="4"/>
      <c r="F18" s="15" t="s">
        <v>70</v>
      </c>
    </row>
    <row r="19" spans="2:6" x14ac:dyDescent="0.3">
      <c r="B19" s="4" t="s">
        <v>84</v>
      </c>
      <c r="C19" s="4"/>
      <c r="D19" s="4" t="s">
        <v>85</v>
      </c>
      <c r="E19" s="4"/>
      <c r="F19" s="15"/>
    </row>
    <row r="20" spans="2:6" x14ac:dyDescent="0.3">
      <c r="B20" s="4" t="s">
        <v>87</v>
      </c>
      <c r="C20" s="4"/>
      <c r="D20" s="4" t="s">
        <v>88</v>
      </c>
      <c r="E20" s="4"/>
      <c r="F20" s="15"/>
    </row>
    <row r="21" spans="2:6" x14ac:dyDescent="0.3">
      <c r="B21" s="4" t="s">
        <v>89</v>
      </c>
      <c r="C21" s="4"/>
      <c r="D21" s="4" t="s">
        <v>90</v>
      </c>
      <c r="E21" s="4"/>
      <c r="F21" s="15"/>
    </row>
    <row r="22" spans="2:6" x14ac:dyDescent="0.3">
      <c r="B22" s="4" t="s">
        <v>93</v>
      </c>
      <c r="C22" s="4"/>
      <c r="D22" s="4"/>
      <c r="E22" s="4"/>
      <c r="F22" s="15"/>
    </row>
    <row r="23" spans="2:6" x14ac:dyDescent="0.3">
      <c r="B23" s="17" t="s">
        <v>94</v>
      </c>
      <c r="C23" s="4"/>
      <c r="D23" s="4" t="s">
        <v>95</v>
      </c>
      <c r="E23" s="4"/>
      <c r="F23" s="15" t="s">
        <v>96</v>
      </c>
    </row>
    <row r="24" spans="2:6" x14ac:dyDescent="0.3">
      <c r="B24" s="16" t="s">
        <v>97</v>
      </c>
      <c r="C24" s="4"/>
      <c r="D24" s="15" t="s">
        <v>98</v>
      </c>
      <c r="E24" s="4"/>
      <c r="F24" s="15" t="s">
        <v>96</v>
      </c>
    </row>
    <row r="25" spans="2:6" x14ac:dyDescent="0.3">
      <c r="B25" s="16" t="s">
        <v>99</v>
      </c>
      <c r="C25" s="4"/>
      <c r="D25" s="15" t="s">
        <v>100</v>
      </c>
      <c r="E25" s="4"/>
      <c r="F25" s="15" t="s">
        <v>96</v>
      </c>
    </row>
    <row r="26" spans="2:6" x14ac:dyDescent="0.3">
      <c r="B26" s="16" t="s">
        <v>101</v>
      </c>
      <c r="C26" s="4"/>
      <c r="D26" s="15" t="s">
        <v>102</v>
      </c>
      <c r="E26" s="4"/>
      <c r="F26" s="15" t="s">
        <v>96</v>
      </c>
    </row>
    <row r="27" spans="2:6" x14ac:dyDescent="0.3">
      <c r="B27" s="16" t="s">
        <v>103</v>
      </c>
      <c r="C27" s="4"/>
      <c r="D27" s="15" t="s">
        <v>104</v>
      </c>
      <c r="E27" s="4"/>
      <c r="F27" s="15" t="s">
        <v>96</v>
      </c>
    </row>
    <row r="28" spans="2:6" x14ac:dyDescent="0.3">
      <c r="B28" s="16" t="s">
        <v>105</v>
      </c>
      <c r="C28" s="4"/>
      <c r="D28" s="15" t="s">
        <v>106</v>
      </c>
      <c r="E28" s="4"/>
      <c r="F28" s="15" t="s">
        <v>96</v>
      </c>
    </row>
    <row r="29" spans="2:6" x14ac:dyDescent="0.3">
      <c r="B29" s="16" t="s">
        <v>107</v>
      </c>
      <c r="C29" s="4"/>
      <c r="D29" s="15" t="s">
        <v>108</v>
      </c>
      <c r="E29" s="4"/>
      <c r="F29" s="15" t="s">
        <v>96</v>
      </c>
    </row>
    <row r="30" spans="2:6" x14ac:dyDescent="0.3">
      <c r="B30" s="18" t="s">
        <v>109</v>
      </c>
      <c r="C30" s="19"/>
      <c r="D30" s="19" t="s">
        <v>110</v>
      </c>
      <c r="E30" s="19"/>
      <c r="F30" s="20" t="s">
        <v>96</v>
      </c>
    </row>
    <row r="31" spans="2:6" x14ac:dyDescent="0.3">
      <c r="B31" s="120" t="s">
        <v>134</v>
      </c>
      <c r="C31" s="120"/>
      <c r="D31" s="120"/>
      <c r="E31" s="120"/>
      <c r="F31" s="120"/>
    </row>
    <row r="32" spans="2:6" x14ac:dyDescent="0.3">
      <c r="B32" s="4" t="s">
        <v>135</v>
      </c>
      <c r="C32" s="4"/>
      <c r="D32" s="4" t="s">
        <v>136</v>
      </c>
      <c r="E32" s="4"/>
      <c r="F32" s="4"/>
    </row>
    <row r="33" spans="2:6" x14ac:dyDescent="0.3">
      <c r="B33" s="15" t="s">
        <v>55</v>
      </c>
      <c r="C33" s="15"/>
      <c r="D33" s="15" t="s">
        <v>137</v>
      </c>
      <c r="E33" s="15"/>
      <c r="F33" s="15" t="s">
        <v>58</v>
      </c>
    </row>
    <row r="34" spans="2:6" x14ac:dyDescent="0.3">
      <c r="B34" s="15" t="s">
        <v>138</v>
      </c>
      <c r="C34" s="15"/>
      <c r="D34" s="15" t="s">
        <v>139</v>
      </c>
      <c r="E34" s="15"/>
      <c r="F34" s="15" t="s">
        <v>70</v>
      </c>
    </row>
    <row r="35" spans="2:6" x14ac:dyDescent="0.3">
      <c r="B35" s="15" t="s">
        <v>65</v>
      </c>
      <c r="C35" s="15"/>
      <c r="D35" s="15" t="s">
        <v>66</v>
      </c>
      <c r="E35" s="15"/>
      <c r="F35" s="15" t="s">
        <v>67</v>
      </c>
    </row>
    <row r="36" spans="2:6" ht="16.2" x14ac:dyDescent="0.3">
      <c r="B36" s="15" t="s">
        <v>83</v>
      </c>
      <c r="C36" s="15"/>
      <c r="D36" s="15" t="s">
        <v>140</v>
      </c>
      <c r="E36" s="15"/>
      <c r="F36" s="4" t="s">
        <v>86</v>
      </c>
    </row>
    <row r="37" spans="2:6" x14ac:dyDescent="0.3">
      <c r="B37" s="15" t="s">
        <v>141</v>
      </c>
      <c r="C37" s="15"/>
      <c r="D37" s="15" t="s">
        <v>142</v>
      </c>
      <c r="E37" s="15"/>
      <c r="F37" s="15" t="s">
        <v>70</v>
      </c>
    </row>
    <row r="38" spans="2:6" x14ac:dyDescent="0.3">
      <c r="B38" s="15" t="s">
        <v>143</v>
      </c>
      <c r="C38" s="15"/>
      <c r="D38" s="15" t="s">
        <v>144</v>
      </c>
      <c r="E38" s="15"/>
      <c r="F38" s="15" t="s">
        <v>70</v>
      </c>
    </row>
    <row r="39" spans="2:6" x14ac:dyDescent="0.3">
      <c r="B39" s="15" t="s">
        <v>145</v>
      </c>
      <c r="C39" s="15"/>
      <c r="D39" s="15" t="s">
        <v>146</v>
      </c>
      <c r="E39" s="15"/>
      <c r="F39" s="15" t="s">
        <v>70</v>
      </c>
    </row>
    <row r="40" spans="2:6" x14ac:dyDescent="0.3">
      <c r="B40" s="15" t="s">
        <v>147</v>
      </c>
      <c r="C40" s="15"/>
      <c r="D40" s="15" t="s">
        <v>148</v>
      </c>
      <c r="E40" s="15"/>
      <c r="F40" s="15" t="s">
        <v>70</v>
      </c>
    </row>
    <row r="41" spans="2:6" x14ac:dyDescent="0.3">
      <c r="B41" s="15" t="s">
        <v>149</v>
      </c>
      <c r="C41" s="15"/>
      <c r="D41" s="15" t="s">
        <v>150</v>
      </c>
      <c r="E41" s="15"/>
      <c r="F41" s="15" t="s">
        <v>70</v>
      </c>
    </row>
    <row r="42" spans="2:6" x14ac:dyDescent="0.3">
      <c r="B42" s="15" t="s">
        <v>151</v>
      </c>
      <c r="C42" s="15"/>
      <c r="D42" s="15" t="s">
        <v>152</v>
      </c>
      <c r="E42" s="15"/>
      <c r="F42" s="15" t="s">
        <v>70</v>
      </c>
    </row>
    <row r="43" spans="2:6" x14ac:dyDescent="0.3">
      <c r="B43" s="15" t="s">
        <v>153</v>
      </c>
      <c r="C43" s="15"/>
      <c r="D43" s="15" t="s">
        <v>154</v>
      </c>
      <c r="E43" s="15"/>
      <c r="F43" s="15" t="s">
        <v>70</v>
      </c>
    </row>
    <row r="44" spans="2:6" x14ac:dyDescent="0.3">
      <c r="B44" s="15" t="s">
        <v>155</v>
      </c>
      <c r="C44" s="15"/>
      <c r="D44" s="15" t="s">
        <v>156</v>
      </c>
      <c r="E44" s="15"/>
      <c r="F44" s="15" t="s">
        <v>70</v>
      </c>
    </row>
    <row r="45" spans="2:6" x14ac:dyDescent="0.3">
      <c r="B45" s="106" t="s">
        <v>43</v>
      </c>
      <c r="C45" s="106"/>
      <c r="D45" s="106"/>
      <c r="E45" s="106"/>
      <c r="F45" s="106"/>
    </row>
    <row r="46" spans="2:6" x14ac:dyDescent="0.3">
      <c r="B46" s="4" t="s">
        <v>135</v>
      </c>
      <c r="C46" s="4"/>
      <c r="D46" s="4" t="s">
        <v>136</v>
      </c>
      <c r="E46" s="4"/>
      <c r="F46" s="15"/>
    </row>
    <row r="47" spans="2:6" x14ac:dyDescent="0.3">
      <c r="B47" s="15" t="s">
        <v>113</v>
      </c>
      <c r="C47" s="15"/>
      <c r="D47" s="15" t="s">
        <v>157</v>
      </c>
      <c r="E47" s="15"/>
      <c r="F47" s="15" t="s">
        <v>70</v>
      </c>
    </row>
    <row r="48" spans="2:6" x14ac:dyDescent="0.3">
      <c r="B48" s="15" t="s">
        <v>155</v>
      </c>
      <c r="C48" s="15"/>
      <c r="D48" s="15" t="s">
        <v>158</v>
      </c>
      <c r="E48" s="15"/>
      <c r="F48" s="15" t="s">
        <v>70</v>
      </c>
    </row>
    <row r="49" spans="2:6" x14ac:dyDescent="0.3">
      <c r="B49" s="15" t="s">
        <v>117</v>
      </c>
      <c r="C49" s="15"/>
      <c r="D49" s="15" t="s">
        <v>159</v>
      </c>
      <c r="E49" s="15"/>
      <c r="F49" s="15" t="s">
        <v>70</v>
      </c>
    </row>
    <row r="50" spans="2:6" x14ac:dyDescent="0.3">
      <c r="B50" s="15" t="s">
        <v>119</v>
      </c>
      <c r="C50" s="15"/>
      <c r="D50" s="15" t="s">
        <v>160</v>
      </c>
      <c r="E50" s="15"/>
      <c r="F50" s="15" t="s">
        <v>70</v>
      </c>
    </row>
    <row r="51" spans="2:6" x14ac:dyDescent="0.3">
      <c r="B51" s="15" t="s">
        <v>123</v>
      </c>
      <c r="C51" s="15"/>
      <c r="D51" s="15" t="s">
        <v>161</v>
      </c>
      <c r="E51" s="15"/>
      <c r="F51" s="15" t="s">
        <v>70</v>
      </c>
    </row>
    <row r="52" spans="2:6" x14ac:dyDescent="0.3">
      <c r="B52" s="15" t="s">
        <v>115</v>
      </c>
      <c r="C52" s="15"/>
      <c r="D52" s="15" t="s">
        <v>162</v>
      </c>
      <c r="E52" s="15"/>
      <c r="F52" s="15" t="s">
        <v>70</v>
      </c>
    </row>
    <row r="53" spans="2:6" x14ac:dyDescent="0.3">
      <c r="B53" s="15" t="s">
        <v>163</v>
      </c>
      <c r="C53" s="15"/>
      <c r="D53" s="15" t="s">
        <v>164</v>
      </c>
      <c r="E53" s="15"/>
      <c r="F53" s="15" t="s">
        <v>70</v>
      </c>
    </row>
    <row r="54" spans="2:6" x14ac:dyDescent="0.3">
      <c r="B54" s="15" t="s">
        <v>165</v>
      </c>
      <c r="C54" s="15"/>
      <c r="D54" s="15" t="s">
        <v>166</v>
      </c>
      <c r="E54" s="15"/>
      <c r="F54" s="15" t="s">
        <v>70</v>
      </c>
    </row>
    <row r="55" spans="2:6" x14ac:dyDescent="0.3">
      <c r="B55" s="15" t="s">
        <v>167</v>
      </c>
      <c r="C55" s="15"/>
      <c r="D55" s="15" t="s">
        <v>168</v>
      </c>
      <c r="E55" s="15"/>
      <c r="F55" s="15" t="s">
        <v>70</v>
      </c>
    </row>
    <row r="56" spans="2:6" x14ac:dyDescent="0.3">
      <c r="B56" s="15" t="s">
        <v>169</v>
      </c>
      <c r="C56" s="15"/>
      <c r="D56" s="15" t="s">
        <v>170</v>
      </c>
      <c r="E56" s="15"/>
      <c r="F56" s="15" t="s">
        <v>70</v>
      </c>
    </row>
  </sheetData>
  <mergeCells count="4">
    <mergeCell ref="B31:F31"/>
    <mergeCell ref="B45:F45"/>
    <mergeCell ref="B1:C1"/>
    <mergeCell ref="B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F9F47-C595-47C4-B68E-364D2B0FBB9B}">
  <sheetPr>
    <tabColor theme="9" tint="0.79998168889431442"/>
  </sheetPr>
  <dimension ref="A1:K13"/>
  <sheetViews>
    <sheetView zoomScale="68" workbookViewId="0"/>
  </sheetViews>
  <sheetFormatPr defaultRowHeight="14.4" x14ac:dyDescent="0.3"/>
  <cols>
    <col min="1" max="1" width="23.21875" style="43" customWidth="1"/>
    <col min="2" max="2" width="11.5546875" customWidth="1"/>
    <col min="3" max="3" width="54.77734375" style="42" customWidth="1"/>
    <col min="4" max="4" width="11.5546875" customWidth="1"/>
    <col min="5" max="5" width="13.77734375" customWidth="1"/>
    <col min="6" max="7" width="11.5546875" customWidth="1"/>
    <col min="8" max="8" width="19.21875" customWidth="1"/>
    <col min="9" max="9" width="77.44140625" customWidth="1"/>
    <col min="10" max="10" width="112.6640625" customWidth="1"/>
  </cols>
  <sheetData>
    <row r="1" spans="1:11" ht="43.2" x14ac:dyDescent="0.3">
      <c r="A1" s="51" t="s">
        <v>171</v>
      </c>
      <c r="B1" s="33" t="s">
        <v>51</v>
      </c>
      <c r="C1" s="33" t="s">
        <v>172</v>
      </c>
      <c r="D1" s="33" t="s">
        <v>173</v>
      </c>
      <c r="E1" s="41" t="s">
        <v>174</v>
      </c>
      <c r="F1" s="33" t="s">
        <v>175</v>
      </c>
      <c r="G1" s="53" t="s">
        <v>176</v>
      </c>
      <c r="H1" s="41" t="s">
        <v>275</v>
      </c>
      <c r="I1" s="53" t="s">
        <v>178</v>
      </c>
      <c r="J1" s="78" t="s">
        <v>284</v>
      </c>
    </row>
    <row r="2" spans="1:11" ht="28.8" x14ac:dyDescent="0.3">
      <c r="A2" s="52" t="s">
        <v>179</v>
      </c>
      <c r="B2" s="35">
        <v>1</v>
      </c>
      <c r="C2" s="42" t="s">
        <v>180</v>
      </c>
      <c r="D2" s="52" t="s">
        <v>181</v>
      </c>
      <c r="E2" s="42" t="s">
        <v>182</v>
      </c>
      <c r="F2" s="35" t="s">
        <v>183</v>
      </c>
      <c r="G2" s="74">
        <v>2368</v>
      </c>
      <c r="H2" s="79">
        <v>5.3</v>
      </c>
      <c r="I2" s="54" t="s">
        <v>184</v>
      </c>
      <c r="J2" s="79" t="s">
        <v>285</v>
      </c>
    </row>
    <row r="3" spans="1:11" ht="43.2" x14ac:dyDescent="0.3">
      <c r="A3" s="43" t="s">
        <v>185</v>
      </c>
      <c r="B3" s="35">
        <v>2</v>
      </c>
      <c r="C3" s="42" t="s">
        <v>186</v>
      </c>
      <c r="D3" s="42" t="s">
        <v>181</v>
      </c>
      <c r="E3" s="42" t="s">
        <v>187</v>
      </c>
      <c r="F3" s="31" t="s">
        <v>183</v>
      </c>
      <c r="G3" s="75">
        <v>9901</v>
      </c>
      <c r="H3" s="81">
        <v>5.4</v>
      </c>
      <c r="I3" s="54" t="s">
        <v>188</v>
      </c>
      <c r="J3" s="79" t="s">
        <v>286</v>
      </c>
      <c r="K3" s="28"/>
    </row>
    <row r="4" spans="1:11" ht="28.8" x14ac:dyDescent="0.3">
      <c r="A4" s="43" t="s">
        <v>189</v>
      </c>
      <c r="B4" s="35">
        <v>3</v>
      </c>
      <c r="C4" s="43" t="s">
        <v>190</v>
      </c>
      <c r="D4" s="42" t="s">
        <v>181</v>
      </c>
      <c r="E4" s="42" t="s">
        <v>182</v>
      </c>
      <c r="F4" s="31" t="s">
        <v>191</v>
      </c>
      <c r="G4" s="75">
        <v>5145</v>
      </c>
      <c r="H4" s="81">
        <v>9.6</v>
      </c>
      <c r="I4" s="54" t="s">
        <v>192</v>
      </c>
      <c r="J4" s="79" t="s">
        <v>287</v>
      </c>
      <c r="K4" s="28"/>
    </row>
    <row r="5" spans="1:11" ht="43.2" x14ac:dyDescent="0.3">
      <c r="A5" s="52" t="s">
        <v>194</v>
      </c>
      <c r="B5" s="35">
        <v>4</v>
      </c>
      <c r="C5" s="43" t="s">
        <v>195</v>
      </c>
      <c r="D5" s="43" t="s">
        <v>196</v>
      </c>
      <c r="E5" s="43" t="s">
        <v>197</v>
      </c>
      <c r="F5" s="35" t="s">
        <v>198</v>
      </c>
      <c r="G5" s="74">
        <v>5145</v>
      </c>
      <c r="H5" s="79">
        <v>15.6</v>
      </c>
      <c r="I5" s="54" t="s">
        <v>199</v>
      </c>
      <c r="J5" s="79" t="s">
        <v>288</v>
      </c>
      <c r="K5" s="28"/>
    </row>
    <row r="6" spans="1:11" ht="43.2" x14ac:dyDescent="0.3">
      <c r="A6" s="52" t="s">
        <v>200</v>
      </c>
      <c r="B6" s="35">
        <v>5</v>
      </c>
      <c r="C6" s="43" t="s">
        <v>201</v>
      </c>
      <c r="D6" s="43" t="s">
        <v>202</v>
      </c>
      <c r="E6" s="52" t="s">
        <v>182</v>
      </c>
      <c r="F6" s="35" t="s">
        <v>183</v>
      </c>
      <c r="G6" s="74">
        <v>11140</v>
      </c>
      <c r="H6" s="79">
        <v>4.8</v>
      </c>
      <c r="I6" s="55" t="s">
        <v>203</v>
      </c>
      <c r="J6" s="79" t="s">
        <v>289</v>
      </c>
      <c r="K6" s="44"/>
    </row>
    <row r="7" spans="1:11" ht="43.2" x14ac:dyDescent="0.3">
      <c r="A7" s="43" t="s">
        <v>204</v>
      </c>
      <c r="B7" s="35">
        <v>6</v>
      </c>
      <c r="C7" s="43" t="s">
        <v>205</v>
      </c>
      <c r="D7" s="43" t="s">
        <v>206</v>
      </c>
      <c r="E7" s="43" t="s">
        <v>182</v>
      </c>
      <c r="F7" s="32" t="s">
        <v>183</v>
      </c>
      <c r="G7" s="76">
        <v>11125</v>
      </c>
      <c r="H7" s="81" t="s">
        <v>293</v>
      </c>
      <c r="I7" s="54" t="s">
        <v>207</v>
      </c>
      <c r="J7" s="79" t="s">
        <v>290</v>
      </c>
      <c r="K7" s="28"/>
    </row>
    <row r="8" spans="1:11" ht="57.6" x14ac:dyDescent="0.3">
      <c r="A8" s="43" t="s">
        <v>208</v>
      </c>
      <c r="B8" s="35">
        <v>7</v>
      </c>
      <c r="C8" s="43" t="s">
        <v>209</v>
      </c>
      <c r="D8" s="52" t="s">
        <v>210</v>
      </c>
      <c r="E8" s="42" t="s">
        <v>193</v>
      </c>
      <c r="F8" s="31" t="s">
        <v>191</v>
      </c>
      <c r="G8" s="74">
        <v>5145</v>
      </c>
      <c r="H8" s="79">
        <v>9.4</v>
      </c>
      <c r="I8" s="54" t="s">
        <v>211</v>
      </c>
      <c r="J8" s="79" t="s">
        <v>291</v>
      </c>
      <c r="K8" s="36"/>
    </row>
    <row r="9" spans="1:11" ht="28.8" x14ac:dyDescent="0.3">
      <c r="A9" s="52" t="s">
        <v>212</v>
      </c>
      <c r="B9" s="35">
        <v>8</v>
      </c>
      <c r="C9" s="43" t="s">
        <v>213</v>
      </c>
      <c r="D9" s="43" t="s">
        <v>214</v>
      </c>
      <c r="E9" s="52" t="s">
        <v>215</v>
      </c>
      <c r="F9" s="35" t="s">
        <v>183</v>
      </c>
      <c r="G9" s="74">
        <v>4304</v>
      </c>
      <c r="H9" s="80">
        <v>2.4</v>
      </c>
      <c r="I9" s="55" t="s">
        <v>216</v>
      </c>
      <c r="J9" s="80" t="s">
        <v>292</v>
      </c>
      <c r="K9" s="45"/>
    </row>
    <row r="10" spans="1:11" x14ac:dyDescent="0.3">
      <c r="J10" s="81"/>
    </row>
    <row r="11" spans="1:11" x14ac:dyDescent="0.3">
      <c r="J11" s="32"/>
      <c r="K11" s="28"/>
    </row>
    <row r="12" spans="1:11" x14ac:dyDescent="0.3">
      <c r="A12" s="51" t="s">
        <v>276</v>
      </c>
      <c r="J12" s="35"/>
      <c r="K12" s="28"/>
    </row>
    <row r="13" spans="1:11" x14ac:dyDescent="0.3">
      <c r="A13" s="51">
        <v>1</v>
      </c>
      <c r="B13" s="43" t="s">
        <v>277</v>
      </c>
      <c r="C13" s="52"/>
      <c r="D13" s="52"/>
      <c r="E13" s="44"/>
      <c r="F13" s="44"/>
      <c r="G13" s="36"/>
      <c r="H13" s="36"/>
      <c r="I13" s="37"/>
      <c r="J13" s="36"/>
      <c r="K13" s="45"/>
    </row>
  </sheetData>
  <hyperlinks>
    <hyperlink ref="I2" r:id="rId1" display="https://pubmed.ncbi.nlm.nih.gov/19502645/" xr:uid="{2B72C4DA-8122-4933-B54E-BCF22596E09F}"/>
    <hyperlink ref="I4" r:id="rId2" location=":~:text=The%20Look%20AHEAD%20%28Action%20for%20Health%20in%20Diabetes%29,a%20significant%20reduction%20in%20cardiovascular%20morbidity%20or%20mortality." display="https://www.thelancet.com/journals/eclinm/article/PIIS2589-5370(22)00181-X/fulltext - :~:text=The%20Look%20AHEAD%20%28Action%20for%20Health%20in%20Diabetes%29,a%20significant%20reduction%20in%20cardiovascular%20morbidity%20or%20mortality." xr:uid="{7F11380A-30B4-4CE7-807D-1593F0EF915F}"/>
    <hyperlink ref="I5" r:id="rId3" xr:uid="{17B56B76-8FAB-4047-A91E-7054B4362390}"/>
    <hyperlink ref="I6" r:id="rId4" xr:uid="{CAB030AC-DCCD-4216-884F-0ACF41088F0D}"/>
    <hyperlink ref="I7" r:id="rId5" xr:uid="{7B418318-7284-44C4-8431-52538E362117}"/>
    <hyperlink ref="I8" r:id="rId6" xr:uid="{5AFDF9D5-DD3F-427B-AD98-3293E61C224E}"/>
    <hyperlink ref="I9" r:id="rId7" xr:uid="{C4583CF4-B38B-49FF-9207-1CB5CB687786}"/>
    <hyperlink ref="I3" r:id="rId8" xr:uid="{9395E93E-1208-40E1-AAF0-CB2C9C172AC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27422-8547-47DD-8C63-7FFCD01ADE42}">
  <sheetPr>
    <tabColor theme="9" tint="0.79998168889431442"/>
  </sheetPr>
  <dimension ref="A1:AL38"/>
  <sheetViews>
    <sheetView zoomScale="89" workbookViewId="0">
      <pane ySplit="1" topLeftCell="A11" activePane="bottomLeft" state="frozen"/>
      <selection pane="bottomLeft"/>
    </sheetView>
  </sheetViews>
  <sheetFormatPr defaultRowHeight="14.4" x14ac:dyDescent="0.3"/>
  <cols>
    <col min="1" max="1" width="12.44140625" style="31" customWidth="1"/>
    <col min="2" max="2" width="25" style="42" customWidth="1"/>
    <col min="3" max="4" width="10.21875" style="31" customWidth="1"/>
    <col min="5" max="32" width="12.44140625" customWidth="1"/>
    <col min="34" max="34" width="10.21875" customWidth="1"/>
  </cols>
  <sheetData>
    <row r="1" spans="1:38" ht="43.2" x14ac:dyDescent="0.3">
      <c r="A1" s="56" t="s">
        <v>51</v>
      </c>
      <c r="B1" s="65" t="s">
        <v>53</v>
      </c>
      <c r="C1" s="56" t="s">
        <v>217</v>
      </c>
      <c r="D1" s="65" t="s">
        <v>242</v>
      </c>
      <c r="E1" s="65" t="s">
        <v>279</v>
      </c>
      <c r="F1" s="68" t="s">
        <v>177</v>
      </c>
      <c r="G1" s="68" t="s">
        <v>138</v>
      </c>
      <c r="H1" s="65" t="s">
        <v>56</v>
      </c>
      <c r="I1" s="65" t="s">
        <v>59</v>
      </c>
      <c r="J1" s="65" t="s">
        <v>61</v>
      </c>
      <c r="K1" s="65" t="s">
        <v>63</v>
      </c>
      <c r="L1" s="65" t="s">
        <v>65</v>
      </c>
      <c r="M1" s="68" t="s">
        <v>71</v>
      </c>
      <c r="N1" s="65" t="s">
        <v>72</v>
      </c>
      <c r="O1" s="65" t="s">
        <v>73</v>
      </c>
      <c r="P1" s="65" t="s">
        <v>74</v>
      </c>
      <c r="Q1" s="68" t="s">
        <v>75</v>
      </c>
      <c r="R1" s="65" t="s">
        <v>76</v>
      </c>
      <c r="S1" s="68" t="s">
        <v>79</v>
      </c>
      <c r="T1" s="65" t="s">
        <v>81</v>
      </c>
      <c r="U1" s="65" t="s">
        <v>84</v>
      </c>
      <c r="V1" s="65" t="s">
        <v>87</v>
      </c>
      <c r="W1" s="65" t="s">
        <v>89</v>
      </c>
      <c r="X1" s="65" t="s">
        <v>91</v>
      </c>
      <c r="Y1" s="69" t="s">
        <v>94</v>
      </c>
      <c r="Z1" s="70" t="s">
        <v>97</v>
      </c>
      <c r="AA1" s="70" t="s">
        <v>99</v>
      </c>
      <c r="AB1" s="70" t="s">
        <v>101</v>
      </c>
      <c r="AC1" s="71" t="s">
        <v>103</v>
      </c>
      <c r="AD1" s="70" t="s">
        <v>105</v>
      </c>
      <c r="AE1" s="70" t="s">
        <v>107</v>
      </c>
      <c r="AF1" s="70" t="s">
        <v>109</v>
      </c>
      <c r="AG1" s="66" t="s">
        <v>218</v>
      </c>
      <c r="AH1" s="66" t="s">
        <v>219</v>
      </c>
      <c r="AI1" s="66" t="s">
        <v>220</v>
      </c>
      <c r="AJ1" s="66" t="s">
        <v>221</v>
      </c>
      <c r="AK1" s="66" t="s">
        <v>235</v>
      </c>
      <c r="AL1" s="66" t="s">
        <v>236</v>
      </c>
    </row>
    <row r="2" spans="1:38" ht="28.8" x14ac:dyDescent="0.3">
      <c r="A2" s="50">
        <v>1</v>
      </c>
      <c r="B2" s="64" t="s">
        <v>253</v>
      </c>
      <c r="C2" s="50">
        <v>1</v>
      </c>
      <c r="D2" s="60" t="s">
        <v>274</v>
      </c>
      <c r="E2" s="60">
        <f>VLOOKUP(A2,'Included Study Documentation'!$B$1:$H$9, 6, FALSE)</f>
        <v>2368</v>
      </c>
      <c r="F2" s="60">
        <v>5.3</v>
      </c>
      <c r="G2" s="60">
        <f>1-0.704</f>
        <v>0.29600000000000004</v>
      </c>
      <c r="H2" s="60">
        <v>34</v>
      </c>
      <c r="I2" s="60">
        <v>80</v>
      </c>
      <c r="J2" s="60">
        <v>62.4</v>
      </c>
      <c r="K2" s="60">
        <v>8.9</v>
      </c>
      <c r="L2" s="60" t="s">
        <v>183</v>
      </c>
      <c r="M2" s="60">
        <v>0</v>
      </c>
      <c r="N2" s="60">
        <v>1</v>
      </c>
      <c r="O2" s="60">
        <v>0</v>
      </c>
      <c r="P2" s="60">
        <v>1</v>
      </c>
      <c r="Q2" s="60">
        <v>1</v>
      </c>
      <c r="R2" s="60">
        <v>0</v>
      </c>
      <c r="S2" s="60">
        <v>1</v>
      </c>
      <c r="T2" s="60">
        <v>1</v>
      </c>
      <c r="U2" s="60">
        <v>19</v>
      </c>
      <c r="V2" s="60">
        <v>50</v>
      </c>
      <c r="W2" s="60">
        <v>31.3</v>
      </c>
      <c r="X2" s="60">
        <v>5.9</v>
      </c>
      <c r="Y2" s="67">
        <f>56.4/100</f>
        <v>0.56399999999999995</v>
      </c>
      <c r="Z2" s="67">
        <v>0.3</v>
      </c>
      <c r="AA2" s="67">
        <v>0.17</v>
      </c>
      <c r="AB2" s="67">
        <v>0.09</v>
      </c>
      <c r="AC2" s="67">
        <v>1</v>
      </c>
      <c r="AD2" s="67">
        <v>1</v>
      </c>
      <c r="AE2" s="67">
        <v>0.28999999999999998</v>
      </c>
      <c r="AF2" s="64"/>
      <c r="AG2" s="64">
        <v>0.91</v>
      </c>
      <c r="AH2" s="64" t="s">
        <v>238</v>
      </c>
      <c r="AI2" s="64">
        <v>0.84</v>
      </c>
      <c r="AJ2" s="64" t="s">
        <v>237</v>
      </c>
      <c r="AK2" s="60"/>
      <c r="AL2" s="60"/>
    </row>
    <row r="3" spans="1:38" ht="28.8" x14ac:dyDescent="0.3">
      <c r="A3" s="50">
        <v>1</v>
      </c>
      <c r="B3" s="64" t="s">
        <v>259</v>
      </c>
      <c r="C3" s="50">
        <v>2</v>
      </c>
      <c r="D3" s="60" t="s">
        <v>274</v>
      </c>
      <c r="E3" s="60">
        <f>VLOOKUP(A3,'Included Study Documentation'!$B$1:$H$9, 6, FALSE)</f>
        <v>2368</v>
      </c>
      <c r="F3" s="60">
        <v>5.3</v>
      </c>
      <c r="G3" s="60">
        <f t="shared" ref="G3:G5" si="0">1-0.704</f>
        <v>0.29600000000000004</v>
      </c>
      <c r="H3" s="60">
        <v>34</v>
      </c>
      <c r="I3" s="60">
        <v>80</v>
      </c>
      <c r="J3" s="60">
        <v>62.4</v>
      </c>
      <c r="K3" s="60">
        <v>8.9</v>
      </c>
      <c r="L3" s="60" t="s">
        <v>183</v>
      </c>
      <c r="M3" s="60">
        <v>0</v>
      </c>
      <c r="N3" s="60">
        <v>1</v>
      </c>
      <c r="O3" s="60">
        <v>0</v>
      </c>
      <c r="P3" s="60">
        <v>1</v>
      </c>
      <c r="Q3" s="60">
        <v>1</v>
      </c>
      <c r="R3" s="60">
        <v>0</v>
      </c>
      <c r="S3" s="60">
        <v>1</v>
      </c>
      <c r="T3" s="60">
        <v>1</v>
      </c>
      <c r="U3" s="60">
        <v>19</v>
      </c>
      <c r="V3" s="60">
        <v>50</v>
      </c>
      <c r="W3" s="60">
        <v>31.3</v>
      </c>
      <c r="X3" s="60">
        <v>5.9</v>
      </c>
      <c r="Y3" s="67">
        <f>56.4/100</f>
        <v>0.56399999999999995</v>
      </c>
      <c r="Z3" s="67">
        <v>0.3</v>
      </c>
      <c r="AA3" s="67">
        <v>0.17</v>
      </c>
      <c r="AB3" s="67">
        <v>0.09</v>
      </c>
      <c r="AC3" s="67">
        <v>1</v>
      </c>
      <c r="AD3" s="67">
        <v>1</v>
      </c>
      <c r="AE3" s="67">
        <v>0.28999999999999998</v>
      </c>
      <c r="AF3" s="64"/>
      <c r="AG3" s="64">
        <v>1.01</v>
      </c>
      <c r="AH3" s="64" t="s">
        <v>238</v>
      </c>
      <c r="AI3" s="64">
        <v>1.04</v>
      </c>
      <c r="AJ3" s="64" t="s">
        <v>237</v>
      </c>
      <c r="AK3" s="60"/>
      <c r="AL3" s="60"/>
    </row>
    <row r="4" spans="1:38" ht="28.8" x14ac:dyDescent="0.3">
      <c r="A4" s="50">
        <v>1</v>
      </c>
      <c r="B4" s="64" t="s">
        <v>255</v>
      </c>
      <c r="C4" s="50">
        <v>3</v>
      </c>
      <c r="D4" s="60" t="s">
        <v>274</v>
      </c>
      <c r="E4" s="60">
        <f>VLOOKUP(A4,'Included Study Documentation'!$B$1:$H$9, 6, FALSE)</f>
        <v>2368</v>
      </c>
      <c r="F4" s="60">
        <v>5.3</v>
      </c>
      <c r="G4" s="60">
        <f t="shared" si="0"/>
        <v>0.29600000000000004</v>
      </c>
      <c r="H4" s="60">
        <v>34</v>
      </c>
      <c r="I4" s="60">
        <v>80</v>
      </c>
      <c r="J4" s="60">
        <v>62.4</v>
      </c>
      <c r="K4" s="60">
        <v>8.9</v>
      </c>
      <c r="L4" s="60" t="s">
        <v>183</v>
      </c>
      <c r="M4" s="60">
        <v>0</v>
      </c>
      <c r="N4" s="60">
        <v>1</v>
      </c>
      <c r="O4" s="60">
        <v>0</v>
      </c>
      <c r="P4" s="60">
        <v>1</v>
      </c>
      <c r="Q4" s="60">
        <v>1</v>
      </c>
      <c r="R4" s="60">
        <v>0</v>
      </c>
      <c r="S4" s="60">
        <v>1</v>
      </c>
      <c r="T4" s="60">
        <v>1</v>
      </c>
      <c r="U4" s="60">
        <v>19</v>
      </c>
      <c r="V4" s="60">
        <v>50</v>
      </c>
      <c r="W4" s="60">
        <v>31.3</v>
      </c>
      <c r="X4" s="60">
        <v>5.9</v>
      </c>
      <c r="Y4" s="67">
        <f t="shared" ref="Y4:Y5" si="1">56.4/100</f>
        <v>0.56399999999999995</v>
      </c>
      <c r="Z4" s="67">
        <v>0.3</v>
      </c>
      <c r="AA4" s="67">
        <v>0.17</v>
      </c>
      <c r="AB4" s="67">
        <v>0.09</v>
      </c>
      <c r="AC4" s="67">
        <v>1</v>
      </c>
      <c r="AD4" s="67">
        <v>1</v>
      </c>
      <c r="AE4" s="67">
        <v>0.28999999999999998</v>
      </c>
      <c r="AF4" s="64"/>
      <c r="AG4" s="64"/>
      <c r="AH4" s="64"/>
      <c r="AI4" s="64"/>
      <c r="AJ4" s="64"/>
      <c r="AK4" s="60"/>
      <c r="AL4" s="60"/>
    </row>
    <row r="5" spans="1:38" ht="28.8" x14ac:dyDescent="0.3">
      <c r="A5" s="50">
        <v>1</v>
      </c>
      <c r="B5" s="64" t="s">
        <v>257</v>
      </c>
      <c r="C5" s="50">
        <v>4</v>
      </c>
      <c r="D5" s="60" t="s">
        <v>274</v>
      </c>
      <c r="E5" s="60">
        <f>VLOOKUP(A5,'Included Study Documentation'!$B$1:$H$9, 6, FALSE)</f>
        <v>2368</v>
      </c>
      <c r="F5" s="60">
        <v>5.3</v>
      </c>
      <c r="G5" s="60">
        <f t="shared" si="0"/>
        <v>0.29600000000000004</v>
      </c>
      <c r="H5" s="60">
        <v>34</v>
      </c>
      <c r="I5" s="60">
        <v>80</v>
      </c>
      <c r="J5" s="60">
        <v>62.4</v>
      </c>
      <c r="K5" s="60">
        <v>8.9</v>
      </c>
      <c r="L5" s="60" t="s">
        <v>183</v>
      </c>
      <c r="M5" s="60">
        <v>0</v>
      </c>
      <c r="N5" s="60">
        <v>1</v>
      </c>
      <c r="O5" s="60">
        <v>0</v>
      </c>
      <c r="P5" s="60">
        <v>1</v>
      </c>
      <c r="Q5" s="60">
        <v>1</v>
      </c>
      <c r="R5" s="60">
        <v>0</v>
      </c>
      <c r="S5" s="60">
        <v>1</v>
      </c>
      <c r="T5" s="60">
        <v>1</v>
      </c>
      <c r="U5" s="60">
        <v>19</v>
      </c>
      <c r="V5" s="60">
        <v>50</v>
      </c>
      <c r="W5" s="60">
        <v>31.3</v>
      </c>
      <c r="X5" s="60">
        <v>5.9</v>
      </c>
      <c r="Y5" s="67">
        <f t="shared" si="1"/>
        <v>0.56399999999999995</v>
      </c>
      <c r="Z5" s="67">
        <v>0.3</v>
      </c>
      <c r="AA5" s="67">
        <v>0.17</v>
      </c>
      <c r="AB5" s="67">
        <v>0.09</v>
      </c>
      <c r="AC5" s="67">
        <v>1</v>
      </c>
      <c r="AD5" s="67">
        <v>1</v>
      </c>
      <c r="AE5" s="67">
        <v>0.28999999999999998</v>
      </c>
      <c r="AF5" s="64"/>
      <c r="AG5" s="60"/>
      <c r="AH5" s="60"/>
      <c r="AI5" s="60"/>
      <c r="AJ5" s="60"/>
      <c r="AK5" s="60"/>
      <c r="AL5" s="60"/>
    </row>
    <row r="6" spans="1:38" s="31" customFormat="1" ht="25.05" customHeight="1" x14ac:dyDescent="0.3">
      <c r="A6" s="50">
        <v>2</v>
      </c>
      <c r="B6" s="60" t="s">
        <v>260</v>
      </c>
      <c r="C6" s="49">
        <v>1</v>
      </c>
      <c r="D6" s="60" t="s">
        <v>274</v>
      </c>
      <c r="E6" s="60">
        <f>VLOOKUP(A6,'Included Study Documentation'!$B$1:$H$9, 6, FALSE)</f>
        <v>9901</v>
      </c>
      <c r="F6" s="64">
        <v>5.4</v>
      </c>
      <c r="G6" s="64">
        <v>0.46300000000000002</v>
      </c>
      <c r="H6" s="64">
        <v>50</v>
      </c>
      <c r="I6" s="64">
        <v>85</v>
      </c>
      <c r="J6" s="64">
        <v>66.2</v>
      </c>
      <c r="K6" s="64">
        <v>6.5</v>
      </c>
      <c r="L6" s="64" t="s">
        <v>183</v>
      </c>
      <c r="M6" s="64">
        <v>1</v>
      </c>
      <c r="N6" s="64">
        <v>1</v>
      </c>
      <c r="O6" s="64">
        <v>1</v>
      </c>
      <c r="P6" s="64">
        <v>1</v>
      </c>
      <c r="Q6" s="64">
        <v>1</v>
      </c>
      <c r="R6" s="64">
        <v>1</v>
      </c>
      <c r="S6" s="64">
        <v>1</v>
      </c>
      <c r="T6" s="64">
        <v>1</v>
      </c>
      <c r="U6" s="64">
        <v>23</v>
      </c>
      <c r="V6" s="64">
        <v>49</v>
      </c>
      <c r="W6" s="64">
        <v>32.299999999999997</v>
      </c>
      <c r="X6" s="64">
        <v>5.8</v>
      </c>
      <c r="Y6" s="64">
        <v>0.56000000000000005</v>
      </c>
      <c r="Z6" s="64">
        <v>0.33</v>
      </c>
      <c r="AA6" s="64">
        <v>0.17</v>
      </c>
      <c r="AB6" s="64">
        <v>0.06</v>
      </c>
      <c r="AC6" s="64">
        <v>1</v>
      </c>
      <c r="AD6" s="64">
        <v>0.315</v>
      </c>
      <c r="AE6" s="64">
        <v>0.222</v>
      </c>
      <c r="AF6" s="60"/>
      <c r="AG6" s="64">
        <v>0.9</v>
      </c>
      <c r="AH6" s="64" t="s">
        <v>238</v>
      </c>
      <c r="AI6" s="64">
        <v>0.88</v>
      </c>
      <c r="AJ6" s="64" t="s">
        <v>237</v>
      </c>
      <c r="AK6" s="60"/>
      <c r="AL6" s="60"/>
    </row>
    <row r="7" spans="1:38" x14ac:dyDescent="0.3">
      <c r="A7" s="50">
        <v>2</v>
      </c>
      <c r="B7" s="60" t="s">
        <v>262</v>
      </c>
      <c r="C7" s="49">
        <v>2</v>
      </c>
      <c r="D7" s="60" t="s">
        <v>274</v>
      </c>
      <c r="E7" s="60">
        <f>VLOOKUP(A7,'Included Study Documentation'!$B$1:$H$9, 6, FALSE)</f>
        <v>9901</v>
      </c>
      <c r="F7" s="64">
        <v>5.4</v>
      </c>
      <c r="G7" s="64">
        <v>0.46300000000000002</v>
      </c>
      <c r="H7" s="64">
        <v>50</v>
      </c>
      <c r="I7" s="64">
        <v>85</v>
      </c>
      <c r="J7" s="64">
        <v>66.2</v>
      </c>
      <c r="K7" s="64">
        <v>6.5</v>
      </c>
      <c r="L7" s="64" t="s">
        <v>183</v>
      </c>
      <c r="M7" s="64">
        <v>1</v>
      </c>
      <c r="N7" s="64">
        <v>1</v>
      </c>
      <c r="O7" s="64">
        <v>1</v>
      </c>
      <c r="P7" s="64">
        <v>1</v>
      </c>
      <c r="Q7" s="64">
        <v>1</v>
      </c>
      <c r="R7" s="64">
        <v>1</v>
      </c>
      <c r="S7" s="64">
        <v>1</v>
      </c>
      <c r="T7" s="64">
        <v>1</v>
      </c>
      <c r="U7" s="64">
        <v>23</v>
      </c>
      <c r="V7" s="64">
        <v>49</v>
      </c>
      <c r="W7" s="64">
        <v>32.299999999999997</v>
      </c>
      <c r="X7" s="64">
        <v>5.8</v>
      </c>
      <c r="Y7" s="64">
        <v>0.56000000000000005</v>
      </c>
      <c r="Z7" s="64">
        <v>0.33</v>
      </c>
      <c r="AA7" s="64">
        <v>0.17</v>
      </c>
      <c r="AB7" s="64">
        <v>0.06</v>
      </c>
      <c r="AC7" s="64">
        <v>1</v>
      </c>
      <c r="AD7" s="64">
        <v>0.315</v>
      </c>
      <c r="AE7" s="64">
        <v>0.222</v>
      </c>
      <c r="AF7" s="64"/>
      <c r="AG7" s="60"/>
      <c r="AH7" s="60"/>
      <c r="AI7" s="60"/>
      <c r="AJ7" s="60"/>
      <c r="AK7" s="60"/>
      <c r="AL7" s="60"/>
    </row>
    <row r="8" spans="1:38" s="31" customFormat="1" ht="28.8" x14ac:dyDescent="0.3">
      <c r="A8" s="50">
        <v>3</v>
      </c>
      <c r="B8" s="64" t="s">
        <v>263</v>
      </c>
      <c r="C8" s="49">
        <v>1</v>
      </c>
      <c r="D8" s="64" t="s">
        <v>274</v>
      </c>
      <c r="E8" s="60">
        <f>VLOOKUP(A8,'Included Study Documentation'!$B$1:$H$9, 6, FALSE)</f>
        <v>5145</v>
      </c>
      <c r="F8" s="64">
        <v>9.6</v>
      </c>
      <c r="G8" s="64">
        <v>0.60399999999999998</v>
      </c>
      <c r="H8" s="64">
        <v>45</v>
      </c>
      <c r="I8" s="64">
        <v>75</v>
      </c>
      <c r="J8" s="64">
        <v>58.7</v>
      </c>
      <c r="K8" s="64">
        <v>6.7</v>
      </c>
      <c r="L8" s="64" t="s">
        <v>191</v>
      </c>
      <c r="M8" s="64">
        <v>0</v>
      </c>
      <c r="N8" s="64">
        <v>1</v>
      </c>
      <c r="O8" s="64">
        <v>0</v>
      </c>
      <c r="P8" s="64">
        <v>0</v>
      </c>
      <c r="Q8" s="64">
        <v>0</v>
      </c>
      <c r="R8" s="64">
        <v>0</v>
      </c>
      <c r="S8" s="64">
        <v>0</v>
      </c>
      <c r="T8" s="64">
        <v>1</v>
      </c>
      <c r="U8" s="64">
        <v>25</v>
      </c>
      <c r="V8" s="64">
        <v>50</v>
      </c>
      <c r="W8" s="64">
        <v>36</v>
      </c>
      <c r="X8" s="64">
        <v>5.9</v>
      </c>
      <c r="Y8" s="64">
        <v>1</v>
      </c>
      <c r="Z8" s="64"/>
      <c r="AA8" s="64"/>
      <c r="AB8" s="64"/>
      <c r="AC8" s="64">
        <v>1</v>
      </c>
      <c r="AD8" s="64">
        <v>0.13900000000000001</v>
      </c>
      <c r="AE8" s="64"/>
      <c r="AF8" s="64"/>
      <c r="AG8" s="64">
        <v>0.85</v>
      </c>
      <c r="AH8" s="64" t="s">
        <v>238</v>
      </c>
      <c r="AI8" s="64">
        <v>0.95</v>
      </c>
      <c r="AJ8" s="64" t="s">
        <v>237</v>
      </c>
      <c r="AK8" s="60"/>
      <c r="AL8" s="60"/>
    </row>
    <row r="9" spans="1:38" s="31" customFormat="1" ht="28.8" x14ac:dyDescent="0.3">
      <c r="A9" s="50">
        <v>3</v>
      </c>
      <c r="B9" s="64" t="s">
        <v>261</v>
      </c>
      <c r="C9" s="49">
        <v>2</v>
      </c>
      <c r="D9" s="64" t="s">
        <v>274</v>
      </c>
      <c r="E9" s="60">
        <f>VLOOKUP(A9,'Included Study Documentation'!$B$1:$H$9, 6, FALSE)</f>
        <v>5145</v>
      </c>
      <c r="F9" s="64">
        <v>9.6</v>
      </c>
      <c r="G9" s="64">
        <v>0.60399999999999998</v>
      </c>
      <c r="H9" s="64">
        <v>45</v>
      </c>
      <c r="I9" s="64">
        <v>75</v>
      </c>
      <c r="J9" s="64">
        <v>58.7</v>
      </c>
      <c r="K9" s="64">
        <v>6.7</v>
      </c>
      <c r="L9" s="64" t="s">
        <v>191</v>
      </c>
      <c r="M9" s="64">
        <v>0</v>
      </c>
      <c r="N9" s="64">
        <v>1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1</v>
      </c>
      <c r="U9" s="64">
        <v>25</v>
      </c>
      <c r="V9" s="64">
        <v>50</v>
      </c>
      <c r="W9" s="64">
        <v>36</v>
      </c>
      <c r="X9" s="64">
        <v>5.9</v>
      </c>
      <c r="Y9" s="64">
        <v>1</v>
      </c>
      <c r="Z9" s="64"/>
      <c r="AA9" s="64"/>
      <c r="AB9" s="64"/>
      <c r="AC9" s="64">
        <v>1</v>
      </c>
      <c r="AD9" s="64">
        <v>0.13900000000000001</v>
      </c>
      <c r="AE9" s="64"/>
      <c r="AF9" s="64"/>
      <c r="AG9" s="64">
        <v>1</v>
      </c>
      <c r="AH9" s="64" t="s">
        <v>238</v>
      </c>
      <c r="AI9" s="64">
        <v>1</v>
      </c>
      <c r="AJ9" s="64"/>
      <c r="AK9" s="60"/>
      <c r="AL9" s="60"/>
    </row>
    <row r="10" spans="1:38" ht="34.5" customHeight="1" x14ac:dyDescent="0.3">
      <c r="A10" s="50">
        <v>4</v>
      </c>
      <c r="B10" s="64" t="s">
        <v>222</v>
      </c>
      <c r="C10" s="49">
        <v>1</v>
      </c>
      <c r="D10" s="60" t="s">
        <v>241</v>
      </c>
      <c r="E10" s="60">
        <f>VLOOKUP(A10,'Included Study Documentation'!$B$1:$H$9, 6, FALSE)</f>
        <v>5145</v>
      </c>
      <c r="F10" s="60">
        <v>15.6</v>
      </c>
      <c r="G10" s="60">
        <v>0.64100000000000001</v>
      </c>
      <c r="H10" s="64">
        <v>45</v>
      </c>
      <c r="I10" s="64">
        <v>59</v>
      </c>
      <c r="J10" s="64">
        <v>53.9</v>
      </c>
      <c r="K10" s="64">
        <v>4.0999999999999996</v>
      </c>
      <c r="L10" s="64" t="s">
        <v>191</v>
      </c>
      <c r="M10" s="64">
        <v>0</v>
      </c>
      <c r="N10" s="64">
        <v>1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1</v>
      </c>
      <c r="U10" s="64">
        <v>25</v>
      </c>
      <c r="V10" s="64">
        <v>51</v>
      </c>
      <c r="W10" s="64">
        <v>36.6</v>
      </c>
      <c r="X10" s="64">
        <v>6.3</v>
      </c>
      <c r="Y10" s="64">
        <v>1</v>
      </c>
      <c r="Z10" s="64">
        <v>0.33</v>
      </c>
      <c r="AA10" s="64">
        <v>0.36</v>
      </c>
      <c r="AB10" s="64">
        <v>0.31</v>
      </c>
      <c r="AC10" s="64">
        <v>1</v>
      </c>
      <c r="AD10" s="64">
        <v>0.09</v>
      </c>
      <c r="AE10" s="64">
        <v>0.1</v>
      </c>
      <c r="AF10" s="64">
        <v>4.0000000000000001E-3</v>
      </c>
      <c r="AG10" s="64">
        <v>0.94</v>
      </c>
      <c r="AH10" s="64" t="s">
        <v>153</v>
      </c>
      <c r="AI10" s="60"/>
      <c r="AJ10" s="60"/>
      <c r="AK10" s="60"/>
      <c r="AL10" s="60"/>
    </row>
    <row r="11" spans="1:38" ht="28.8" x14ac:dyDescent="0.3">
      <c r="A11" s="50">
        <v>4</v>
      </c>
      <c r="B11" s="64" t="s">
        <v>223</v>
      </c>
      <c r="C11" s="49">
        <v>2</v>
      </c>
      <c r="D11" s="60" t="s">
        <v>241</v>
      </c>
      <c r="E11" s="60">
        <f>VLOOKUP(A11,'Included Study Documentation'!$B$1:$H$9, 6, FALSE)</f>
        <v>5145</v>
      </c>
      <c r="F11" s="60">
        <v>15.6</v>
      </c>
      <c r="G11" s="60">
        <v>0.64700000000000002</v>
      </c>
      <c r="H11" s="64">
        <v>45</v>
      </c>
      <c r="I11" s="64">
        <v>59</v>
      </c>
      <c r="J11" s="64">
        <v>54</v>
      </c>
      <c r="K11" s="64">
        <v>4.0999999999999996</v>
      </c>
      <c r="L11" s="64" t="s">
        <v>191</v>
      </c>
      <c r="M11" s="64">
        <v>0</v>
      </c>
      <c r="N11" s="64">
        <v>1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1</v>
      </c>
      <c r="U11" s="64">
        <v>25</v>
      </c>
      <c r="V11" s="64">
        <v>51</v>
      </c>
      <c r="W11" s="64">
        <v>36.799999999999997</v>
      </c>
      <c r="X11" s="64">
        <v>6</v>
      </c>
      <c r="Y11" s="64">
        <v>1</v>
      </c>
      <c r="Z11" s="64">
        <v>0.35</v>
      </c>
      <c r="AA11" s="64">
        <v>0.34</v>
      </c>
      <c r="AB11" s="64">
        <v>0.31</v>
      </c>
      <c r="AC11" s="64">
        <v>1</v>
      </c>
      <c r="AD11" s="64">
        <v>0.08</v>
      </c>
      <c r="AE11" s="64">
        <v>0.1</v>
      </c>
      <c r="AF11" s="64">
        <v>3.0000000000000001E-3</v>
      </c>
      <c r="AG11" s="60"/>
      <c r="AH11" s="60"/>
      <c r="AI11" s="60"/>
      <c r="AJ11" s="60"/>
      <c r="AK11" s="60"/>
      <c r="AL11" s="60"/>
    </row>
    <row r="12" spans="1:38" s="31" customFormat="1" ht="31.5" customHeight="1" x14ac:dyDescent="0.3">
      <c r="A12" s="50">
        <v>4</v>
      </c>
      <c r="B12" s="64" t="s">
        <v>224</v>
      </c>
      <c r="C12" s="49">
        <v>3</v>
      </c>
      <c r="D12" s="60" t="s">
        <v>241</v>
      </c>
      <c r="E12" s="60">
        <f>VLOOKUP(A12,'Included Study Documentation'!$B$1:$H$9, 6, FALSE)</f>
        <v>5145</v>
      </c>
      <c r="F12" s="60">
        <v>15.6</v>
      </c>
      <c r="G12" s="60">
        <v>0.53</v>
      </c>
      <c r="H12" s="64">
        <v>60</v>
      </c>
      <c r="I12" s="64">
        <v>76</v>
      </c>
      <c r="J12" s="64">
        <v>64.900000000000006</v>
      </c>
      <c r="K12" s="64">
        <v>4</v>
      </c>
      <c r="L12" s="64" t="s">
        <v>191</v>
      </c>
      <c r="M12" s="64">
        <v>0</v>
      </c>
      <c r="N12" s="64">
        <v>1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1</v>
      </c>
      <c r="U12" s="64">
        <v>25</v>
      </c>
      <c r="V12" s="64">
        <v>51</v>
      </c>
      <c r="W12" s="64">
        <v>34.9</v>
      </c>
      <c r="X12" s="64">
        <v>5.5</v>
      </c>
      <c r="Y12" s="64">
        <v>1</v>
      </c>
      <c r="Z12" s="64">
        <v>0.34</v>
      </c>
      <c r="AA12" s="64">
        <v>0.32</v>
      </c>
      <c r="AB12" s="64">
        <v>0.34</v>
      </c>
      <c r="AC12" s="64">
        <v>1</v>
      </c>
      <c r="AD12" s="64">
        <v>0.21</v>
      </c>
      <c r="AE12" s="64">
        <v>0.18</v>
      </c>
      <c r="AF12" s="64">
        <v>1.4999999999999999E-2</v>
      </c>
      <c r="AG12" s="64">
        <v>0.81</v>
      </c>
      <c r="AH12" s="64" t="s">
        <v>153</v>
      </c>
      <c r="AI12" s="60"/>
      <c r="AJ12" s="60"/>
      <c r="AK12" s="60"/>
      <c r="AL12" s="60"/>
    </row>
    <row r="13" spans="1:38" ht="28.8" x14ac:dyDescent="0.3">
      <c r="A13" s="50">
        <v>4</v>
      </c>
      <c r="B13" s="64" t="s">
        <v>225</v>
      </c>
      <c r="C13" s="49">
        <v>4</v>
      </c>
      <c r="D13" s="60" t="s">
        <v>241</v>
      </c>
      <c r="E13" s="60">
        <f>VLOOKUP(A13,'Included Study Documentation'!$B$1:$H$9, 6, FALSE)</f>
        <v>5145</v>
      </c>
      <c r="F13" s="60">
        <v>15.6</v>
      </c>
      <c r="G13" s="60">
        <v>0.53200000000000003</v>
      </c>
      <c r="H13" s="64">
        <v>60</v>
      </c>
      <c r="I13" s="64">
        <v>76</v>
      </c>
      <c r="J13" s="64">
        <v>65.2</v>
      </c>
      <c r="K13" s="64">
        <v>4</v>
      </c>
      <c r="L13" s="64" t="s">
        <v>191</v>
      </c>
      <c r="M13" s="64">
        <v>0</v>
      </c>
      <c r="N13" s="64">
        <v>1</v>
      </c>
      <c r="O13" s="64">
        <v>0</v>
      </c>
      <c r="P13" s="64">
        <v>0</v>
      </c>
      <c r="Q13" s="64">
        <v>0</v>
      </c>
      <c r="R13" s="64">
        <v>0</v>
      </c>
      <c r="S13" s="64">
        <v>0</v>
      </c>
      <c r="T13" s="64">
        <v>1</v>
      </c>
      <c r="U13" s="64">
        <v>25</v>
      </c>
      <c r="V13" s="64">
        <v>51</v>
      </c>
      <c r="W13" s="64">
        <v>34.9</v>
      </c>
      <c r="X13" s="64">
        <v>5.2</v>
      </c>
      <c r="Y13" s="64">
        <v>1</v>
      </c>
      <c r="Z13" s="64">
        <v>0.36</v>
      </c>
      <c r="AA13" s="64">
        <v>0.31</v>
      </c>
      <c r="AB13" s="64">
        <v>0.33</v>
      </c>
      <c r="AC13" s="64">
        <v>1</v>
      </c>
      <c r="AD13" s="64">
        <v>0.2</v>
      </c>
      <c r="AE13" s="64">
        <v>0.19</v>
      </c>
      <c r="AF13" s="64">
        <v>2.1000000000000001E-2</v>
      </c>
      <c r="AG13" s="60"/>
      <c r="AH13" s="60"/>
      <c r="AI13" s="60"/>
      <c r="AJ13" s="60"/>
      <c r="AK13" s="60"/>
      <c r="AL13" s="60"/>
    </row>
    <row r="14" spans="1:38" x14ac:dyDescent="0.3">
      <c r="A14" s="50">
        <v>5</v>
      </c>
      <c r="B14" s="64" t="s">
        <v>226</v>
      </c>
      <c r="C14" s="49">
        <v>1</v>
      </c>
      <c r="D14" s="60" t="s">
        <v>241</v>
      </c>
      <c r="E14" s="60">
        <f>VLOOKUP(A14,'Included Study Documentation'!$B$1:$H$9, 6, FALSE)</f>
        <v>11140</v>
      </c>
      <c r="F14" s="64">
        <v>4.8</v>
      </c>
      <c r="G14" s="64">
        <v>0.42499999999999999</v>
      </c>
      <c r="H14" s="64">
        <v>30</v>
      </c>
      <c r="I14" s="64">
        <v>85</v>
      </c>
      <c r="J14" s="64">
        <v>65.8</v>
      </c>
      <c r="K14" s="64">
        <v>6.4</v>
      </c>
      <c r="L14" s="64" t="s">
        <v>183</v>
      </c>
      <c r="M14" s="64">
        <v>1</v>
      </c>
      <c r="N14" s="64">
        <v>1</v>
      </c>
      <c r="O14" s="64">
        <v>1</v>
      </c>
      <c r="P14" s="64">
        <v>1</v>
      </c>
      <c r="Q14" s="64">
        <v>1</v>
      </c>
      <c r="R14" s="64">
        <v>1</v>
      </c>
      <c r="S14" s="64">
        <v>1</v>
      </c>
      <c r="T14" s="64">
        <v>1</v>
      </c>
      <c r="U14" s="64">
        <v>18</v>
      </c>
      <c r="V14" s="64">
        <v>45</v>
      </c>
      <c r="W14" s="64">
        <v>28</v>
      </c>
      <c r="X14" s="64">
        <v>5</v>
      </c>
      <c r="Y14" s="64"/>
      <c r="Z14" s="64"/>
      <c r="AA14" s="64"/>
      <c r="AB14" s="64"/>
      <c r="AC14" s="64">
        <v>1</v>
      </c>
      <c r="AD14" s="64">
        <v>0.32</v>
      </c>
      <c r="AE14" s="64"/>
      <c r="AF14" s="64"/>
      <c r="AG14" s="60"/>
      <c r="AH14" s="60"/>
      <c r="AI14" s="60"/>
      <c r="AJ14" s="60"/>
      <c r="AK14" s="60"/>
      <c r="AL14" s="60"/>
    </row>
    <row r="15" spans="1:38" x14ac:dyDescent="0.3">
      <c r="A15" s="50">
        <v>6</v>
      </c>
      <c r="B15" s="64" t="s">
        <v>258</v>
      </c>
      <c r="C15" s="49">
        <v>1</v>
      </c>
      <c r="D15" s="60" t="s">
        <v>241</v>
      </c>
      <c r="E15" s="60">
        <f>VLOOKUP(A15,'Included Study Documentation'!$B$1:$H$9, 6, FALSE)</f>
        <v>11125</v>
      </c>
      <c r="F15" s="64">
        <v>9</v>
      </c>
      <c r="G15" s="64">
        <v>0.42</v>
      </c>
      <c r="H15" s="64">
        <v>55</v>
      </c>
      <c r="I15" s="64">
        <v>80</v>
      </c>
      <c r="J15" s="64">
        <v>66</v>
      </c>
      <c r="K15" s="64">
        <v>6</v>
      </c>
      <c r="L15" s="64" t="s">
        <v>183</v>
      </c>
      <c r="M15" s="64">
        <v>0</v>
      </c>
      <c r="N15" s="64">
        <v>1</v>
      </c>
      <c r="O15" s="64">
        <v>0</v>
      </c>
      <c r="P15" s="64">
        <v>1</v>
      </c>
      <c r="Q15" s="64">
        <v>1</v>
      </c>
      <c r="R15" s="64">
        <v>0</v>
      </c>
      <c r="S15" s="64">
        <v>1</v>
      </c>
      <c r="T15" s="64">
        <v>1</v>
      </c>
      <c r="U15" s="64">
        <v>19</v>
      </c>
      <c r="V15" s="64">
        <v>50</v>
      </c>
      <c r="W15" s="64">
        <v>31.3</v>
      </c>
      <c r="X15" s="64">
        <v>5.9</v>
      </c>
      <c r="Y15" s="64">
        <v>0.56000000000000005</v>
      </c>
      <c r="Z15" s="64">
        <v>0.3</v>
      </c>
      <c r="AA15" s="64">
        <v>0.17</v>
      </c>
      <c r="AB15" s="64">
        <v>0.09</v>
      </c>
      <c r="AC15" s="64">
        <v>1</v>
      </c>
      <c r="AD15" s="64">
        <v>0.32</v>
      </c>
      <c r="AE15" s="64">
        <v>0.28999999999999998</v>
      </c>
      <c r="AF15" s="60"/>
      <c r="AG15" s="60"/>
      <c r="AH15" s="60"/>
      <c r="AI15" s="60"/>
      <c r="AJ15" s="60"/>
      <c r="AK15" s="60"/>
      <c r="AL15" s="60"/>
    </row>
    <row r="16" spans="1:38" ht="28.95" customHeight="1" x14ac:dyDescent="0.3">
      <c r="A16" s="50">
        <v>7</v>
      </c>
      <c r="B16" s="64" t="s">
        <v>264</v>
      </c>
      <c r="C16" s="49">
        <v>1</v>
      </c>
      <c r="D16" s="60" t="s">
        <v>241</v>
      </c>
      <c r="E16" s="60">
        <f>VLOOKUP(A16,'Included Study Documentation'!$B$1:$H$9, 6, FALSE)</f>
        <v>5145</v>
      </c>
      <c r="F16" s="64">
        <v>9.4</v>
      </c>
      <c r="G16" s="64">
        <v>0.56999999999999995</v>
      </c>
      <c r="H16" s="64">
        <v>45</v>
      </c>
      <c r="I16" s="64">
        <v>76</v>
      </c>
      <c r="J16" s="64">
        <v>62.1</v>
      </c>
      <c r="K16" s="64">
        <v>5.7</v>
      </c>
      <c r="L16" s="64" t="s">
        <v>191</v>
      </c>
      <c r="M16" s="64">
        <v>0</v>
      </c>
      <c r="N16" s="64">
        <v>1</v>
      </c>
      <c r="O16" s="64">
        <v>0</v>
      </c>
      <c r="P16" s="64">
        <v>0</v>
      </c>
      <c r="Q16" s="64">
        <v>0</v>
      </c>
      <c r="R16" s="64">
        <v>0</v>
      </c>
      <c r="S16" s="64">
        <v>0</v>
      </c>
      <c r="T16" s="64">
        <v>1</v>
      </c>
      <c r="U16" s="64">
        <v>25</v>
      </c>
      <c r="V16" s="64">
        <v>40</v>
      </c>
      <c r="W16" s="64">
        <v>33</v>
      </c>
      <c r="X16" s="64">
        <v>3.5</v>
      </c>
      <c r="Y16" s="64">
        <v>1</v>
      </c>
      <c r="Z16" s="64">
        <v>1</v>
      </c>
      <c r="AA16" s="64">
        <v>0.15</v>
      </c>
      <c r="AB16" s="64"/>
      <c r="AC16" s="64">
        <v>1</v>
      </c>
      <c r="AD16" s="60"/>
      <c r="AE16" s="60"/>
      <c r="AF16" s="60"/>
      <c r="AG16" s="60">
        <v>0.9</v>
      </c>
      <c r="AH16" s="64" t="s">
        <v>278</v>
      </c>
      <c r="AI16" s="60"/>
      <c r="AJ16" s="60"/>
      <c r="AK16" s="60"/>
      <c r="AL16" s="60"/>
    </row>
    <row r="17" spans="1:38" x14ac:dyDescent="0.3">
      <c r="A17" s="50">
        <v>7</v>
      </c>
      <c r="B17" s="64" t="s">
        <v>265</v>
      </c>
      <c r="C17" s="49">
        <v>2</v>
      </c>
      <c r="D17" s="60" t="s">
        <v>241</v>
      </c>
      <c r="E17" s="60">
        <f>VLOOKUP(A17,'Included Study Documentation'!$B$1:$H$9, 6, FALSE)</f>
        <v>5145</v>
      </c>
      <c r="F17" s="64">
        <v>9.4</v>
      </c>
      <c r="G17" s="64">
        <v>0.59</v>
      </c>
      <c r="H17" s="64">
        <v>45</v>
      </c>
      <c r="I17" s="64">
        <v>76</v>
      </c>
      <c r="J17" s="64">
        <v>57</v>
      </c>
      <c r="K17" s="64">
        <v>6.2</v>
      </c>
      <c r="L17" s="64" t="s">
        <v>191</v>
      </c>
      <c r="M17" s="64">
        <v>0</v>
      </c>
      <c r="N17" s="64">
        <v>1</v>
      </c>
      <c r="O17" s="64">
        <v>0</v>
      </c>
      <c r="P17" s="64">
        <v>0</v>
      </c>
      <c r="Q17" s="64">
        <v>0</v>
      </c>
      <c r="R17" s="64">
        <v>0</v>
      </c>
      <c r="S17" s="64">
        <v>0</v>
      </c>
      <c r="T17" s="64">
        <v>1</v>
      </c>
      <c r="U17" s="64">
        <v>30</v>
      </c>
      <c r="V17" s="64">
        <v>45</v>
      </c>
      <c r="W17" s="64">
        <v>35.700000000000003</v>
      </c>
      <c r="X17" s="64">
        <v>4.4000000000000004</v>
      </c>
      <c r="Y17" s="64">
        <v>1</v>
      </c>
      <c r="Z17" s="64">
        <v>1</v>
      </c>
      <c r="AA17" s="64">
        <v>0.14000000000000001</v>
      </c>
      <c r="AB17" s="64"/>
      <c r="AC17" s="64">
        <v>1</v>
      </c>
      <c r="AD17" s="60"/>
      <c r="AE17" s="60"/>
      <c r="AF17" s="60"/>
      <c r="AG17" s="60">
        <v>1.85</v>
      </c>
      <c r="AH17" s="64" t="s">
        <v>278</v>
      </c>
      <c r="AI17" s="60"/>
      <c r="AJ17" s="60"/>
      <c r="AK17" s="60"/>
      <c r="AL17" s="60"/>
    </row>
    <row r="18" spans="1:38" x14ac:dyDescent="0.3">
      <c r="A18" s="50">
        <v>7</v>
      </c>
      <c r="B18" s="64" t="s">
        <v>266</v>
      </c>
      <c r="C18" s="49">
        <v>3</v>
      </c>
      <c r="D18" s="60" t="s">
        <v>241</v>
      </c>
      <c r="E18" s="60">
        <f>VLOOKUP(A18,'Included Study Documentation'!$B$1:$H$9, 6, FALSE)</f>
        <v>5145</v>
      </c>
      <c r="F18" s="64">
        <v>9.4</v>
      </c>
      <c r="G18" s="64">
        <v>0.61</v>
      </c>
      <c r="H18" s="64">
        <v>45</v>
      </c>
      <c r="I18" s="64">
        <v>76</v>
      </c>
      <c r="J18" s="64">
        <v>57.2</v>
      </c>
      <c r="K18" s="64">
        <v>6.4</v>
      </c>
      <c r="L18" s="64" t="s">
        <v>191</v>
      </c>
      <c r="M18" s="64">
        <v>0</v>
      </c>
      <c r="N18" s="64">
        <v>1</v>
      </c>
      <c r="O18" s="64">
        <v>0</v>
      </c>
      <c r="P18" s="64">
        <v>0</v>
      </c>
      <c r="Q18" s="64">
        <v>0</v>
      </c>
      <c r="R18" s="64">
        <v>0</v>
      </c>
      <c r="S18" s="64">
        <v>0</v>
      </c>
      <c r="T18" s="64">
        <v>1</v>
      </c>
      <c r="U18" s="64">
        <v>40</v>
      </c>
      <c r="V18" s="64">
        <v>55</v>
      </c>
      <c r="W18" s="64">
        <v>43.6</v>
      </c>
      <c r="X18" s="64">
        <v>4.5999999999999996</v>
      </c>
      <c r="Y18" s="64">
        <v>1</v>
      </c>
      <c r="Z18" s="64">
        <v>1</v>
      </c>
      <c r="AA18" s="64">
        <v>0.12</v>
      </c>
      <c r="AB18" s="64"/>
      <c r="AC18" s="64">
        <v>1</v>
      </c>
      <c r="AD18" s="60"/>
      <c r="AE18" s="60"/>
      <c r="AF18" s="60"/>
      <c r="AG18" s="60">
        <v>0.78</v>
      </c>
      <c r="AH18" s="64" t="s">
        <v>278</v>
      </c>
      <c r="AI18" s="60"/>
      <c r="AJ18" s="60"/>
      <c r="AK18" s="60"/>
      <c r="AL18" s="60"/>
    </row>
    <row r="19" spans="1:38" x14ac:dyDescent="0.3">
      <c r="A19" s="50">
        <v>7</v>
      </c>
      <c r="B19" s="64" t="s">
        <v>267</v>
      </c>
      <c r="C19" s="49">
        <v>4</v>
      </c>
      <c r="D19" s="60" t="s">
        <v>241</v>
      </c>
      <c r="E19" s="60">
        <f>VLOOKUP(A19,'Included Study Documentation'!$B$1:$H$9, 6, FALSE)</f>
        <v>5145</v>
      </c>
      <c r="F19" s="64">
        <v>9.4</v>
      </c>
      <c r="G19" s="64">
        <v>0.64</v>
      </c>
      <c r="H19" s="64">
        <v>45</v>
      </c>
      <c r="I19" s="64">
        <v>76</v>
      </c>
      <c r="J19" s="64">
        <v>54.5</v>
      </c>
      <c r="K19" s="64">
        <v>6.4</v>
      </c>
      <c r="L19" s="64" t="s">
        <v>191</v>
      </c>
      <c r="M19" s="64">
        <v>0</v>
      </c>
      <c r="N19" s="64">
        <v>1</v>
      </c>
      <c r="O19" s="64">
        <v>0</v>
      </c>
      <c r="P19" s="64">
        <v>0</v>
      </c>
      <c r="Q19" s="64">
        <v>0</v>
      </c>
      <c r="R19" s="64">
        <v>0</v>
      </c>
      <c r="S19" s="64">
        <v>0</v>
      </c>
      <c r="T19" s="64">
        <v>1</v>
      </c>
      <c r="U19" s="64">
        <v>27</v>
      </c>
      <c r="V19" s="64">
        <v>40</v>
      </c>
      <c r="W19" s="64">
        <v>33.299999999999997</v>
      </c>
      <c r="X19" s="64">
        <v>3.7</v>
      </c>
      <c r="Y19" s="64">
        <v>1</v>
      </c>
      <c r="Z19" s="64">
        <v>1</v>
      </c>
      <c r="AA19" s="64">
        <v>0.13</v>
      </c>
      <c r="AB19" s="64"/>
      <c r="AC19" s="64">
        <v>1</v>
      </c>
      <c r="AD19" s="60"/>
      <c r="AE19" s="60"/>
      <c r="AF19" s="60"/>
      <c r="AG19" s="60">
        <v>0.82</v>
      </c>
      <c r="AH19" s="64" t="s">
        <v>278</v>
      </c>
      <c r="AI19" s="60"/>
      <c r="AJ19" s="60"/>
      <c r="AK19" s="60"/>
      <c r="AL19" s="60"/>
    </row>
    <row r="20" spans="1:38" ht="28.8" x14ac:dyDescent="0.3">
      <c r="A20" s="50">
        <v>7</v>
      </c>
      <c r="B20" s="64" t="s">
        <v>268</v>
      </c>
      <c r="C20" s="49">
        <v>5</v>
      </c>
      <c r="D20" s="60" t="s">
        <v>241</v>
      </c>
      <c r="E20" s="60">
        <f>VLOOKUP(A20,'Included Study Documentation'!$B$1:$H$9, 6, FALSE)</f>
        <v>5145</v>
      </c>
      <c r="F20" s="64">
        <v>9.4</v>
      </c>
      <c r="G20" s="64">
        <v>0.56999999999999995</v>
      </c>
      <c r="H20" s="64">
        <v>45</v>
      </c>
      <c r="I20" s="64">
        <v>76</v>
      </c>
      <c r="J20" s="64">
        <v>62.1</v>
      </c>
      <c r="K20" s="64">
        <v>5.7</v>
      </c>
      <c r="L20" s="64" t="s">
        <v>191</v>
      </c>
      <c r="M20" s="64">
        <v>0</v>
      </c>
      <c r="N20" s="64">
        <v>1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1</v>
      </c>
      <c r="U20" s="64">
        <v>25</v>
      </c>
      <c r="V20" s="64">
        <v>40</v>
      </c>
      <c r="W20" s="64">
        <v>33</v>
      </c>
      <c r="X20" s="64">
        <v>3.5</v>
      </c>
      <c r="Y20" s="64">
        <v>1</v>
      </c>
      <c r="Z20" s="64">
        <v>1</v>
      </c>
      <c r="AA20" s="64">
        <v>0.15</v>
      </c>
      <c r="AB20" s="64"/>
      <c r="AC20" s="64">
        <v>1</v>
      </c>
      <c r="AD20" s="60"/>
      <c r="AE20" s="60"/>
      <c r="AF20" s="60"/>
      <c r="AG20" s="60"/>
      <c r="AH20" s="60"/>
      <c r="AI20" s="60"/>
      <c r="AJ20" s="60"/>
      <c r="AK20" s="60"/>
      <c r="AL20" s="60"/>
    </row>
    <row r="21" spans="1:38" x14ac:dyDescent="0.3">
      <c r="A21" s="50">
        <v>7</v>
      </c>
      <c r="B21" s="64" t="s">
        <v>269</v>
      </c>
      <c r="C21" s="49">
        <v>6</v>
      </c>
      <c r="D21" s="60" t="s">
        <v>241</v>
      </c>
      <c r="E21" s="60">
        <f>VLOOKUP(A21,'Included Study Documentation'!$B$1:$H$9, 6, FALSE)</f>
        <v>5145</v>
      </c>
      <c r="F21" s="64">
        <v>9.4</v>
      </c>
      <c r="G21" s="64">
        <v>0.59</v>
      </c>
      <c r="H21" s="64">
        <v>45</v>
      </c>
      <c r="I21" s="64">
        <v>76</v>
      </c>
      <c r="J21" s="64">
        <v>57</v>
      </c>
      <c r="K21" s="64">
        <v>6.2</v>
      </c>
      <c r="L21" s="64" t="s">
        <v>191</v>
      </c>
      <c r="M21" s="64">
        <v>0</v>
      </c>
      <c r="N21" s="64">
        <v>1</v>
      </c>
      <c r="O21" s="64">
        <v>0</v>
      </c>
      <c r="P21" s="64">
        <v>0</v>
      </c>
      <c r="Q21" s="64">
        <v>0</v>
      </c>
      <c r="R21" s="64">
        <v>0</v>
      </c>
      <c r="S21" s="64">
        <v>0</v>
      </c>
      <c r="T21" s="64">
        <v>1</v>
      </c>
      <c r="U21" s="64">
        <v>30</v>
      </c>
      <c r="V21" s="64">
        <v>45</v>
      </c>
      <c r="W21" s="64">
        <v>35.700000000000003</v>
      </c>
      <c r="X21" s="64">
        <v>4.4000000000000004</v>
      </c>
      <c r="Y21" s="64">
        <v>1</v>
      </c>
      <c r="Z21" s="64">
        <v>1</v>
      </c>
      <c r="AA21" s="64">
        <v>0.14000000000000001</v>
      </c>
      <c r="AB21" s="64"/>
      <c r="AC21" s="64">
        <v>1</v>
      </c>
      <c r="AD21" s="60"/>
      <c r="AE21" s="60"/>
      <c r="AF21" s="60"/>
      <c r="AG21" s="60"/>
      <c r="AH21" s="60"/>
      <c r="AI21" s="60"/>
      <c r="AJ21" s="60"/>
      <c r="AK21" s="60"/>
      <c r="AL21" s="60"/>
    </row>
    <row r="22" spans="1:38" x14ac:dyDescent="0.3">
      <c r="A22" s="50">
        <v>7</v>
      </c>
      <c r="B22" s="64" t="s">
        <v>250</v>
      </c>
      <c r="C22" s="49">
        <v>7</v>
      </c>
      <c r="D22" s="60" t="s">
        <v>241</v>
      </c>
      <c r="E22" s="60">
        <f>VLOOKUP(A22,'Included Study Documentation'!$B$1:$H$9, 6, FALSE)</f>
        <v>5145</v>
      </c>
      <c r="F22" s="64">
        <v>9.4</v>
      </c>
      <c r="G22" s="64">
        <v>0.61</v>
      </c>
      <c r="H22" s="64">
        <v>45</v>
      </c>
      <c r="I22" s="64">
        <v>76</v>
      </c>
      <c r="J22" s="64">
        <v>57.2</v>
      </c>
      <c r="K22" s="64">
        <v>6.4</v>
      </c>
      <c r="L22" s="64" t="s">
        <v>191</v>
      </c>
      <c r="M22" s="64">
        <v>0</v>
      </c>
      <c r="N22" s="64">
        <v>1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1</v>
      </c>
      <c r="U22" s="64">
        <v>40</v>
      </c>
      <c r="V22" s="64">
        <v>55</v>
      </c>
      <c r="W22" s="64">
        <v>43.6</v>
      </c>
      <c r="X22" s="64">
        <v>4.5999999999999996</v>
      </c>
      <c r="Y22" s="64">
        <v>1</v>
      </c>
      <c r="Z22" s="64">
        <v>1</v>
      </c>
      <c r="AA22" s="64">
        <v>0.12</v>
      </c>
      <c r="AB22" s="64"/>
      <c r="AC22" s="64">
        <v>1</v>
      </c>
      <c r="AD22" s="60"/>
      <c r="AE22" s="60"/>
      <c r="AF22" s="60"/>
      <c r="AG22" s="60"/>
      <c r="AH22" s="60"/>
      <c r="AI22" s="60"/>
      <c r="AJ22" s="60"/>
      <c r="AK22" s="60"/>
      <c r="AL22" s="60"/>
    </row>
    <row r="23" spans="1:38" s="31" customFormat="1" x14ac:dyDescent="0.3">
      <c r="A23" s="50">
        <v>7</v>
      </c>
      <c r="B23" s="64" t="s">
        <v>270</v>
      </c>
      <c r="C23" s="49">
        <v>8</v>
      </c>
      <c r="D23" s="60" t="s">
        <v>241</v>
      </c>
      <c r="E23" s="60">
        <f>VLOOKUP(A23,'Included Study Documentation'!$B$1:$H$9, 6, FALSE)</f>
        <v>5145</v>
      </c>
      <c r="F23" s="64">
        <v>9.4</v>
      </c>
      <c r="G23" s="64">
        <v>0.64</v>
      </c>
      <c r="H23" s="64">
        <v>45</v>
      </c>
      <c r="I23" s="64">
        <v>76</v>
      </c>
      <c r="J23" s="64">
        <v>54.5</v>
      </c>
      <c r="K23" s="64">
        <v>6.4</v>
      </c>
      <c r="L23" s="64" t="s">
        <v>191</v>
      </c>
      <c r="M23" s="64">
        <v>0</v>
      </c>
      <c r="N23" s="64">
        <v>1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1</v>
      </c>
      <c r="U23" s="64">
        <v>27</v>
      </c>
      <c r="V23" s="64">
        <v>40</v>
      </c>
      <c r="W23" s="64">
        <v>33.299999999999997</v>
      </c>
      <c r="X23" s="64">
        <v>3.7</v>
      </c>
      <c r="Y23" s="64">
        <v>1</v>
      </c>
      <c r="Z23" s="64">
        <v>1</v>
      </c>
      <c r="AA23" s="64">
        <v>0.13</v>
      </c>
      <c r="AB23" s="64"/>
      <c r="AC23" s="64">
        <v>1</v>
      </c>
      <c r="AD23" s="64"/>
      <c r="AE23" s="64"/>
      <c r="AF23" s="64"/>
      <c r="AG23" s="60"/>
      <c r="AH23" s="60"/>
      <c r="AI23" s="60"/>
      <c r="AJ23" s="60"/>
      <c r="AK23" s="60"/>
      <c r="AL23" s="60"/>
    </row>
    <row r="24" spans="1:38" ht="28.8" x14ac:dyDescent="0.3">
      <c r="A24" s="50">
        <v>8</v>
      </c>
      <c r="B24" s="64" t="s">
        <v>227</v>
      </c>
      <c r="C24" s="49">
        <v>1</v>
      </c>
      <c r="D24" s="60" t="s">
        <v>241</v>
      </c>
      <c r="E24" s="60">
        <f>VLOOKUP(A24,'Included Study Documentation'!$B$1:$H$9, 6, FALSE)</f>
        <v>4304</v>
      </c>
      <c r="F24" s="64">
        <v>2.4</v>
      </c>
      <c r="G24" s="64">
        <v>0.38400000000000001</v>
      </c>
      <c r="H24" s="64">
        <v>18</v>
      </c>
      <c r="I24" s="64">
        <v>25</v>
      </c>
      <c r="J24" s="64">
        <v>58.6</v>
      </c>
      <c r="K24" s="64">
        <v>14.4</v>
      </c>
      <c r="L24" s="64" t="s">
        <v>183</v>
      </c>
      <c r="M24" s="64">
        <v>1</v>
      </c>
      <c r="N24" s="64">
        <v>1</v>
      </c>
      <c r="O24" s="64">
        <v>0</v>
      </c>
      <c r="P24" s="64">
        <v>1</v>
      </c>
      <c r="Q24" s="64">
        <v>0</v>
      </c>
      <c r="R24" s="64">
        <v>1</v>
      </c>
      <c r="S24" s="64">
        <v>1</v>
      </c>
      <c r="T24" s="64">
        <v>1</v>
      </c>
      <c r="U24" s="64">
        <v>18</v>
      </c>
      <c r="V24" s="64">
        <v>24.9</v>
      </c>
      <c r="W24" s="64">
        <v>22.2</v>
      </c>
      <c r="X24" s="64">
        <v>1.7</v>
      </c>
      <c r="Y24" s="64">
        <v>0</v>
      </c>
      <c r="Z24" s="64">
        <v>0</v>
      </c>
      <c r="AA24" s="64">
        <v>0</v>
      </c>
      <c r="AB24" s="64">
        <v>0</v>
      </c>
      <c r="AC24" s="64">
        <v>0.56000000000000005</v>
      </c>
      <c r="AD24" s="64">
        <v>0.28000000000000003</v>
      </c>
      <c r="AE24" s="64">
        <v>1</v>
      </c>
      <c r="AF24" s="64">
        <v>0.03</v>
      </c>
      <c r="AG24" s="60">
        <v>0.55000000000000004</v>
      </c>
      <c r="AH24" s="60" t="s">
        <v>155</v>
      </c>
      <c r="AI24" s="60">
        <v>0.88</v>
      </c>
      <c r="AJ24" s="60" t="s">
        <v>151</v>
      </c>
      <c r="AK24" s="60">
        <v>0.78</v>
      </c>
      <c r="AL24" s="64" t="s">
        <v>238</v>
      </c>
    </row>
    <row r="25" spans="1:38" ht="14.55" customHeight="1" x14ac:dyDescent="0.3">
      <c r="A25" s="50">
        <v>8</v>
      </c>
      <c r="B25" s="64" t="s">
        <v>228</v>
      </c>
      <c r="C25" s="49">
        <v>2</v>
      </c>
      <c r="D25" s="60" t="s">
        <v>241</v>
      </c>
      <c r="E25" s="60">
        <f>VLOOKUP(A25,'Included Study Documentation'!$B$1:$H$9, 6, FALSE)</f>
        <v>4304</v>
      </c>
      <c r="F25" s="64">
        <v>2.4</v>
      </c>
      <c r="G25" s="64">
        <v>0.27700000000000002</v>
      </c>
      <c r="H25" s="64">
        <v>25</v>
      </c>
      <c r="I25" s="64">
        <v>30</v>
      </c>
      <c r="J25" s="64">
        <v>62.5</v>
      </c>
      <c r="K25" s="64">
        <v>12</v>
      </c>
      <c r="L25" s="64" t="s">
        <v>183</v>
      </c>
      <c r="M25" s="64">
        <v>1</v>
      </c>
      <c r="N25" s="64">
        <v>1</v>
      </c>
      <c r="O25" s="64">
        <v>0</v>
      </c>
      <c r="P25" s="64">
        <v>1</v>
      </c>
      <c r="Q25" s="64">
        <v>0</v>
      </c>
      <c r="R25" s="64">
        <v>1</v>
      </c>
      <c r="S25" s="64">
        <v>1</v>
      </c>
      <c r="T25" s="64">
        <v>1</v>
      </c>
      <c r="U25" s="64">
        <v>25</v>
      </c>
      <c r="V25" s="64">
        <v>29.9</v>
      </c>
      <c r="W25" s="64">
        <v>27</v>
      </c>
      <c r="X25" s="64">
        <v>1.4</v>
      </c>
      <c r="Y25" s="64">
        <v>0</v>
      </c>
      <c r="Z25" s="64"/>
      <c r="AA25" s="64"/>
      <c r="AB25" s="64"/>
      <c r="AC25" s="64">
        <v>0.64</v>
      </c>
      <c r="AD25" s="64">
        <v>0.33</v>
      </c>
      <c r="AE25" s="64">
        <v>1</v>
      </c>
      <c r="AF25" s="64">
        <v>0.04</v>
      </c>
      <c r="AG25" s="60">
        <v>0.54</v>
      </c>
      <c r="AH25" s="60" t="s">
        <v>155</v>
      </c>
      <c r="AI25" s="60">
        <v>0.72</v>
      </c>
      <c r="AJ25" s="60" t="s">
        <v>151</v>
      </c>
      <c r="AK25" s="60">
        <v>0.51</v>
      </c>
      <c r="AL25" s="64" t="s">
        <v>238</v>
      </c>
    </row>
    <row r="26" spans="1:38" ht="28.8" x14ac:dyDescent="0.3">
      <c r="A26" s="50">
        <v>8</v>
      </c>
      <c r="B26" s="64" t="s">
        <v>229</v>
      </c>
      <c r="C26" s="49">
        <v>3</v>
      </c>
      <c r="D26" s="60" t="s">
        <v>241</v>
      </c>
      <c r="E26" s="60">
        <f>VLOOKUP(A26,'Included Study Documentation'!$B$1:$H$9, 6, FALSE)</f>
        <v>4304</v>
      </c>
      <c r="F26" s="64">
        <v>2.4</v>
      </c>
      <c r="G26" s="64">
        <v>0.32800000000000001</v>
      </c>
      <c r="H26" s="64">
        <v>30</v>
      </c>
      <c r="I26" s="64">
        <v>35</v>
      </c>
      <c r="J26" s="64">
        <v>63</v>
      </c>
      <c r="K26" s="64">
        <v>10.8</v>
      </c>
      <c r="L26" s="64" t="s">
        <v>183</v>
      </c>
      <c r="M26" s="64">
        <v>1</v>
      </c>
      <c r="N26" s="64">
        <v>1</v>
      </c>
      <c r="O26" s="64">
        <v>0</v>
      </c>
      <c r="P26" s="64">
        <v>1</v>
      </c>
      <c r="Q26" s="64">
        <v>0</v>
      </c>
      <c r="R26" s="64">
        <v>1</v>
      </c>
      <c r="S26" s="64">
        <v>1</v>
      </c>
      <c r="T26" s="64">
        <v>1</v>
      </c>
      <c r="U26" s="64">
        <v>30</v>
      </c>
      <c r="V26" s="64">
        <v>34.9</v>
      </c>
      <c r="W26" s="64">
        <v>31.7</v>
      </c>
      <c r="X26" s="64">
        <v>1.4</v>
      </c>
      <c r="Y26" s="64">
        <v>1</v>
      </c>
      <c r="Z26" s="64">
        <v>1</v>
      </c>
      <c r="AA26" s="64">
        <v>0</v>
      </c>
      <c r="AB26" s="64">
        <v>0</v>
      </c>
      <c r="AC26" s="64">
        <v>0.72</v>
      </c>
      <c r="AD26" s="64">
        <v>0.44</v>
      </c>
      <c r="AE26" s="64">
        <v>1</v>
      </c>
      <c r="AF26" s="64">
        <v>0.05</v>
      </c>
      <c r="AG26" s="60">
        <v>0.51</v>
      </c>
      <c r="AH26" s="60" t="s">
        <v>155</v>
      </c>
      <c r="AI26" s="60">
        <v>0.94</v>
      </c>
      <c r="AJ26" s="60" t="s">
        <v>151</v>
      </c>
      <c r="AK26" s="60">
        <v>0.98</v>
      </c>
      <c r="AL26" s="64" t="s">
        <v>238</v>
      </c>
    </row>
    <row r="27" spans="1:38" ht="28.8" x14ac:dyDescent="0.3">
      <c r="A27" s="50">
        <v>8</v>
      </c>
      <c r="B27" s="64" t="s">
        <v>230</v>
      </c>
      <c r="C27" s="49">
        <v>4</v>
      </c>
      <c r="D27" s="60" t="s">
        <v>241</v>
      </c>
      <c r="E27" s="60">
        <f>VLOOKUP(A27,'Included Study Documentation'!$B$1:$H$9, 6, FALSE)</f>
        <v>4304</v>
      </c>
      <c r="F27" s="64">
        <v>2.4</v>
      </c>
      <c r="G27" s="64">
        <v>0.376</v>
      </c>
      <c r="H27" s="64">
        <v>35</v>
      </c>
      <c r="I27" s="64">
        <v>45</v>
      </c>
      <c r="J27" s="64">
        <v>62.2</v>
      </c>
      <c r="K27" s="64">
        <v>10.7</v>
      </c>
      <c r="L27" s="64" t="s">
        <v>183</v>
      </c>
      <c r="M27" s="64">
        <v>1</v>
      </c>
      <c r="N27" s="64">
        <v>1</v>
      </c>
      <c r="O27" s="64">
        <v>0</v>
      </c>
      <c r="P27" s="64">
        <v>1</v>
      </c>
      <c r="Q27" s="64">
        <v>0</v>
      </c>
      <c r="R27" s="64">
        <v>1</v>
      </c>
      <c r="S27" s="64">
        <v>1</v>
      </c>
      <c r="T27" s="64">
        <v>1</v>
      </c>
      <c r="U27" s="64">
        <v>35</v>
      </c>
      <c r="V27" s="64">
        <v>45</v>
      </c>
      <c r="W27" s="64">
        <v>39.4</v>
      </c>
      <c r="X27" s="64">
        <v>4.7</v>
      </c>
      <c r="Y27" s="64">
        <v>1</v>
      </c>
      <c r="Z27" s="64">
        <v>0</v>
      </c>
      <c r="AA27" s="64"/>
      <c r="AB27" s="64"/>
      <c r="AC27" s="64">
        <v>0.83</v>
      </c>
      <c r="AD27" s="64">
        <v>0.46</v>
      </c>
      <c r="AE27" s="64">
        <v>1</v>
      </c>
      <c r="AF27" s="64">
        <v>0.06</v>
      </c>
      <c r="AG27" s="60">
        <v>0.6</v>
      </c>
      <c r="AH27" s="60" t="s">
        <v>155</v>
      </c>
      <c r="AI27" s="60">
        <v>0.46</v>
      </c>
      <c r="AJ27" s="60" t="s">
        <v>151</v>
      </c>
      <c r="AK27" s="60">
        <v>0.65</v>
      </c>
      <c r="AL27" s="64" t="s">
        <v>238</v>
      </c>
    </row>
    <row r="28" spans="1:38" ht="29.1" customHeight="1" x14ac:dyDescent="0.3">
      <c r="A28" s="50">
        <v>8</v>
      </c>
      <c r="B28" s="64" t="s">
        <v>231</v>
      </c>
      <c r="C28" s="49">
        <v>5</v>
      </c>
      <c r="D28" s="60" t="s">
        <v>241</v>
      </c>
      <c r="E28" s="60">
        <f>VLOOKUP(A28,'Included Study Documentation'!$B$1:$H$9, 6, FALSE)</f>
        <v>4304</v>
      </c>
      <c r="F28" s="64">
        <v>2.4</v>
      </c>
      <c r="G28" s="64">
        <v>0.375</v>
      </c>
      <c r="H28" s="64">
        <v>18</v>
      </c>
      <c r="I28" s="64">
        <v>25</v>
      </c>
      <c r="J28" s="64">
        <v>58.6</v>
      </c>
      <c r="K28" s="64">
        <v>14.4</v>
      </c>
      <c r="L28" s="64" t="s">
        <v>183</v>
      </c>
      <c r="M28" s="64">
        <v>1</v>
      </c>
      <c r="N28" s="64">
        <v>1</v>
      </c>
      <c r="O28" s="64">
        <v>0</v>
      </c>
      <c r="P28" s="64">
        <v>1</v>
      </c>
      <c r="Q28" s="64">
        <v>0</v>
      </c>
      <c r="R28" s="64">
        <v>1</v>
      </c>
      <c r="S28" s="64">
        <v>1</v>
      </c>
      <c r="T28" s="64">
        <v>1</v>
      </c>
      <c r="U28" s="64">
        <v>18</v>
      </c>
      <c r="V28" s="64">
        <v>24.9</v>
      </c>
      <c r="W28" s="64">
        <v>22.2</v>
      </c>
      <c r="X28" s="64">
        <v>1.7</v>
      </c>
      <c r="Y28" s="64">
        <v>0</v>
      </c>
      <c r="Z28" s="64">
        <v>0</v>
      </c>
      <c r="AA28" s="64">
        <v>0</v>
      </c>
      <c r="AB28" s="64">
        <v>0</v>
      </c>
      <c r="AC28" s="64">
        <v>0.56000000000000005</v>
      </c>
      <c r="AD28" s="64">
        <v>0.28000000000000003</v>
      </c>
      <c r="AE28" s="64">
        <v>1</v>
      </c>
      <c r="AF28" s="64">
        <v>0.03</v>
      </c>
      <c r="AG28" s="60"/>
      <c r="AH28" s="60"/>
      <c r="AI28" s="60"/>
      <c r="AJ28" s="60"/>
      <c r="AK28" s="60"/>
      <c r="AL28" s="60"/>
    </row>
    <row r="29" spans="1:38" x14ac:dyDescent="0.3">
      <c r="A29" s="50">
        <v>8</v>
      </c>
      <c r="B29" s="64" t="s">
        <v>232</v>
      </c>
      <c r="C29" s="49">
        <v>6</v>
      </c>
      <c r="D29" s="60" t="s">
        <v>241</v>
      </c>
      <c r="E29" s="60">
        <f>VLOOKUP(A29,'Included Study Documentation'!$B$1:$H$9, 6, FALSE)</f>
        <v>4304</v>
      </c>
      <c r="F29" s="64">
        <v>2.4</v>
      </c>
      <c r="G29" s="64">
        <v>0.29699999999999999</v>
      </c>
      <c r="H29" s="64">
        <v>25</v>
      </c>
      <c r="I29" s="64">
        <v>30</v>
      </c>
      <c r="J29" s="64">
        <v>62.5</v>
      </c>
      <c r="K29" s="64">
        <v>12</v>
      </c>
      <c r="L29" s="64" t="s">
        <v>183</v>
      </c>
      <c r="M29" s="64">
        <v>1</v>
      </c>
      <c r="N29" s="64">
        <v>1</v>
      </c>
      <c r="O29" s="64">
        <v>0</v>
      </c>
      <c r="P29" s="64">
        <v>1</v>
      </c>
      <c r="Q29" s="64">
        <v>0</v>
      </c>
      <c r="R29" s="64">
        <v>1</v>
      </c>
      <c r="S29" s="64">
        <v>1</v>
      </c>
      <c r="T29" s="64">
        <v>1</v>
      </c>
      <c r="U29" s="64">
        <v>25</v>
      </c>
      <c r="V29" s="64">
        <v>29.9</v>
      </c>
      <c r="W29" s="64">
        <v>27</v>
      </c>
      <c r="X29" s="64">
        <v>1.4</v>
      </c>
      <c r="Y29" s="64">
        <v>0</v>
      </c>
      <c r="Z29" s="64"/>
      <c r="AA29" s="64"/>
      <c r="AB29" s="64"/>
      <c r="AC29" s="64">
        <v>0.64</v>
      </c>
      <c r="AD29" s="64">
        <v>0.33</v>
      </c>
      <c r="AE29" s="64">
        <v>1</v>
      </c>
      <c r="AF29" s="64">
        <v>0.04</v>
      </c>
      <c r="AG29" s="60"/>
      <c r="AH29" s="60"/>
      <c r="AI29" s="60"/>
      <c r="AJ29" s="60"/>
      <c r="AK29" s="60"/>
      <c r="AL29" s="60"/>
    </row>
    <row r="30" spans="1:38" s="31" customFormat="1" x14ac:dyDescent="0.3">
      <c r="A30" s="50">
        <v>8</v>
      </c>
      <c r="B30" s="64" t="s">
        <v>233</v>
      </c>
      <c r="C30" s="49">
        <v>7</v>
      </c>
      <c r="D30" s="60" t="s">
        <v>241</v>
      </c>
      <c r="E30" s="60">
        <f>VLOOKUP(A30,'Included Study Documentation'!$B$1:$H$9, 6, FALSE)</f>
        <v>4304</v>
      </c>
      <c r="F30" s="64">
        <v>2.4</v>
      </c>
      <c r="G30" s="64">
        <v>0.312</v>
      </c>
      <c r="H30" s="64">
        <v>30</v>
      </c>
      <c r="I30" s="64">
        <v>35</v>
      </c>
      <c r="J30" s="64">
        <v>63</v>
      </c>
      <c r="K30" s="64">
        <v>10.8</v>
      </c>
      <c r="L30" s="64" t="s">
        <v>183</v>
      </c>
      <c r="M30" s="64">
        <v>1</v>
      </c>
      <c r="N30" s="64">
        <v>1</v>
      </c>
      <c r="O30" s="64">
        <v>0</v>
      </c>
      <c r="P30" s="64">
        <v>1</v>
      </c>
      <c r="Q30" s="64">
        <v>0</v>
      </c>
      <c r="R30" s="64">
        <v>1</v>
      </c>
      <c r="S30" s="64">
        <v>1</v>
      </c>
      <c r="T30" s="64">
        <v>1</v>
      </c>
      <c r="U30" s="64">
        <v>30</v>
      </c>
      <c r="V30" s="64">
        <v>34.9</v>
      </c>
      <c r="W30" s="64">
        <v>31.7</v>
      </c>
      <c r="X30" s="64">
        <v>1.4</v>
      </c>
      <c r="Y30" s="64">
        <v>1</v>
      </c>
      <c r="Z30" s="64">
        <v>1</v>
      </c>
      <c r="AA30" s="64">
        <v>0</v>
      </c>
      <c r="AB30" s="64">
        <v>0</v>
      </c>
      <c r="AC30" s="64">
        <v>0.72</v>
      </c>
      <c r="AD30" s="64">
        <v>0.44</v>
      </c>
      <c r="AE30" s="64">
        <v>1</v>
      </c>
      <c r="AF30" s="64">
        <v>0.05</v>
      </c>
      <c r="AG30" s="60"/>
      <c r="AH30" s="60"/>
      <c r="AI30" s="60"/>
      <c r="AJ30" s="60"/>
      <c r="AK30" s="60"/>
      <c r="AL30" s="60"/>
    </row>
    <row r="31" spans="1:38" s="31" customFormat="1" x14ac:dyDescent="0.3">
      <c r="A31" s="50">
        <v>8</v>
      </c>
      <c r="B31" s="64" t="s">
        <v>234</v>
      </c>
      <c r="C31" s="49">
        <v>8</v>
      </c>
      <c r="D31" s="60" t="s">
        <v>241</v>
      </c>
      <c r="E31" s="60">
        <f>VLOOKUP(A31,'Included Study Documentation'!$B$1:$H$9, 6, FALSE)</f>
        <v>4304</v>
      </c>
      <c r="F31" s="64">
        <v>2.4</v>
      </c>
      <c r="G31" s="64">
        <v>0.377</v>
      </c>
      <c r="H31" s="64">
        <v>35</v>
      </c>
      <c r="I31" s="64">
        <v>45</v>
      </c>
      <c r="J31" s="64">
        <v>62.2</v>
      </c>
      <c r="K31" s="64">
        <v>10.7</v>
      </c>
      <c r="L31" s="64" t="s">
        <v>183</v>
      </c>
      <c r="M31" s="64">
        <v>1</v>
      </c>
      <c r="N31" s="64">
        <v>1</v>
      </c>
      <c r="O31" s="64">
        <v>0</v>
      </c>
      <c r="P31" s="64">
        <v>1</v>
      </c>
      <c r="Q31" s="64">
        <v>0</v>
      </c>
      <c r="R31" s="64">
        <v>1</v>
      </c>
      <c r="S31" s="64">
        <v>1</v>
      </c>
      <c r="T31" s="64">
        <v>1</v>
      </c>
      <c r="U31" s="64">
        <v>35</v>
      </c>
      <c r="V31" s="64">
        <v>45</v>
      </c>
      <c r="W31" s="64">
        <v>39.4</v>
      </c>
      <c r="X31" s="64">
        <v>4.7</v>
      </c>
      <c r="Y31" s="64">
        <v>1</v>
      </c>
      <c r="Z31" s="64">
        <v>0</v>
      </c>
      <c r="AA31" s="64"/>
      <c r="AB31" s="64"/>
      <c r="AC31" s="64">
        <v>0.83</v>
      </c>
      <c r="AD31" s="64">
        <v>0.46</v>
      </c>
      <c r="AE31" s="64">
        <v>1</v>
      </c>
      <c r="AF31" s="64">
        <v>0.06</v>
      </c>
      <c r="AG31" s="60"/>
      <c r="AH31" s="60"/>
      <c r="AI31" s="60"/>
      <c r="AJ31" s="60"/>
      <c r="AK31" s="60"/>
      <c r="AL31" s="60"/>
    </row>
    <row r="38" spans="1:38" s="31" customFormat="1" x14ac:dyDescent="0.3">
      <c r="A38" s="32"/>
      <c r="B38" s="51"/>
      <c r="C38" s="33"/>
      <c r="D38" s="33"/>
      <c r="E38" s="33"/>
      <c r="F38" s="33"/>
      <c r="G38" s="33"/>
      <c r="AG38"/>
      <c r="AH38"/>
      <c r="AI38"/>
      <c r="AJ38"/>
      <c r="AK38"/>
      <c r="AL38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00F1-19E9-4781-85E1-E2D49330C387}">
  <sheetPr>
    <tabColor theme="9" tint="0.79998168889431442"/>
  </sheetPr>
  <dimension ref="A1:K31"/>
  <sheetViews>
    <sheetView zoomScale="96" zoomScaleNormal="100" workbookViewId="0"/>
  </sheetViews>
  <sheetFormatPr defaultRowHeight="14.4" x14ac:dyDescent="0.3"/>
  <cols>
    <col min="2" max="2" width="10.21875" customWidth="1"/>
    <col min="3" max="3" width="29.21875" customWidth="1"/>
    <col min="4" max="4" width="11.5546875" customWidth="1"/>
    <col min="5" max="11" width="17.21875" customWidth="1"/>
  </cols>
  <sheetData>
    <row r="1" spans="1:11" ht="28.8" x14ac:dyDescent="0.3">
      <c r="A1" s="62" t="s">
        <v>51</v>
      </c>
      <c r="B1" s="62" t="s">
        <v>217</v>
      </c>
      <c r="C1" s="62" t="s">
        <v>53</v>
      </c>
      <c r="D1" s="63" t="s">
        <v>271</v>
      </c>
      <c r="E1" s="63" t="s">
        <v>113</v>
      </c>
      <c r="F1" s="63" t="s">
        <v>115</v>
      </c>
      <c r="G1" s="63" t="s">
        <v>278</v>
      </c>
      <c r="H1" s="63" t="s">
        <v>117</v>
      </c>
      <c r="I1" s="63" t="s">
        <v>119</v>
      </c>
      <c r="J1" s="63" t="s">
        <v>121</v>
      </c>
      <c r="K1" s="63" t="s">
        <v>123</v>
      </c>
    </row>
    <row r="2" spans="1:11" ht="28.8" x14ac:dyDescent="0.3">
      <c r="A2" s="50">
        <v>1</v>
      </c>
      <c r="B2" s="47">
        <v>1</v>
      </c>
      <c r="C2" s="48" t="s">
        <v>254</v>
      </c>
      <c r="D2" s="61" t="s">
        <v>272</v>
      </c>
      <c r="E2" s="59"/>
      <c r="F2" s="58">
        <v>0.112</v>
      </c>
      <c r="G2" s="58">
        <v>0.2</v>
      </c>
      <c r="H2" s="49"/>
      <c r="I2" s="49"/>
      <c r="J2" s="59"/>
      <c r="K2" s="59"/>
    </row>
    <row r="3" spans="1:11" ht="28.8" x14ac:dyDescent="0.3">
      <c r="A3" s="50">
        <v>1</v>
      </c>
      <c r="B3" s="47">
        <v>2</v>
      </c>
      <c r="C3" s="48" t="s">
        <v>255</v>
      </c>
      <c r="D3" s="61" t="s">
        <v>272</v>
      </c>
      <c r="E3" s="59"/>
      <c r="F3" s="58">
        <v>0.123</v>
      </c>
      <c r="G3" s="58">
        <v>0.24099999999999999</v>
      </c>
      <c r="H3" s="49"/>
      <c r="I3" s="49"/>
      <c r="J3" s="59"/>
      <c r="K3" s="59"/>
    </row>
    <row r="4" spans="1:11" ht="28.8" x14ac:dyDescent="0.3">
      <c r="A4" s="50">
        <v>1</v>
      </c>
      <c r="B4" s="48">
        <v>3</v>
      </c>
      <c r="C4" s="48" t="s">
        <v>256</v>
      </c>
      <c r="D4" s="61" t="s">
        <v>272</v>
      </c>
      <c r="E4" s="59"/>
      <c r="F4" s="57">
        <v>0.122</v>
      </c>
      <c r="G4" s="58">
        <v>0.252</v>
      </c>
      <c r="H4" s="49"/>
      <c r="I4" s="49"/>
      <c r="J4" s="59"/>
      <c r="K4" s="59"/>
    </row>
    <row r="5" spans="1:11" ht="28.8" x14ac:dyDescent="0.3">
      <c r="A5" s="50">
        <v>1</v>
      </c>
      <c r="B5" s="48">
        <v>4</v>
      </c>
      <c r="C5" s="48" t="s">
        <v>257</v>
      </c>
      <c r="D5" s="61" t="s">
        <v>272</v>
      </c>
      <c r="E5" s="59"/>
      <c r="F5" s="58">
        <v>0.12</v>
      </c>
      <c r="G5" s="58">
        <v>0.24</v>
      </c>
      <c r="H5" s="49"/>
      <c r="I5" s="49"/>
      <c r="J5" s="59"/>
      <c r="K5" s="59"/>
    </row>
    <row r="6" spans="1:11" x14ac:dyDescent="0.3">
      <c r="A6" s="50">
        <v>2</v>
      </c>
      <c r="B6" s="48">
        <v>1</v>
      </c>
      <c r="C6" s="47" t="s">
        <v>240</v>
      </c>
      <c r="D6" s="48" t="s">
        <v>273</v>
      </c>
      <c r="E6" s="59"/>
      <c r="F6" s="59"/>
      <c r="G6" s="49">
        <f>2.4/100</f>
        <v>2.4E-2</v>
      </c>
      <c r="H6" s="59"/>
      <c r="I6" s="59"/>
      <c r="J6" s="59"/>
      <c r="K6" s="59"/>
    </row>
    <row r="7" spans="1:11" x14ac:dyDescent="0.3">
      <c r="A7" s="50">
        <v>2</v>
      </c>
      <c r="B7" s="48">
        <v>2</v>
      </c>
      <c r="C7" s="47" t="s">
        <v>239</v>
      </c>
      <c r="D7" s="48" t="s">
        <v>273</v>
      </c>
      <c r="E7" s="59"/>
      <c r="F7" s="59"/>
      <c r="G7" s="58">
        <f>2.7/100</f>
        <v>2.7000000000000003E-2</v>
      </c>
      <c r="H7" s="59"/>
      <c r="I7" s="59"/>
      <c r="J7" s="59"/>
      <c r="K7" s="59"/>
    </row>
    <row r="8" spans="1:11" x14ac:dyDescent="0.3">
      <c r="A8" s="50">
        <v>3</v>
      </c>
      <c r="B8" s="48">
        <v>1</v>
      </c>
      <c r="C8" s="47" t="s">
        <v>243</v>
      </c>
      <c r="D8" s="48" t="s">
        <v>273</v>
      </c>
      <c r="E8" s="46">
        <f>0.36/100</f>
        <v>3.5999999999999999E-3</v>
      </c>
      <c r="F8" s="46">
        <f>0.24/100</f>
        <v>2.3999999999999998E-3</v>
      </c>
      <c r="G8" s="46">
        <f>1.83/100</f>
        <v>1.83E-2</v>
      </c>
      <c r="H8" s="46"/>
      <c r="I8" s="59"/>
      <c r="J8" s="59"/>
      <c r="K8" s="59"/>
    </row>
    <row r="9" spans="1:11" x14ac:dyDescent="0.3">
      <c r="A9" s="50">
        <v>3</v>
      </c>
      <c r="B9" s="48">
        <v>2</v>
      </c>
      <c r="C9" s="48" t="s">
        <v>244</v>
      </c>
      <c r="D9" s="48" t="s">
        <v>273</v>
      </c>
      <c r="E9" s="46">
        <f>0.34/100</f>
        <v>3.4000000000000002E-3</v>
      </c>
      <c r="F9" s="46">
        <f>0.86/100</f>
        <v>8.6E-3</v>
      </c>
      <c r="G9" s="46">
        <f>1.92/100</f>
        <v>1.9199999999999998E-2</v>
      </c>
      <c r="H9" s="46"/>
      <c r="I9" s="59"/>
      <c r="J9" s="59"/>
      <c r="K9" s="59"/>
    </row>
    <row r="10" spans="1:11" ht="28.8" x14ac:dyDescent="0.3">
      <c r="A10" s="50">
        <v>4</v>
      </c>
      <c r="B10" s="61">
        <v>1</v>
      </c>
      <c r="C10" s="61" t="s">
        <v>222</v>
      </c>
      <c r="D10" s="61" t="s">
        <v>273</v>
      </c>
      <c r="E10" s="59"/>
      <c r="F10" s="59"/>
      <c r="G10" s="59"/>
      <c r="H10" s="59"/>
      <c r="I10" s="59"/>
      <c r="J10" s="49">
        <f>2.4/100</f>
        <v>2.4E-2</v>
      </c>
      <c r="K10" s="59"/>
    </row>
    <row r="11" spans="1:11" x14ac:dyDescent="0.3">
      <c r="A11" s="50">
        <v>4</v>
      </c>
      <c r="B11" s="61">
        <v>2</v>
      </c>
      <c r="C11" s="61" t="s">
        <v>223</v>
      </c>
      <c r="D11" s="61" t="s">
        <v>273</v>
      </c>
      <c r="E11" s="59"/>
      <c r="F11" s="59"/>
      <c r="G11" s="59"/>
      <c r="H11" s="59"/>
      <c r="I11" s="59"/>
      <c r="J11" s="49">
        <f>2.23/100</f>
        <v>2.23E-2</v>
      </c>
      <c r="K11" s="59"/>
    </row>
    <row r="12" spans="1:11" ht="28.8" x14ac:dyDescent="0.3">
      <c r="A12" s="50">
        <v>4</v>
      </c>
      <c r="B12" s="48">
        <v>3</v>
      </c>
      <c r="C12" s="48" t="s">
        <v>224</v>
      </c>
      <c r="D12" s="61" t="s">
        <v>273</v>
      </c>
      <c r="E12" s="59"/>
      <c r="F12" s="59"/>
      <c r="G12" s="59"/>
      <c r="H12" s="59"/>
      <c r="I12" s="59"/>
      <c r="J12" s="49">
        <f>1.8/100</f>
        <v>1.8000000000000002E-2</v>
      </c>
      <c r="K12" s="59"/>
    </row>
    <row r="13" spans="1:11" x14ac:dyDescent="0.3">
      <c r="A13" s="50">
        <v>4</v>
      </c>
      <c r="B13" s="48">
        <v>4</v>
      </c>
      <c r="C13" s="48" t="s">
        <v>225</v>
      </c>
      <c r="D13" s="61" t="s">
        <v>273</v>
      </c>
      <c r="E13" s="59"/>
      <c r="F13" s="59"/>
      <c r="G13" s="59"/>
      <c r="H13" s="59"/>
      <c r="I13" s="59"/>
      <c r="J13" s="49">
        <f>2.35/100</f>
        <v>2.35E-2</v>
      </c>
      <c r="K13" s="59"/>
    </row>
    <row r="14" spans="1:11" x14ac:dyDescent="0.3">
      <c r="A14" s="50">
        <v>5</v>
      </c>
      <c r="B14" s="48">
        <v>1</v>
      </c>
      <c r="C14" s="48" t="s">
        <v>226</v>
      </c>
      <c r="D14" s="48" t="s">
        <v>272</v>
      </c>
      <c r="E14" s="72">
        <v>4.2999999999999997E-2</v>
      </c>
      <c r="F14" s="72">
        <v>4.9000000000000002E-2</v>
      </c>
      <c r="G14" s="49"/>
      <c r="H14" s="49"/>
      <c r="I14" s="72">
        <v>0.10299999999999999</v>
      </c>
      <c r="J14" s="59"/>
      <c r="K14" s="59"/>
    </row>
    <row r="15" spans="1:11" x14ac:dyDescent="0.3">
      <c r="A15" s="50">
        <v>6</v>
      </c>
      <c r="B15" s="48">
        <v>1</v>
      </c>
      <c r="C15" s="48" t="s">
        <v>226</v>
      </c>
      <c r="D15" s="48" t="s">
        <v>272</v>
      </c>
      <c r="E15" s="72">
        <v>8.6999999999999994E-2</v>
      </c>
      <c r="F15" s="72">
        <v>0.20300000000000001</v>
      </c>
      <c r="G15" s="49"/>
      <c r="H15" s="49"/>
      <c r="I15" s="72">
        <v>6.5000000000000002E-2</v>
      </c>
      <c r="J15" s="59"/>
      <c r="K15" s="59"/>
    </row>
    <row r="16" spans="1:11" x14ac:dyDescent="0.3">
      <c r="A16" s="50">
        <v>7</v>
      </c>
      <c r="B16" s="48">
        <v>1</v>
      </c>
      <c r="C16" s="49" t="s">
        <v>246</v>
      </c>
      <c r="D16" s="48" t="s">
        <v>273</v>
      </c>
      <c r="E16" s="59"/>
      <c r="F16" s="59"/>
      <c r="G16" s="49">
        <f>11.5/1000</f>
        <v>1.15E-2</v>
      </c>
      <c r="H16" s="59"/>
      <c r="I16" s="59"/>
      <c r="J16" s="59"/>
      <c r="K16" s="59"/>
    </row>
    <row r="17" spans="1:11" x14ac:dyDescent="0.3">
      <c r="A17" s="50">
        <v>7</v>
      </c>
      <c r="B17" s="48">
        <v>2</v>
      </c>
      <c r="C17" s="49" t="s">
        <v>247</v>
      </c>
      <c r="D17" s="48" t="s">
        <v>273</v>
      </c>
      <c r="E17" s="59"/>
      <c r="F17" s="59"/>
      <c r="G17" s="49">
        <f>13.1/1000</f>
        <v>1.3099999999999999E-2</v>
      </c>
      <c r="H17" s="59"/>
      <c r="I17" s="59"/>
      <c r="J17" s="59"/>
      <c r="K17" s="59"/>
    </row>
    <row r="18" spans="1:11" x14ac:dyDescent="0.3">
      <c r="A18" s="50">
        <v>7</v>
      </c>
      <c r="B18" s="48">
        <v>3</v>
      </c>
      <c r="C18" s="49" t="s">
        <v>248</v>
      </c>
      <c r="D18" s="48" t="s">
        <v>273</v>
      </c>
      <c r="E18" s="59"/>
      <c r="F18" s="59"/>
      <c r="G18" s="49">
        <f>19.2/1000</f>
        <v>1.9199999999999998E-2</v>
      </c>
      <c r="H18" s="59"/>
      <c r="I18" s="59"/>
      <c r="J18" s="59"/>
      <c r="K18" s="59"/>
    </row>
    <row r="19" spans="1:11" x14ac:dyDescent="0.3">
      <c r="A19" s="50">
        <v>7</v>
      </c>
      <c r="B19" s="48">
        <v>4</v>
      </c>
      <c r="C19" s="49" t="s">
        <v>245</v>
      </c>
      <c r="D19" s="48" t="s">
        <v>273</v>
      </c>
      <c r="E19" s="59"/>
      <c r="F19" s="59"/>
      <c r="G19" s="49">
        <f>13.6/1000</f>
        <v>1.3599999999999999E-2</v>
      </c>
      <c r="H19" s="59"/>
      <c r="I19" s="59"/>
      <c r="J19" s="59"/>
      <c r="K19" s="59"/>
    </row>
    <row r="20" spans="1:11" x14ac:dyDescent="0.3">
      <c r="A20" s="50">
        <v>7</v>
      </c>
      <c r="B20" s="48">
        <v>5</v>
      </c>
      <c r="C20" s="49" t="s">
        <v>249</v>
      </c>
      <c r="D20" s="48" t="s">
        <v>273</v>
      </c>
      <c r="E20" s="59"/>
      <c r="F20" s="59"/>
      <c r="G20" s="49">
        <f>10.5/1000</f>
        <v>1.0500000000000001E-2</v>
      </c>
      <c r="H20" s="59"/>
      <c r="I20" s="59"/>
      <c r="J20" s="59"/>
      <c r="K20" s="59"/>
    </row>
    <row r="21" spans="1:11" x14ac:dyDescent="0.3">
      <c r="A21" s="50">
        <v>7</v>
      </c>
      <c r="B21" s="48">
        <v>6</v>
      </c>
      <c r="C21" s="49" t="s">
        <v>250</v>
      </c>
      <c r="D21" s="48" t="s">
        <v>273</v>
      </c>
      <c r="E21" s="59"/>
      <c r="F21" s="59"/>
      <c r="G21" s="49">
        <f>12.5/1000</f>
        <v>1.2500000000000001E-2</v>
      </c>
      <c r="H21" s="59"/>
      <c r="I21" s="59"/>
      <c r="J21" s="59"/>
      <c r="K21" s="59"/>
    </row>
    <row r="22" spans="1:11" x14ac:dyDescent="0.3">
      <c r="A22" s="50">
        <v>7</v>
      </c>
      <c r="B22" s="48">
        <v>7</v>
      </c>
      <c r="C22" s="49" t="s">
        <v>251</v>
      </c>
      <c r="D22" s="48" t="s">
        <v>273</v>
      </c>
      <c r="E22" s="59"/>
      <c r="F22" s="59"/>
      <c r="G22" s="49">
        <f>9/1000</f>
        <v>8.9999999999999993E-3</v>
      </c>
      <c r="H22" s="59"/>
      <c r="I22" s="59"/>
      <c r="J22" s="59"/>
      <c r="K22" s="59"/>
    </row>
    <row r="23" spans="1:11" x14ac:dyDescent="0.3">
      <c r="A23" s="50">
        <v>7</v>
      </c>
      <c r="B23" s="48">
        <v>8</v>
      </c>
      <c r="C23" s="49" t="s">
        <v>252</v>
      </c>
      <c r="D23" s="48" t="s">
        <v>273</v>
      </c>
      <c r="E23" s="59"/>
      <c r="F23" s="59"/>
      <c r="G23" s="49">
        <f>10.7/1000</f>
        <v>1.0699999999999999E-2</v>
      </c>
      <c r="H23" s="59"/>
      <c r="I23" s="59"/>
      <c r="J23" s="59"/>
      <c r="K23" s="59"/>
    </row>
    <row r="24" spans="1:11" x14ac:dyDescent="0.3">
      <c r="A24" s="50">
        <v>8</v>
      </c>
      <c r="B24" s="48">
        <v>1</v>
      </c>
      <c r="C24" s="48" t="s">
        <v>227</v>
      </c>
      <c r="D24" s="48" t="s">
        <v>272</v>
      </c>
      <c r="E24" s="59"/>
      <c r="F24" s="46">
        <f>2.2/100</f>
        <v>2.2000000000000002E-2</v>
      </c>
      <c r="G24" s="49">
        <f>1.7/100</f>
        <v>1.7000000000000001E-2</v>
      </c>
      <c r="H24" s="46"/>
      <c r="I24" s="46"/>
      <c r="J24" s="46">
        <f>5.6/100</f>
        <v>5.5999999999999994E-2</v>
      </c>
      <c r="K24" s="59"/>
    </row>
    <row r="25" spans="1:11" x14ac:dyDescent="0.3">
      <c r="A25" s="50">
        <v>8</v>
      </c>
      <c r="B25" s="48">
        <v>2</v>
      </c>
      <c r="C25" s="48" t="s">
        <v>228</v>
      </c>
      <c r="D25" s="48" t="s">
        <v>272</v>
      </c>
      <c r="E25" s="59"/>
      <c r="F25" s="46">
        <f>2/100</f>
        <v>0.02</v>
      </c>
      <c r="G25" s="49">
        <f>1.7/100</f>
        <v>1.7000000000000001E-2</v>
      </c>
      <c r="H25" s="46"/>
      <c r="I25" s="46"/>
      <c r="J25" s="46">
        <f>3/100</f>
        <v>0.03</v>
      </c>
      <c r="K25" s="59"/>
    </row>
    <row r="26" spans="1:11" x14ac:dyDescent="0.3">
      <c r="A26" s="50">
        <v>8</v>
      </c>
      <c r="B26" s="48">
        <v>3</v>
      </c>
      <c r="C26" s="48" t="s">
        <v>229</v>
      </c>
      <c r="D26" s="48" t="s">
        <v>272</v>
      </c>
      <c r="E26" s="59"/>
      <c r="F26" s="46">
        <f>2.4/100</f>
        <v>2.4E-2</v>
      </c>
      <c r="G26" s="49">
        <f>2.9/100</f>
        <v>2.8999999999999998E-2</v>
      </c>
      <c r="H26" s="46"/>
      <c r="I26" s="46"/>
      <c r="J26" s="46">
        <f>2.1/100</f>
        <v>2.1000000000000001E-2</v>
      </c>
      <c r="K26" s="59"/>
    </row>
    <row r="27" spans="1:11" x14ac:dyDescent="0.3">
      <c r="A27" s="50">
        <v>8</v>
      </c>
      <c r="B27" s="48">
        <v>4</v>
      </c>
      <c r="C27" s="48" t="s">
        <v>230</v>
      </c>
      <c r="D27" s="48" t="s">
        <v>272</v>
      </c>
      <c r="E27" s="59"/>
      <c r="F27" s="46">
        <f>2.1/100</f>
        <v>2.1000000000000001E-2</v>
      </c>
      <c r="G27" s="49">
        <f>2.4/100</f>
        <v>2.4E-2</v>
      </c>
      <c r="H27" s="46"/>
      <c r="I27" s="46"/>
      <c r="J27" s="46">
        <f>3.2/100</f>
        <v>3.2000000000000001E-2</v>
      </c>
      <c r="K27" s="59"/>
    </row>
    <row r="28" spans="1:11" x14ac:dyDescent="0.3">
      <c r="A28" s="50">
        <v>8</v>
      </c>
      <c r="B28" s="48">
        <v>5</v>
      </c>
      <c r="C28" s="48" t="s">
        <v>231</v>
      </c>
      <c r="D28" s="48" t="s">
        <v>272</v>
      </c>
      <c r="E28" s="59"/>
      <c r="F28" s="46">
        <f>2.9/100</f>
        <v>2.8999999999999998E-2</v>
      </c>
      <c r="G28" s="49">
        <f>2/100</f>
        <v>0.02</v>
      </c>
      <c r="H28" s="46"/>
      <c r="I28" s="46"/>
      <c r="J28" s="46">
        <f>9.4/100</f>
        <v>9.4E-2</v>
      </c>
      <c r="K28" s="59"/>
    </row>
    <row r="29" spans="1:11" x14ac:dyDescent="0.3">
      <c r="A29" s="50">
        <v>8</v>
      </c>
      <c r="B29" s="48">
        <v>6</v>
      </c>
      <c r="C29" s="48" t="s">
        <v>232</v>
      </c>
      <c r="D29" s="48" t="s">
        <v>272</v>
      </c>
      <c r="E29" s="59"/>
      <c r="F29" s="46">
        <f>3.8/100</f>
        <v>3.7999999999999999E-2</v>
      </c>
      <c r="G29" s="49">
        <f>2.3/100</f>
        <v>2.3E-2</v>
      </c>
      <c r="H29" s="46"/>
      <c r="I29" s="46"/>
      <c r="J29" s="46">
        <f>5.6/100</f>
        <v>5.5999999999999994E-2</v>
      </c>
      <c r="K29" s="59"/>
    </row>
    <row r="30" spans="1:11" x14ac:dyDescent="0.3">
      <c r="A30" s="50">
        <v>8</v>
      </c>
      <c r="B30" s="48">
        <v>7</v>
      </c>
      <c r="C30" s="48" t="s">
        <v>233</v>
      </c>
      <c r="D30" s="48" t="s">
        <v>272</v>
      </c>
      <c r="E30" s="59"/>
      <c r="F30" s="46">
        <f>2.5/100</f>
        <v>2.5000000000000001E-2</v>
      </c>
      <c r="G30" s="49">
        <f>3.2/100</f>
        <v>3.2000000000000001E-2</v>
      </c>
      <c r="H30" s="46"/>
      <c r="I30" s="46"/>
      <c r="J30" s="46">
        <f>4.2/100</f>
        <v>4.2000000000000003E-2</v>
      </c>
      <c r="K30" s="59"/>
    </row>
    <row r="31" spans="1:11" x14ac:dyDescent="0.3">
      <c r="A31" s="50">
        <v>8</v>
      </c>
      <c r="B31" s="48">
        <v>8</v>
      </c>
      <c r="C31" s="48" t="s">
        <v>234</v>
      </c>
      <c r="D31" s="48" t="s">
        <v>272</v>
      </c>
      <c r="E31" s="59"/>
      <c r="F31" s="46">
        <f>3.2/100</f>
        <v>3.2000000000000001E-2</v>
      </c>
      <c r="G31" s="49">
        <f>4.9/100</f>
        <v>4.9000000000000002E-2</v>
      </c>
      <c r="H31" s="46"/>
      <c r="I31" s="46"/>
      <c r="J31" s="46">
        <f>5/100</f>
        <v>0.05</v>
      </c>
      <c r="K31" s="59"/>
    </row>
  </sheetData>
  <phoneticPr fontId="1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7BC0-F0C1-4168-A684-E5B951B9DEB2}">
  <sheetPr>
    <tabColor theme="2" tint="-0.499984740745262"/>
  </sheetPr>
  <dimension ref="A1:L5"/>
  <sheetViews>
    <sheetView workbookViewId="0"/>
  </sheetViews>
  <sheetFormatPr defaultRowHeight="15" customHeight="1" x14ac:dyDescent="0.3"/>
  <cols>
    <col min="1" max="12" width="15.77734375" customWidth="1"/>
  </cols>
  <sheetData>
    <row r="1" spans="1:12" s="31" customFormat="1" ht="28.8" x14ac:dyDescent="0.3">
      <c r="A1" s="34" t="s">
        <v>51</v>
      </c>
      <c r="B1" s="34" t="s">
        <v>53</v>
      </c>
      <c r="C1" s="34" t="s">
        <v>113</v>
      </c>
      <c r="D1" s="34" t="s">
        <v>115</v>
      </c>
      <c r="E1" s="34" t="s">
        <v>117</v>
      </c>
      <c r="F1" s="34" t="s">
        <v>119</v>
      </c>
      <c r="G1" s="34" t="s">
        <v>121</v>
      </c>
      <c r="H1" s="34" t="s">
        <v>123</v>
      </c>
      <c r="I1" s="39" t="s">
        <v>125</v>
      </c>
      <c r="J1" s="40" t="s">
        <v>127</v>
      </c>
      <c r="K1" s="40" t="s">
        <v>129</v>
      </c>
      <c r="L1" s="40" t="s">
        <v>131</v>
      </c>
    </row>
    <row r="2" spans="1:12" s="31" customFormat="1" ht="14.4" x14ac:dyDescent="0.3"/>
    <row r="3" spans="1:12" s="31" customFormat="1" ht="15" customHeight="1" x14ac:dyDescent="0.3"/>
    <row r="4" spans="1:12" s="31" customFormat="1" ht="15" customHeight="1" x14ac:dyDescent="0.3">
      <c r="A4" s="34"/>
      <c r="B4" s="34"/>
      <c r="C4" s="34"/>
      <c r="D4" s="35"/>
      <c r="E4" s="38"/>
      <c r="F4" s="34"/>
      <c r="G4" s="38"/>
    </row>
    <row r="5" spans="1:12" ht="15" customHeight="1" x14ac:dyDescent="0.3">
      <c r="H5" s="36"/>
      <c r="I5" s="36"/>
      <c r="J5" s="36"/>
      <c r="K5" s="36"/>
      <c r="L5" s="3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35A1-4AE4-44A3-83A7-6631C394778E}">
  <sheetPr>
    <tabColor theme="4" tint="0.59999389629810485"/>
  </sheetPr>
  <dimension ref="A1:M4"/>
  <sheetViews>
    <sheetView workbookViewId="0"/>
  </sheetViews>
  <sheetFormatPr defaultColWidth="13.77734375" defaultRowHeight="14.4" x14ac:dyDescent="0.3"/>
  <sheetData>
    <row r="1" spans="1:13" ht="28.8" x14ac:dyDescent="0.3">
      <c r="A1" t="s">
        <v>135</v>
      </c>
      <c r="B1" s="3" t="s">
        <v>55</v>
      </c>
      <c r="C1" s="3" t="s">
        <v>138</v>
      </c>
      <c r="D1" s="3" t="s">
        <v>65</v>
      </c>
      <c r="E1" s="3" t="s">
        <v>83</v>
      </c>
      <c r="F1" s="3" t="s">
        <v>141</v>
      </c>
      <c r="G1" s="3" t="s">
        <v>143</v>
      </c>
      <c r="H1" s="3" t="s">
        <v>145</v>
      </c>
      <c r="I1" s="3" t="s">
        <v>147</v>
      </c>
      <c r="J1" s="3" t="s">
        <v>149</v>
      </c>
      <c r="K1" s="3" t="s">
        <v>151</v>
      </c>
      <c r="L1" s="3" t="s">
        <v>153</v>
      </c>
      <c r="M1" t="s">
        <v>155</v>
      </c>
    </row>
    <row r="2" spans="1:13" x14ac:dyDescent="0.3">
      <c r="A2">
        <v>121101</v>
      </c>
      <c r="B2">
        <v>18</v>
      </c>
      <c r="C2">
        <v>0</v>
      </c>
      <c r="D2" t="s">
        <v>191</v>
      </c>
      <c r="E2">
        <v>34</v>
      </c>
      <c r="F2">
        <v>1</v>
      </c>
      <c r="G2">
        <v>1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</row>
    <row r="3" spans="1:13" x14ac:dyDescent="0.3">
      <c r="A3">
        <v>121102</v>
      </c>
      <c r="B3">
        <v>45</v>
      </c>
      <c r="C3">
        <v>1</v>
      </c>
      <c r="D3" t="s">
        <v>191</v>
      </c>
      <c r="E3">
        <v>38</v>
      </c>
      <c r="F3">
        <v>1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</row>
    <row r="4" spans="1:13" x14ac:dyDescent="0.3">
      <c r="A4">
        <v>121103</v>
      </c>
      <c r="B4">
        <v>65</v>
      </c>
      <c r="C4">
        <v>1</v>
      </c>
      <c r="D4" t="s">
        <v>191</v>
      </c>
      <c r="E4">
        <v>20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  <c r="M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6F0CC-77E5-44E3-B925-CC6E515A8F37}">
  <sheetPr>
    <tabColor theme="4" tint="0.59999389629810485"/>
  </sheetPr>
  <dimension ref="A1:K4"/>
  <sheetViews>
    <sheetView workbookViewId="0"/>
  </sheetViews>
  <sheetFormatPr defaultRowHeight="14.4" x14ac:dyDescent="0.3"/>
  <sheetData>
    <row r="1" spans="1:11" s="3" customFormat="1" ht="44.1" customHeight="1" x14ac:dyDescent="0.3">
      <c r="A1" s="3" t="s">
        <v>135</v>
      </c>
      <c r="B1" s="3" t="s">
        <v>113</v>
      </c>
      <c r="C1" s="3" t="s">
        <v>155</v>
      </c>
      <c r="D1" s="3" t="s">
        <v>117</v>
      </c>
      <c r="E1" s="3" t="s">
        <v>119</v>
      </c>
      <c r="F1" s="3" t="s">
        <v>123</v>
      </c>
      <c r="G1" s="3" t="s">
        <v>115</v>
      </c>
      <c r="H1" s="3" t="s">
        <v>163</v>
      </c>
      <c r="I1" s="3" t="s">
        <v>165</v>
      </c>
      <c r="J1" s="3" t="s">
        <v>167</v>
      </c>
      <c r="K1" s="3" t="s">
        <v>169</v>
      </c>
    </row>
    <row r="2" spans="1:11" x14ac:dyDescent="0.3">
      <c r="A2">
        <v>121101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</row>
    <row r="3" spans="1:11" x14ac:dyDescent="0.3">
      <c r="A3">
        <v>121102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1</v>
      </c>
    </row>
    <row r="4" spans="1:11" x14ac:dyDescent="0.3">
      <c r="A4">
        <v>121103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7E008D2A5C174C94F73F888F8345C6" ma:contentTypeVersion="3" ma:contentTypeDescription="Create a new document." ma:contentTypeScope="" ma:versionID="e7dfe41a11df6a6f3fbfd18b4e1eb2b0">
  <xsd:schema xmlns:xsd="http://www.w3.org/2001/XMLSchema" xmlns:xs="http://www.w3.org/2001/XMLSchema" xmlns:p="http://schemas.microsoft.com/office/2006/metadata/properties" xmlns:ns2="b32485e7-1ca3-43cf-bbc1-99b1f58b6e75" targetNamespace="http://schemas.microsoft.com/office/2006/metadata/properties" ma:root="true" ma:fieldsID="7032cf4abb2b08f2406cb4caa585e2e1" ns2:_="">
    <xsd:import namespace="b32485e7-1ca3-43cf-bbc1-99b1f58b6e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2485e7-1ca3-43cf-bbc1-99b1f58b6e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9D11C5-C833-47CA-A521-F6236589557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894E1FD-0E9E-4E02-A44F-F3F07CBC51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2485e7-1ca3-43cf-bbc1-99b1f58b6e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956942-3FCD-4277-9660-52D8312EE6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InstructionsPersonLevel</vt:lpstr>
      <vt:lpstr>Codebook</vt:lpstr>
      <vt:lpstr>PersonLevelCodebook</vt:lpstr>
      <vt:lpstr>Included Study Documentation</vt:lpstr>
      <vt:lpstr>DataInput</vt:lpstr>
      <vt:lpstr>ComparisonOutcomes</vt:lpstr>
      <vt:lpstr>SimOutcomes</vt:lpstr>
      <vt:lpstr>BaselinePersonLevel</vt:lpstr>
      <vt:lpstr>OutcomesPersonLevel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Liz</dc:creator>
  <cp:keywords/>
  <dc:description/>
  <cp:lastModifiedBy>Mitchell, Elizabeth</cp:lastModifiedBy>
  <cp:revision/>
  <dcterms:created xsi:type="dcterms:W3CDTF">2015-06-05T18:17:20Z</dcterms:created>
  <dcterms:modified xsi:type="dcterms:W3CDTF">2026-10-26T16:29:08Z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0x010100157E008D2A5C174C94F73F888F8345C6</vt:lpwstr>
  </property>
</Properties>
</file>